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wensminor-my.sharepoint.com/personal/s670847_owens-minor_com/Documents/Documents/GPO DATA/"/>
    </mc:Choice>
  </mc:AlternateContent>
  <xr:revisionPtr revIDLastSave="0" documentId="8_{42663F17-062A-4056-826F-832DF92B40F5}" xr6:coauthVersionLast="47" xr6:coauthVersionMax="47" xr10:uidLastSave="{00000000-0000-0000-0000-000000000000}"/>
  <bookViews>
    <workbookView xWindow="28680" yWindow="-120" windowWidth="29040" windowHeight="15720" xr2:uid="{3C34C3CF-C3D8-425A-9E9F-8CA456A23C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124" i="1" l="1"/>
  <c r="D2124" i="1"/>
  <c r="C2124" i="1"/>
  <c r="G2123" i="1"/>
  <c r="D2123" i="1"/>
  <c r="C2123" i="1"/>
  <c r="G2122" i="1"/>
  <c r="D2122" i="1"/>
  <c r="C2122" i="1"/>
  <c r="G2121" i="1"/>
  <c r="D2121" i="1"/>
  <c r="C2121" i="1"/>
  <c r="G2120" i="1"/>
  <c r="D2120" i="1"/>
  <c r="C2120" i="1"/>
  <c r="G2119" i="1"/>
  <c r="D2119" i="1"/>
  <c r="C2119" i="1"/>
  <c r="G2118" i="1"/>
  <c r="D2118" i="1"/>
  <c r="C2118" i="1"/>
  <c r="G2117" i="1"/>
  <c r="D2117" i="1"/>
  <c r="C2117" i="1"/>
  <c r="G2116" i="1"/>
  <c r="D2116" i="1"/>
  <c r="C2116" i="1"/>
  <c r="G2115" i="1"/>
  <c r="D2115" i="1"/>
  <c r="C2115" i="1"/>
  <c r="L2114" i="1"/>
  <c r="G2114" i="1"/>
  <c r="D2114" i="1"/>
  <c r="C2114" i="1"/>
  <c r="G2113" i="1"/>
  <c r="D2113" i="1"/>
  <c r="C2113" i="1"/>
  <c r="G2112" i="1"/>
  <c r="D2112" i="1"/>
  <c r="C2112" i="1"/>
  <c r="G2111" i="1"/>
  <c r="D2111" i="1"/>
  <c r="C2111" i="1"/>
  <c r="L2110" i="1"/>
  <c r="G2110" i="1"/>
  <c r="D2110" i="1"/>
  <c r="C2110" i="1"/>
  <c r="G2109" i="1"/>
  <c r="D2109" i="1"/>
  <c r="C2109" i="1"/>
  <c r="G2108" i="1"/>
  <c r="D2108" i="1"/>
  <c r="C2108" i="1"/>
  <c r="L2107" i="1"/>
  <c r="G2107" i="1"/>
  <c r="D2107" i="1"/>
  <c r="C2107" i="1"/>
  <c r="G2106" i="1"/>
  <c r="D2106" i="1"/>
  <c r="C2106" i="1"/>
  <c r="G2105" i="1"/>
  <c r="D2105" i="1"/>
  <c r="C2105" i="1"/>
  <c r="G2104" i="1"/>
  <c r="D2104" i="1"/>
  <c r="C2104" i="1"/>
  <c r="G2103" i="1"/>
  <c r="D2103" i="1"/>
  <c r="C2103" i="1"/>
  <c r="L2102" i="1"/>
  <c r="G2102" i="1"/>
  <c r="D2102" i="1"/>
  <c r="C2102" i="1"/>
  <c r="L2101" i="1"/>
  <c r="G2101" i="1"/>
  <c r="D2101" i="1"/>
  <c r="C2101" i="1"/>
  <c r="L2100" i="1"/>
  <c r="G2100" i="1"/>
  <c r="D2100" i="1"/>
  <c r="C2100" i="1"/>
  <c r="L2099" i="1"/>
  <c r="G2099" i="1"/>
  <c r="D2099" i="1"/>
  <c r="C2099" i="1"/>
  <c r="G2098" i="1"/>
  <c r="D2098" i="1"/>
  <c r="C2098" i="1"/>
  <c r="G2097" i="1"/>
  <c r="D2097" i="1"/>
  <c r="C2097" i="1"/>
  <c r="G2096" i="1"/>
  <c r="D2096" i="1"/>
  <c r="C2096" i="1"/>
  <c r="L2095" i="1"/>
  <c r="G2095" i="1"/>
  <c r="D2095" i="1"/>
  <c r="C2095" i="1"/>
  <c r="L2094" i="1"/>
  <c r="G2094" i="1"/>
  <c r="D2094" i="1"/>
  <c r="C2094" i="1"/>
  <c r="L2093" i="1"/>
  <c r="G2093" i="1"/>
  <c r="D2093" i="1"/>
  <c r="C2093" i="1"/>
  <c r="L2092" i="1"/>
  <c r="G2092" i="1"/>
  <c r="D2092" i="1"/>
  <c r="C2092" i="1"/>
  <c r="L2091" i="1"/>
  <c r="G2091" i="1"/>
  <c r="D2091" i="1"/>
  <c r="C2091" i="1"/>
  <c r="L2090" i="1"/>
  <c r="G2090" i="1"/>
  <c r="D2090" i="1"/>
  <c r="C2090" i="1"/>
  <c r="L2089" i="1"/>
  <c r="G2089" i="1"/>
  <c r="D2089" i="1"/>
  <c r="C2089" i="1"/>
  <c r="L2088" i="1"/>
  <c r="G2088" i="1"/>
  <c r="D2088" i="1"/>
  <c r="C2088" i="1"/>
  <c r="L2087" i="1"/>
  <c r="G2087" i="1"/>
  <c r="D2087" i="1"/>
  <c r="C2087" i="1"/>
  <c r="L2086" i="1"/>
  <c r="G2086" i="1"/>
  <c r="D2086" i="1"/>
  <c r="C2086" i="1"/>
  <c r="L2085" i="1"/>
  <c r="G2085" i="1"/>
  <c r="D2085" i="1"/>
  <c r="C2085" i="1"/>
  <c r="L2084" i="1"/>
  <c r="G2084" i="1"/>
  <c r="D2084" i="1"/>
  <c r="C2084" i="1"/>
  <c r="L2083" i="1"/>
  <c r="G2083" i="1"/>
  <c r="D2083" i="1"/>
  <c r="C2083" i="1"/>
  <c r="L2082" i="1"/>
  <c r="G2082" i="1"/>
  <c r="D2082" i="1"/>
  <c r="C2082" i="1"/>
  <c r="L2081" i="1"/>
  <c r="G2081" i="1"/>
  <c r="D2081" i="1"/>
  <c r="C2081" i="1"/>
  <c r="L2080" i="1"/>
  <c r="G2080" i="1"/>
  <c r="D2080" i="1"/>
  <c r="C2080" i="1"/>
  <c r="L2079" i="1"/>
  <c r="G2079" i="1"/>
  <c r="D2079" i="1"/>
  <c r="C2079" i="1"/>
  <c r="L2078" i="1"/>
  <c r="G2078" i="1"/>
  <c r="D2078" i="1"/>
  <c r="C2078" i="1"/>
  <c r="L2077" i="1"/>
  <c r="G2077" i="1"/>
  <c r="D2077" i="1"/>
  <c r="C2077" i="1"/>
  <c r="L2076" i="1"/>
  <c r="G2076" i="1"/>
  <c r="D2076" i="1"/>
  <c r="C2076" i="1"/>
  <c r="L2075" i="1"/>
  <c r="G2075" i="1"/>
  <c r="D2075" i="1"/>
  <c r="C2075" i="1"/>
  <c r="L2074" i="1"/>
  <c r="G2074" i="1"/>
  <c r="D2074" i="1"/>
  <c r="C2074" i="1"/>
  <c r="L2073" i="1"/>
  <c r="G2073" i="1"/>
  <c r="D2073" i="1"/>
  <c r="C2073" i="1"/>
  <c r="L2072" i="1"/>
  <c r="G2072" i="1"/>
  <c r="D2072" i="1"/>
  <c r="C2072" i="1"/>
  <c r="L2071" i="1"/>
  <c r="G2071" i="1"/>
  <c r="D2071" i="1"/>
  <c r="C2071" i="1"/>
  <c r="L2070" i="1"/>
  <c r="G2070" i="1"/>
  <c r="D2070" i="1"/>
  <c r="C2070" i="1"/>
  <c r="L2069" i="1"/>
  <c r="G2069" i="1"/>
  <c r="D2069" i="1"/>
  <c r="C2069" i="1"/>
  <c r="L2068" i="1"/>
  <c r="G2068" i="1"/>
  <c r="D2068" i="1"/>
  <c r="C2068" i="1"/>
  <c r="L2067" i="1"/>
  <c r="G2067" i="1"/>
  <c r="D2067" i="1"/>
  <c r="C2067" i="1"/>
  <c r="L2066" i="1"/>
  <c r="G2066" i="1"/>
  <c r="D2066" i="1"/>
  <c r="C2066" i="1"/>
  <c r="L2065" i="1"/>
  <c r="G2065" i="1"/>
  <c r="D2065" i="1"/>
  <c r="C2065" i="1"/>
  <c r="L2064" i="1"/>
  <c r="G2064" i="1"/>
  <c r="D2064" i="1"/>
  <c r="C2064" i="1"/>
  <c r="L2063" i="1"/>
  <c r="G2063" i="1"/>
  <c r="D2063" i="1"/>
  <c r="C2063" i="1"/>
  <c r="L2062" i="1"/>
  <c r="G2062" i="1"/>
  <c r="D2062" i="1"/>
  <c r="C2062" i="1"/>
  <c r="L2061" i="1"/>
  <c r="G2061" i="1"/>
  <c r="D2061" i="1"/>
  <c r="C2061" i="1"/>
  <c r="L2060" i="1"/>
  <c r="G2060" i="1"/>
  <c r="D2060" i="1"/>
  <c r="C2060" i="1"/>
  <c r="L2059" i="1"/>
  <c r="G2059" i="1"/>
  <c r="D2059" i="1"/>
  <c r="C2059" i="1"/>
  <c r="L2058" i="1"/>
  <c r="G2058" i="1"/>
  <c r="D2058" i="1"/>
  <c r="C2058" i="1"/>
  <c r="G2057" i="1"/>
  <c r="D2057" i="1"/>
  <c r="C2057" i="1"/>
  <c r="G2056" i="1"/>
  <c r="D2056" i="1"/>
  <c r="C2056" i="1"/>
  <c r="G2055" i="1"/>
  <c r="D2055" i="1"/>
  <c r="C2055" i="1"/>
  <c r="G2054" i="1"/>
  <c r="D2054" i="1"/>
  <c r="C2054" i="1"/>
  <c r="G2053" i="1"/>
  <c r="D2053" i="1"/>
  <c r="C2053" i="1"/>
  <c r="G2052" i="1"/>
  <c r="D2052" i="1"/>
  <c r="C2052" i="1"/>
  <c r="G2051" i="1"/>
  <c r="D2051" i="1"/>
  <c r="C2051" i="1"/>
  <c r="G2050" i="1"/>
  <c r="D2050" i="1"/>
  <c r="C2050" i="1"/>
  <c r="G2049" i="1"/>
  <c r="D2049" i="1"/>
  <c r="C2049" i="1"/>
  <c r="G2048" i="1"/>
  <c r="D2048" i="1"/>
  <c r="C2048" i="1"/>
  <c r="G2047" i="1"/>
  <c r="D2047" i="1"/>
  <c r="C2047" i="1"/>
  <c r="G2046" i="1"/>
  <c r="D2046" i="1"/>
  <c r="C2046" i="1"/>
  <c r="G2045" i="1"/>
  <c r="D2045" i="1"/>
  <c r="C2045" i="1"/>
  <c r="G2044" i="1"/>
  <c r="D2044" i="1"/>
  <c r="C2044" i="1"/>
  <c r="G2043" i="1"/>
  <c r="D2043" i="1"/>
  <c r="C2043" i="1"/>
  <c r="G2042" i="1"/>
  <c r="D2042" i="1"/>
  <c r="C2042" i="1"/>
  <c r="G2041" i="1"/>
  <c r="D2041" i="1"/>
  <c r="C2041" i="1"/>
  <c r="G2040" i="1"/>
  <c r="D2040" i="1"/>
  <c r="C2040" i="1"/>
  <c r="G2039" i="1"/>
  <c r="D2039" i="1"/>
  <c r="C2039" i="1"/>
  <c r="G2038" i="1"/>
  <c r="D2038" i="1"/>
  <c r="C2038" i="1"/>
  <c r="G2037" i="1"/>
  <c r="D2037" i="1"/>
  <c r="C2037" i="1"/>
  <c r="G2036" i="1"/>
  <c r="D2036" i="1"/>
  <c r="C2036" i="1"/>
  <c r="G2035" i="1"/>
  <c r="D2035" i="1"/>
  <c r="C2035" i="1"/>
  <c r="G2034" i="1"/>
  <c r="D2034" i="1"/>
  <c r="C2034" i="1"/>
  <c r="G2033" i="1"/>
  <c r="D2033" i="1"/>
  <c r="C2033" i="1"/>
  <c r="G2032" i="1"/>
  <c r="D2032" i="1"/>
  <c r="C2032" i="1"/>
  <c r="G2031" i="1"/>
  <c r="D2031" i="1"/>
  <c r="C2031" i="1"/>
  <c r="G2030" i="1"/>
  <c r="D2030" i="1"/>
  <c r="C2030" i="1"/>
  <c r="G2029" i="1"/>
  <c r="D2029" i="1"/>
  <c r="C2029" i="1"/>
  <c r="G2028" i="1"/>
  <c r="D2028" i="1"/>
  <c r="C2028" i="1"/>
  <c r="G2027" i="1"/>
  <c r="D2027" i="1"/>
  <c r="C2027" i="1"/>
  <c r="G2026" i="1"/>
  <c r="D2026" i="1"/>
  <c r="C2026" i="1"/>
  <c r="G2025" i="1"/>
  <c r="D2025" i="1"/>
  <c r="C2025" i="1"/>
  <c r="G2024" i="1"/>
  <c r="D2024" i="1"/>
  <c r="C2024" i="1"/>
  <c r="G2023" i="1"/>
  <c r="D2023" i="1"/>
  <c r="C2023" i="1"/>
  <c r="G2022" i="1"/>
  <c r="D2022" i="1"/>
  <c r="C2022" i="1"/>
  <c r="L2021" i="1"/>
  <c r="G2021" i="1"/>
  <c r="D2021" i="1"/>
  <c r="C2021" i="1"/>
  <c r="G2020" i="1"/>
  <c r="D2020" i="1"/>
  <c r="C2020" i="1"/>
  <c r="G2019" i="1"/>
  <c r="D2019" i="1"/>
  <c r="C2019" i="1"/>
  <c r="G2018" i="1"/>
  <c r="D2018" i="1"/>
  <c r="C2018" i="1"/>
  <c r="G2017" i="1"/>
  <c r="D2017" i="1"/>
  <c r="C2017" i="1"/>
  <c r="G2016" i="1"/>
  <c r="D2016" i="1"/>
  <c r="C2016" i="1"/>
  <c r="G2015" i="1"/>
  <c r="D2015" i="1"/>
  <c r="C2015" i="1"/>
  <c r="G2014" i="1"/>
  <c r="D2014" i="1"/>
  <c r="C2014" i="1"/>
  <c r="G2013" i="1"/>
  <c r="D2013" i="1"/>
  <c r="C2013" i="1"/>
  <c r="G2012" i="1"/>
  <c r="D2012" i="1"/>
  <c r="C2012" i="1"/>
  <c r="L2011" i="1"/>
  <c r="G2011" i="1"/>
  <c r="D2011" i="1"/>
  <c r="C2011" i="1"/>
  <c r="G2010" i="1"/>
  <c r="D2010" i="1"/>
  <c r="C2010" i="1"/>
  <c r="L2009" i="1"/>
  <c r="G2009" i="1"/>
  <c r="D2009" i="1"/>
  <c r="C2009" i="1"/>
  <c r="L2008" i="1"/>
  <c r="G2008" i="1"/>
  <c r="D2008" i="1"/>
  <c r="C2008" i="1"/>
  <c r="L2007" i="1"/>
  <c r="G2007" i="1"/>
  <c r="D2007" i="1"/>
  <c r="C2007" i="1"/>
  <c r="L2006" i="1"/>
  <c r="G2006" i="1"/>
  <c r="D2006" i="1"/>
  <c r="C2006" i="1"/>
  <c r="L2005" i="1"/>
  <c r="G2005" i="1"/>
  <c r="D2005" i="1"/>
  <c r="C2005" i="1"/>
  <c r="G2004" i="1"/>
  <c r="D2004" i="1"/>
  <c r="C2004" i="1"/>
  <c r="G2003" i="1"/>
  <c r="D2003" i="1"/>
  <c r="C2003" i="1"/>
  <c r="G2002" i="1"/>
  <c r="D2002" i="1"/>
  <c r="C2002" i="1"/>
  <c r="G2001" i="1"/>
  <c r="D2001" i="1"/>
  <c r="C2001" i="1"/>
  <c r="G2000" i="1"/>
  <c r="D2000" i="1"/>
  <c r="C2000" i="1"/>
  <c r="G1999" i="1"/>
  <c r="D1999" i="1"/>
  <c r="C1999" i="1"/>
  <c r="G1998" i="1"/>
  <c r="D1998" i="1"/>
  <c r="C1998" i="1"/>
  <c r="G1997" i="1"/>
  <c r="D1997" i="1"/>
  <c r="C1997" i="1"/>
  <c r="G1996" i="1"/>
  <c r="D1996" i="1"/>
  <c r="C1996" i="1"/>
  <c r="G1995" i="1"/>
  <c r="D1995" i="1"/>
  <c r="C1995" i="1"/>
  <c r="L1994" i="1"/>
  <c r="G1994" i="1"/>
  <c r="D1994" i="1"/>
  <c r="C1994" i="1"/>
  <c r="L1993" i="1"/>
  <c r="G1993" i="1"/>
  <c r="D1993" i="1"/>
  <c r="C1993" i="1"/>
  <c r="G1992" i="1"/>
  <c r="D1992" i="1"/>
  <c r="C1992" i="1"/>
  <c r="G1991" i="1"/>
  <c r="D1991" i="1"/>
  <c r="C1991" i="1"/>
  <c r="G1990" i="1"/>
  <c r="D1990" i="1"/>
  <c r="C1990" i="1"/>
  <c r="G1989" i="1"/>
  <c r="D1989" i="1"/>
  <c r="C1989" i="1"/>
  <c r="G1988" i="1"/>
  <c r="D1988" i="1"/>
  <c r="C1988" i="1"/>
  <c r="G1987" i="1"/>
  <c r="D1987" i="1"/>
  <c r="C1987" i="1"/>
  <c r="G1986" i="1"/>
  <c r="D1986" i="1"/>
  <c r="C1986" i="1"/>
  <c r="G1985" i="1"/>
  <c r="D1985" i="1"/>
  <c r="C1985" i="1"/>
  <c r="G1984" i="1"/>
  <c r="D1984" i="1"/>
  <c r="C1984" i="1"/>
  <c r="G1983" i="1"/>
  <c r="D1983" i="1"/>
  <c r="C1983" i="1"/>
  <c r="G1982" i="1"/>
  <c r="D1982" i="1"/>
  <c r="C1982" i="1"/>
  <c r="G1981" i="1"/>
  <c r="D1981" i="1"/>
  <c r="C1981" i="1"/>
  <c r="G1980" i="1"/>
  <c r="D1980" i="1"/>
  <c r="C1980" i="1"/>
  <c r="G1979" i="1"/>
  <c r="D1979" i="1"/>
  <c r="C1979" i="1"/>
  <c r="L1978" i="1"/>
  <c r="G1978" i="1"/>
  <c r="D1978" i="1"/>
  <c r="C1978" i="1"/>
  <c r="G1977" i="1"/>
  <c r="D1977" i="1"/>
  <c r="C1977" i="1"/>
  <c r="G1976" i="1"/>
  <c r="D1976" i="1"/>
  <c r="C1976" i="1"/>
  <c r="G1975" i="1"/>
  <c r="D1975" i="1"/>
  <c r="C1975" i="1"/>
  <c r="G1974" i="1"/>
  <c r="D1974" i="1"/>
  <c r="C1974" i="1"/>
  <c r="G1973" i="1"/>
  <c r="D1973" i="1"/>
  <c r="C1973" i="1"/>
  <c r="G1972" i="1"/>
  <c r="D1972" i="1"/>
  <c r="C1972" i="1"/>
  <c r="G1971" i="1"/>
  <c r="D1971" i="1"/>
  <c r="C1971" i="1"/>
  <c r="G1970" i="1"/>
  <c r="D1970" i="1"/>
  <c r="C1970" i="1"/>
  <c r="L1969" i="1"/>
  <c r="G1969" i="1"/>
  <c r="D1969" i="1"/>
  <c r="C1969" i="1"/>
  <c r="G1968" i="1"/>
  <c r="D1968" i="1"/>
  <c r="C1968" i="1"/>
  <c r="G1967" i="1"/>
  <c r="D1967" i="1"/>
  <c r="C1967" i="1"/>
  <c r="G1966" i="1"/>
  <c r="D1966" i="1"/>
  <c r="C1966" i="1"/>
  <c r="G1965" i="1"/>
  <c r="D1965" i="1"/>
  <c r="C1965" i="1"/>
  <c r="G1964" i="1"/>
  <c r="D1964" i="1"/>
  <c r="C1964" i="1"/>
  <c r="G1963" i="1"/>
  <c r="D1963" i="1"/>
  <c r="C1963" i="1"/>
  <c r="G1962" i="1"/>
  <c r="D1962" i="1"/>
  <c r="C1962" i="1"/>
  <c r="G1961" i="1"/>
  <c r="D1961" i="1"/>
  <c r="C1961" i="1"/>
  <c r="L1960" i="1"/>
  <c r="G1960" i="1"/>
  <c r="D1960" i="1"/>
  <c r="C1960" i="1"/>
  <c r="G1959" i="1"/>
  <c r="D1959" i="1"/>
  <c r="C1959" i="1"/>
  <c r="G1958" i="1"/>
  <c r="D1958" i="1"/>
  <c r="C1958" i="1"/>
  <c r="G1957" i="1"/>
  <c r="D1957" i="1"/>
  <c r="C1957" i="1"/>
  <c r="L1956" i="1"/>
  <c r="G1956" i="1"/>
  <c r="D1956" i="1"/>
  <c r="C1956" i="1"/>
  <c r="L1955" i="1"/>
  <c r="G1955" i="1"/>
  <c r="D1955" i="1"/>
  <c r="C1955" i="1"/>
  <c r="G1954" i="1"/>
  <c r="D1954" i="1"/>
  <c r="C1954" i="1"/>
  <c r="G1953" i="1"/>
  <c r="D1953" i="1"/>
  <c r="C1953" i="1"/>
  <c r="G1952" i="1"/>
  <c r="D1952" i="1"/>
  <c r="C1952" i="1"/>
  <c r="G1951" i="1"/>
  <c r="D1951" i="1"/>
  <c r="C1951" i="1"/>
  <c r="G1950" i="1"/>
  <c r="D1950" i="1"/>
  <c r="C1950" i="1"/>
  <c r="G1949" i="1"/>
  <c r="D1949" i="1"/>
  <c r="C1949" i="1"/>
  <c r="G1948" i="1"/>
  <c r="D1948" i="1"/>
  <c r="C1948" i="1"/>
  <c r="G1947" i="1"/>
  <c r="D1947" i="1"/>
  <c r="C1947" i="1"/>
  <c r="G1946" i="1"/>
  <c r="D1946" i="1"/>
  <c r="C1946" i="1"/>
  <c r="G1945" i="1"/>
  <c r="D1945" i="1"/>
  <c r="C1945" i="1"/>
  <c r="G1944" i="1"/>
  <c r="D1944" i="1"/>
  <c r="C1944" i="1"/>
  <c r="G1943" i="1"/>
  <c r="D1943" i="1"/>
  <c r="C1943" i="1"/>
  <c r="G1942" i="1"/>
  <c r="D1942" i="1"/>
  <c r="C1942" i="1"/>
  <c r="L1941" i="1"/>
  <c r="G1941" i="1"/>
  <c r="D1941" i="1"/>
  <c r="C1941" i="1"/>
  <c r="L1940" i="1"/>
  <c r="G1940" i="1"/>
  <c r="D1940" i="1"/>
  <c r="C1940" i="1"/>
  <c r="G1939" i="1"/>
  <c r="D1939" i="1"/>
  <c r="C1939" i="1"/>
  <c r="G1938" i="1"/>
  <c r="D1938" i="1"/>
  <c r="C1938" i="1"/>
  <c r="G1937" i="1"/>
  <c r="D1937" i="1"/>
  <c r="C1937" i="1"/>
  <c r="G1936" i="1"/>
  <c r="D1936" i="1"/>
  <c r="C1936" i="1"/>
  <c r="L1935" i="1"/>
  <c r="G1935" i="1"/>
  <c r="D1935" i="1"/>
  <c r="C1935" i="1"/>
  <c r="G1934" i="1"/>
  <c r="D1934" i="1"/>
  <c r="C1934" i="1"/>
  <c r="G1933" i="1"/>
  <c r="D1933" i="1"/>
  <c r="C1933" i="1"/>
  <c r="G1932" i="1"/>
  <c r="D1932" i="1"/>
  <c r="C1932" i="1"/>
  <c r="G1931" i="1"/>
  <c r="D1931" i="1"/>
  <c r="C1931" i="1"/>
  <c r="G1930" i="1"/>
  <c r="D1930" i="1"/>
  <c r="C1930" i="1"/>
  <c r="G1929" i="1"/>
  <c r="D1929" i="1"/>
  <c r="C1929" i="1"/>
  <c r="G1928" i="1"/>
  <c r="D1928" i="1"/>
  <c r="C1928" i="1"/>
  <c r="G1927" i="1"/>
  <c r="D1927" i="1"/>
  <c r="C1927" i="1"/>
  <c r="G1926" i="1"/>
  <c r="D1926" i="1"/>
  <c r="C1926" i="1"/>
  <c r="G1925" i="1"/>
  <c r="D1925" i="1"/>
  <c r="C1925" i="1"/>
  <c r="G1924" i="1"/>
  <c r="D1924" i="1"/>
  <c r="C1924" i="1"/>
  <c r="G1923" i="1"/>
  <c r="D1923" i="1"/>
  <c r="C1923" i="1"/>
  <c r="G1922" i="1"/>
  <c r="D1922" i="1"/>
  <c r="C1922" i="1"/>
  <c r="G1921" i="1"/>
  <c r="D1921" i="1"/>
  <c r="C1921" i="1"/>
  <c r="G1920" i="1"/>
  <c r="D1920" i="1"/>
  <c r="C1920" i="1"/>
  <c r="L1919" i="1"/>
  <c r="G1919" i="1"/>
  <c r="D1919" i="1"/>
  <c r="C1919" i="1"/>
  <c r="G1918" i="1"/>
  <c r="D1918" i="1"/>
  <c r="C1918" i="1"/>
  <c r="G1917" i="1"/>
  <c r="D1917" i="1"/>
  <c r="C1917" i="1"/>
  <c r="G1916" i="1"/>
  <c r="D1916" i="1"/>
  <c r="C1916" i="1"/>
  <c r="G1915" i="1"/>
  <c r="D1915" i="1"/>
  <c r="C1915" i="1"/>
  <c r="G1914" i="1"/>
  <c r="D1914" i="1"/>
  <c r="C1914" i="1"/>
  <c r="G1913" i="1"/>
  <c r="D1913" i="1"/>
  <c r="C1913" i="1"/>
  <c r="G1912" i="1"/>
  <c r="D1912" i="1"/>
  <c r="C1912" i="1"/>
  <c r="G1911" i="1"/>
  <c r="D1911" i="1"/>
  <c r="C1911" i="1"/>
  <c r="G1910" i="1"/>
  <c r="D1910" i="1"/>
  <c r="C1910" i="1"/>
  <c r="G1909" i="1"/>
  <c r="D1909" i="1"/>
  <c r="C1909" i="1"/>
  <c r="L1908" i="1"/>
  <c r="G1908" i="1"/>
  <c r="D1908" i="1"/>
  <c r="C1908" i="1"/>
  <c r="G1907" i="1"/>
  <c r="D1907" i="1"/>
  <c r="C1907" i="1"/>
  <c r="G1906" i="1"/>
  <c r="D1906" i="1"/>
  <c r="C1906" i="1"/>
  <c r="G1905" i="1"/>
  <c r="D1905" i="1"/>
  <c r="C1905" i="1"/>
  <c r="G1904" i="1"/>
  <c r="D1904" i="1"/>
  <c r="C1904" i="1"/>
  <c r="L1903" i="1"/>
  <c r="G1903" i="1"/>
  <c r="D1903" i="1"/>
  <c r="C1903" i="1"/>
  <c r="G1902" i="1"/>
  <c r="D1902" i="1"/>
  <c r="C1902" i="1"/>
  <c r="L1901" i="1"/>
  <c r="G1901" i="1"/>
  <c r="D1901" i="1"/>
  <c r="C1901" i="1"/>
  <c r="L1900" i="1"/>
  <c r="G1900" i="1"/>
  <c r="D1900" i="1"/>
  <c r="C1900" i="1"/>
  <c r="G1899" i="1"/>
  <c r="D1899" i="1"/>
  <c r="C1899" i="1"/>
  <c r="L1898" i="1"/>
  <c r="G1898" i="1"/>
  <c r="D1898" i="1"/>
  <c r="C1898" i="1"/>
  <c r="G1897" i="1"/>
  <c r="D1897" i="1"/>
  <c r="C1897" i="1"/>
  <c r="G1896" i="1"/>
  <c r="D1896" i="1"/>
  <c r="C1896" i="1"/>
  <c r="G1895" i="1"/>
  <c r="D1895" i="1"/>
  <c r="C1895" i="1"/>
  <c r="L1894" i="1"/>
  <c r="G1894" i="1"/>
  <c r="D1894" i="1"/>
  <c r="C1894" i="1"/>
  <c r="G1893" i="1"/>
  <c r="D1893" i="1"/>
  <c r="C1893" i="1"/>
  <c r="G1892" i="1"/>
  <c r="D1892" i="1"/>
  <c r="C1892" i="1"/>
  <c r="G1891" i="1"/>
  <c r="D1891" i="1"/>
  <c r="C1891" i="1"/>
  <c r="G1890" i="1"/>
  <c r="D1890" i="1"/>
  <c r="C1890" i="1"/>
  <c r="G1889" i="1"/>
  <c r="D1889" i="1"/>
  <c r="C1889" i="1"/>
  <c r="G1888" i="1"/>
  <c r="D1888" i="1"/>
  <c r="C1888" i="1"/>
  <c r="G1887" i="1"/>
  <c r="D1887" i="1"/>
  <c r="C1887" i="1"/>
  <c r="G1886" i="1"/>
  <c r="D1886" i="1"/>
  <c r="C1886" i="1"/>
  <c r="G1885" i="1"/>
  <c r="D1885" i="1"/>
  <c r="C1885" i="1"/>
  <c r="G1884" i="1"/>
  <c r="D1884" i="1"/>
  <c r="C1884" i="1"/>
  <c r="G1883" i="1"/>
  <c r="D1883" i="1"/>
  <c r="C1883" i="1"/>
  <c r="G1882" i="1"/>
  <c r="D1882" i="1"/>
  <c r="C1882" i="1"/>
  <c r="G1881" i="1"/>
  <c r="D1881" i="1"/>
  <c r="C1881" i="1"/>
  <c r="G1880" i="1"/>
  <c r="D1880" i="1"/>
  <c r="C1880" i="1"/>
  <c r="G1879" i="1"/>
  <c r="D1879" i="1"/>
  <c r="C1879" i="1"/>
  <c r="G1878" i="1"/>
  <c r="D1878" i="1"/>
  <c r="C1878" i="1"/>
  <c r="G1877" i="1"/>
  <c r="D1877" i="1"/>
  <c r="C1877" i="1"/>
  <c r="G1876" i="1"/>
  <c r="D1876" i="1"/>
  <c r="C1876" i="1"/>
  <c r="G1875" i="1"/>
  <c r="D1875" i="1"/>
  <c r="C1875" i="1"/>
  <c r="G1874" i="1"/>
  <c r="D1874" i="1"/>
  <c r="C1874" i="1"/>
  <c r="G1873" i="1"/>
  <c r="D1873" i="1"/>
  <c r="C1873" i="1"/>
  <c r="G1872" i="1"/>
  <c r="D1872" i="1"/>
  <c r="C1872" i="1"/>
  <c r="G1871" i="1"/>
  <c r="D1871" i="1"/>
  <c r="C1871" i="1"/>
  <c r="G1870" i="1"/>
  <c r="D1870" i="1"/>
  <c r="C1870" i="1"/>
  <c r="G1869" i="1"/>
  <c r="D1869" i="1"/>
  <c r="C1869" i="1"/>
  <c r="G1868" i="1"/>
  <c r="D1868" i="1"/>
  <c r="C1868" i="1"/>
  <c r="G1867" i="1"/>
  <c r="D1867" i="1"/>
  <c r="C1867" i="1"/>
  <c r="G1866" i="1"/>
  <c r="D1866" i="1"/>
  <c r="C1866" i="1"/>
  <c r="G1865" i="1"/>
  <c r="D1865" i="1"/>
  <c r="C1865" i="1"/>
  <c r="G1864" i="1"/>
  <c r="D1864" i="1"/>
  <c r="C1864" i="1"/>
  <c r="G1863" i="1"/>
  <c r="D1863" i="1"/>
  <c r="C1863" i="1"/>
  <c r="G1862" i="1"/>
  <c r="D1862" i="1"/>
  <c r="C1862" i="1"/>
  <c r="G1861" i="1"/>
  <c r="D1861" i="1"/>
  <c r="C1861" i="1"/>
  <c r="G1860" i="1"/>
  <c r="D1860" i="1"/>
  <c r="C1860" i="1"/>
  <c r="G1859" i="1"/>
  <c r="D1859" i="1"/>
  <c r="C1859" i="1"/>
  <c r="G1858" i="1"/>
  <c r="D1858" i="1"/>
  <c r="C1858" i="1"/>
  <c r="G1857" i="1"/>
  <c r="D1857" i="1"/>
  <c r="C1857" i="1"/>
  <c r="G1856" i="1"/>
  <c r="D1856" i="1"/>
  <c r="C1856" i="1"/>
  <c r="G1855" i="1"/>
  <c r="D1855" i="1"/>
  <c r="C1855" i="1"/>
  <c r="G1854" i="1"/>
  <c r="D1854" i="1"/>
  <c r="C1854" i="1"/>
  <c r="G1853" i="1"/>
  <c r="D1853" i="1"/>
  <c r="C1853" i="1"/>
  <c r="G1852" i="1"/>
  <c r="D1852" i="1"/>
  <c r="C1852" i="1"/>
  <c r="G1851" i="1"/>
  <c r="D1851" i="1"/>
  <c r="C1851" i="1"/>
  <c r="G1850" i="1"/>
  <c r="D1850" i="1"/>
  <c r="C1850" i="1"/>
  <c r="G1849" i="1"/>
  <c r="D1849" i="1"/>
  <c r="C1849" i="1"/>
  <c r="G1848" i="1"/>
  <c r="D1848" i="1"/>
  <c r="C1848" i="1"/>
  <c r="G1847" i="1"/>
  <c r="D1847" i="1"/>
  <c r="C1847" i="1"/>
  <c r="G1846" i="1"/>
  <c r="D1846" i="1"/>
  <c r="C1846" i="1"/>
  <c r="G1845" i="1"/>
  <c r="D1845" i="1"/>
  <c r="C1845" i="1"/>
  <c r="G1844" i="1"/>
  <c r="D1844" i="1"/>
  <c r="C1844" i="1"/>
  <c r="G1843" i="1"/>
  <c r="D1843" i="1"/>
  <c r="C1843" i="1"/>
  <c r="G1842" i="1"/>
  <c r="D1842" i="1"/>
  <c r="C1842" i="1"/>
  <c r="G1841" i="1"/>
  <c r="D1841" i="1"/>
  <c r="C1841" i="1"/>
  <c r="G1840" i="1"/>
  <c r="D1840" i="1"/>
  <c r="C1840" i="1"/>
  <c r="G1839" i="1"/>
  <c r="D1839" i="1"/>
  <c r="C1839" i="1"/>
  <c r="G1838" i="1"/>
  <c r="D1838" i="1"/>
  <c r="C1838" i="1"/>
  <c r="G1837" i="1"/>
  <c r="D1837" i="1"/>
  <c r="C1837" i="1"/>
  <c r="G1836" i="1"/>
  <c r="D1836" i="1"/>
  <c r="C1836" i="1"/>
  <c r="G1835" i="1"/>
  <c r="D1835" i="1"/>
  <c r="C1835" i="1"/>
  <c r="G1834" i="1"/>
  <c r="D1834" i="1"/>
  <c r="C1834" i="1"/>
  <c r="G1833" i="1"/>
  <c r="D1833" i="1"/>
  <c r="C1833" i="1"/>
  <c r="G1832" i="1"/>
  <c r="D1832" i="1"/>
  <c r="C1832" i="1"/>
  <c r="G1831" i="1"/>
  <c r="D1831" i="1"/>
  <c r="C1831" i="1"/>
  <c r="G1830" i="1"/>
  <c r="D1830" i="1"/>
  <c r="C1830" i="1"/>
  <c r="G1829" i="1"/>
  <c r="D1829" i="1"/>
  <c r="C1829" i="1"/>
  <c r="G1828" i="1"/>
  <c r="D1828" i="1"/>
  <c r="C1828" i="1"/>
  <c r="G1827" i="1"/>
  <c r="D1827" i="1"/>
  <c r="C1827" i="1"/>
  <c r="G1826" i="1"/>
  <c r="D1826" i="1"/>
  <c r="C1826" i="1"/>
  <c r="G1825" i="1"/>
  <c r="D1825" i="1"/>
  <c r="C1825" i="1"/>
  <c r="G1824" i="1"/>
  <c r="D1824" i="1"/>
  <c r="C1824" i="1"/>
  <c r="G1823" i="1"/>
  <c r="D1823" i="1"/>
  <c r="C1823" i="1"/>
  <c r="G1822" i="1"/>
  <c r="D1822" i="1"/>
  <c r="C1822" i="1"/>
  <c r="G1821" i="1"/>
  <c r="D1821" i="1"/>
  <c r="C1821" i="1"/>
  <c r="G1820" i="1"/>
  <c r="D1820" i="1"/>
  <c r="C1820" i="1"/>
  <c r="G1819" i="1"/>
  <c r="D1819" i="1"/>
  <c r="C1819" i="1"/>
  <c r="G1818" i="1"/>
  <c r="D1818" i="1"/>
  <c r="C1818" i="1"/>
  <c r="G1817" i="1"/>
  <c r="D1817" i="1"/>
  <c r="C1817" i="1"/>
  <c r="G1816" i="1"/>
  <c r="D1816" i="1"/>
  <c r="C1816" i="1"/>
  <c r="G1815" i="1"/>
  <c r="D1815" i="1"/>
  <c r="C1815" i="1"/>
  <c r="G1814" i="1"/>
  <c r="D1814" i="1"/>
  <c r="C1814" i="1"/>
  <c r="G1813" i="1"/>
  <c r="D1813" i="1"/>
  <c r="C1813" i="1"/>
  <c r="G1812" i="1"/>
  <c r="D1812" i="1"/>
  <c r="C1812" i="1"/>
  <c r="G1811" i="1"/>
  <c r="D1811" i="1"/>
  <c r="C1811" i="1"/>
  <c r="G1810" i="1"/>
  <c r="D1810" i="1"/>
  <c r="C1810" i="1"/>
  <c r="G1809" i="1"/>
  <c r="D1809" i="1"/>
  <c r="C1809" i="1"/>
  <c r="G1808" i="1"/>
  <c r="D1808" i="1"/>
  <c r="C1808" i="1"/>
  <c r="G1807" i="1"/>
  <c r="D1807" i="1"/>
  <c r="C1807" i="1"/>
  <c r="G1806" i="1"/>
  <c r="D1806" i="1"/>
  <c r="C1806" i="1"/>
  <c r="G1805" i="1"/>
  <c r="D1805" i="1"/>
  <c r="C1805" i="1"/>
  <c r="L1804" i="1"/>
  <c r="G1804" i="1"/>
  <c r="D1804" i="1"/>
  <c r="C1804" i="1"/>
  <c r="G1803" i="1"/>
  <c r="D1803" i="1"/>
  <c r="C1803" i="1"/>
  <c r="G1802" i="1"/>
  <c r="D1802" i="1"/>
  <c r="C1802" i="1"/>
  <c r="G1801" i="1"/>
  <c r="D1801" i="1"/>
  <c r="C1801" i="1"/>
  <c r="G1800" i="1"/>
  <c r="D1800" i="1"/>
  <c r="C1800" i="1"/>
  <c r="G1799" i="1"/>
  <c r="D1799" i="1"/>
  <c r="C1799" i="1"/>
  <c r="L1798" i="1"/>
  <c r="G1798" i="1"/>
  <c r="D1798" i="1"/>
  <c r="C1798" i="1"/>
  <c r="G1797" i="1"/>
  <c r="D1797" i="1"/>
  <c r="C1797" i="1"/>
  <c r="G1796" i="1"/>
  <c r="D1796" i="1"/>
  <c r="C1796" i="1"/>
  <c r="G1795" i="1"/>
  <c r="D1795" i="1"/>
  <c r="C1795" i="1"/>
  <c r="L1794" i="1"/>
  <c r="G1794" i="1"/>
  <c r="D1794" i="1"/>
  <c r="C1794" i="1"/>
  <c r="L1793" i="1"/>
  <c r="G1793" i="1"/>
  <c r="D1793" i="1"/>
  <c r="C1793" i="1"/>
  <c r="G1792" i="1"/>
  <c r="D1792" i="1"/>
  <c r="C1792" i="1"/>
  <c r="G1791" i="1"/>
  <c r="D1791" i="1"/>
  <c r="C1791" i="1"/>
  <c r="G1790" i="1"/>
  <c r="D1790" i="1"/>
  <c r="C1790" i="1"/>
  <c r="G1789" i="1"/>
  <c r="D1789" i="1"/>
  <c r="C1789" i="1"/>
  <c r="G1788" i="1"/>
  <c r="D1788" i="1"/>
  <c r="C1788" i="1"/>
  <c r="G1787" i="1"/>
  <c r="D1787" i="1"/>
  <c r="C1787" i="1"/>
  <c r="L1786" i="1"/>
  <c r="G1786" i="1"/>
  <c r="D1786" i="1"/>
  <c r="C1786" i="1"/>
  <c r="G1785" i="1"/>
  <c r="D1785" i="1"/>
  <c r="C1785" i="1"/>
  <c r="L1784" i="1"/>
  <c r="G1784" i="1"/>
  <c r="D1784" i="1"/>
  <c r="C1784" i="1"/>
  <c r="L1783" i="1"/>
  <c r="G1783" i="1"/>
  <c r="D1783" i="1"/>
  <c r="C1783" i="1"/>
  <c r="G1782" i="1"/>
  <c r="D1782" i="1"/>
  <c r="C1782" i="1"/>
  <c r="G1781" i="1"/>
  <c r="D1781" i="1"/>
  <c r="C1781" i="1"/>
  <c r="L1780" i="1"/>
  <c r="G1780" i="1"/>
  <c r="D1780" i="1"/>
  <c r="C1780" i="1"/>
  <c r="L1779" i="1"/>
  <c r="G1779" i="1"/>
  <c r="D1779" i="1"/>
  <c r="C1779" i="1"/>
  <c r="L1778" i="1"/>
  <c r="G1778" i="1"/>
  <c r="D1778" i="1"/>
  <c r="C1778" i="1"/>
  <c r="L1777" i="1"/>
  <c r="G1777" i="1"/>
  <c r="D1777" i="1"/>
  <c r="C1777" i="1"/>
  <c r="L1776" i="1"/>
  <c r="G1776" i="1"/>
  <c r="D1776" i="1"/>
  <c r="C1776" i="1"/>
  <c r="L1775" i="1"/>
  <c r="G1775" i="1"/>
  <c r="D1775" i="1"/>
  <c r="C1775" i="1"/>
  <c r="L1774" i="1"/>
  <c r="G1774" i="1"/>
  <c r="D1774" i="1"/>
  <c r="C1774" i="1"/>
  <c r="L1773" i="1"/>
  <c r="G1773" i="1"/>
  <c r="D1773" i="1"/>
  <c r="C1773" i="1"/>
  <c r="L1772" i="1"/>
  <c r="G1772" i="1"/>
  <c r="D1772" i="1"/>
  <c r="C1772" i="1"/>
  <c r="L1771" i="1"/>
  <c r="G1771" i="1"/>
  <c r="D1771" i="1"/>
  <c r="C1771" i="1"/>
  <c r="L1770" i="1"/>
  <c r="G1770" i="1"/>
  <c r="D1770" i="1"/>
  <c r="C1770" i="1"/>
  <c r="L1769" i="1"/>
  <c r="G1769" i="1"/>
  <c r="D1769" i="1"/>
  <c r="C1769" i="1"/>
  <c r="L1768" i="1"/>
  <c r="G1768" i="1"/>
  <c r="D1768" i="1"/>
  <c r="C1768" i="1"/>
  <c r="L1767" i="1"/>
  <c r="G1767" i="1"/>
  <c r="D1767" i="1"/>
  <c r="C1767" i="1"/>
  <c r="L1766" i="1"/>
  <c r="G1766" i="1"/>
  <c r="D1766" i="1"/>
  <c r="C1766" i="1"/>
  <c r="L1765" i="1"/>
  <c r="G1765" i="1"/>
  <c r="D1765" i="1"/>
  <c r="C1765" i="1"/>
  <c r="L1764" i="1"/>
  <c r="G1764" i="1"/>
  <c r="D1764" i="1"/>
  <c r="C1764" i="1"/>
  <c r="L1763" i="1"/>
  <c r="G1763" i="1"/>
  <c r="D1763" i="1"/>
  <c r="C1763" i="1"/>
  <c r="L1762" i="1"/>
  <c r="G1762" i="1"/>
  <c r="D1762" i="1"/>
  <c r="C1762" i="1"/>
  <c r="L1761" i="1"/>
  <c r="G1761" i="1"/>
  <c r="D1761" i="1"/>
  <c r="C1761" i="1"/>
  <c r="L1760" i="1"/>
  <c r="G1760" i="1"/>
  <c r="D1760" i="1"/>
  <c r="C1760" i="1"/>
  <c r="L1759" i="1"/>
  <c r="G1759" i="1"/>
  <c r="D1759" i="1"/>
  <c r="C1759" i="1"/>
  <c r="L1758" i="1"/>
  <c r="G1758" i="1"/>
  <c r="D1758" i="1"/>
  <c r="C1758" i="1"/>
  <c r="L1757" i="1"/>
  <c r="G1757" i="1"/>
  <c r="D1757" i="1"/>
  <c r="C1757" i="1"/>
  <c r="L1756" i="1"/>
  <c r="G1756" i="1"/>
  <c r="D1756" i="1"/>
  <c r="C1756" i="1"/>
  <c r="L1755" i="1"/>
  <c r="G1755" i="1"/>
  <c r="D1755" i="1"/>
  <c r="C1755" i="1"/>
  <c r="L1754" i="1"/>
  <c r="G1754" i="1"/>
  <c r="D1754" i="1"/>
  <c r="C1754" i="1"/>
  <c r="L1753" i="1"/>
  <c r="G1753" i="1"/>
  <c r="D1753" i="1"/>
  <c r="C1753" i="1"/>
  <c r="L1752" i="1"/>
  <c r="G1752" i="1"/>
  <c r="D1752" i="1"/>
  <c r="C1752" i="1"/>
  <c r="L1751" i="1"/>
  <c r="G1751" i="1"/>
  <c r="D1751" i="1"/>
  <c r="C1751" i="1"/>
  <c r="L1750" i="1"/>
  <c r="G1750" i="1"/>
  <c r="D1750" i="1"/>
  <c r="C1750" i="1"/>
  <c r="L1749" i="1"/>
  <c r="G1749" i="1"/>
  <c r="D1749" i="1"/>
  <c r="C1749" i="1"/>
  <c r="G1748" i="1"/>
  <c r="D1748" i="1"/>
  <c r="C1748" i="1"/>
  <c r="L1747" i="1"/>
  <c r="G1747" i="1"/>
  <c r="D1747" i="1"/>
  <c r="C1747" i="1"/>
  <c r="L1746" i="1"/>
  <c r="G1746" i="1"/>
  <c r="D1746" i="1"/>
  <c r="C1746" i="1"/>
  <c r="L1745" i="1"/>
  <c r="G1745" i="1"/>
  <c r="D1745" i="1"/>
  <c r="C1745" i="1"/>
  <c r="L1744" i="1"/>
  <c r="G1744" i="1"/>
  <c r="D1744" i="1"/>
  <c r="C1744" i="1"/>
  <c r="L1743" i="1"/>
  <c r="G1743" i="1"/>
  <c r="D1743" i="1"/>
  <c r="C1743" i="1"/>
  <c r="L1742" i="1"/>
  <c r="G1742" i="1"/>
  <c r="D1742" i="1"/>
  <c r="C1742" i="1"/>
  <c r="L1741" i="1"/>
  <c r="G1741" i="1"/>
  <c r="D1741" i="1"/>
  <c r="C1741" i="1"/>
  <c r="G1740" i="1"/>
  <c r="D1740" i="1"/>
  <c r="C1740" i="1"/>
  <c r="L1739" i="1"/>
  <c r="G1739" i="1"/>
  <c r="D1739" i="1"/>
  <c r="C1739" i="1"/>
  <c r="L1738" i="1"/>
  <c r="G1738" i="1"/>
  <c r="D1738" i="1"/>
  <c r="C1738" i="1"/>
  <c r="G1737" i="1"/>
  <c r="D1737" i="1"/>
  <c r="C1737" i="1"/>
  <c r="G1736" i="1"/>
  <c r="D1736" i="1"/>
  <c r="C1736" i="1"/>
  <c r="G1735" i="1"/>
  <c r="D1735" i="1"/>
  <c r="C1735" i="1"/>
  <c r="L1734" i="1"/>
  <c r="G1734" i="1"/>
  <c r="D1734" i="1"/>
  <c r="C1734" i="1"/>
  <c r="L1733" i="1"/>
  <c r="G1733" i="1"/>
  <c r="D1733" i="1"/>
  <c r="C1733" i="1"/>
  <c r="L1732" i="1"/>
  <c r="G1732" i="1"/>
  <c r="D1732" i="1"/>
  <c r="C1732" i="1"/>
  <c r="L1731" i="1"/>
  <c r="G1731" i="1"/>
  <c r="D1731" i="1"/>
  <c r="C1731" i="1"/>
  <c r="L1730" i="1"/>
  <c r="G1730" i="1"/>
  <c r="D1730" i="1"/>
  <c r="C1730" i="1"/>
  <c r="L1729" i="1"/>
  <c r="G1729" i="1"/>
  <c r="D1729" i="1"/>
  <c r="C1729" i="1"/>
  <c r="L1728" i="1"/>
  <c r="G1728" i="1"/>
  <c r="D1728" i="1"/>
  <c r="C1728" i="1"/>
  <c r="L1727" i="1"/>
  <c r="G1727" i="1"/>
  <c r="D1727" i="1"/>
  <c r="C1727" i="1"/>
  <c r="L1726" i="1"/>
  <c r="G1726" i="1"/>
  <c r="D1726" i="1"/>
  <c r="C1726" i="1"/>
  <c r="L1725" i="1"/>
  <c r="G1725" i="1"/>
  <c r="D1725" i="1"/>
  <c r="C1725" i="1"/>
  <c r="L1724" i="1"/>
  <c r="G1724" i="1"/>
  <c r="D1724" i="1"/>
  <c r="C1724" i="1"/>
  <c r="L1723" i="1"/>
  <c r="G1723" i="1"/>
  <c r="D1723" i="1"/>
  <c r="C1723" i="1"/>
  <c r="L1722" i="1"/>
  <c r="G1722" i="1"/>
  <c r="D1722" i="1"/>
  <c r="C1722" i="1"/>
  <c r="L1721" i="1"/>
  <c r="G1721" i="1"/>
  <c r="D1721" i="1"/>
  <c r="C1721" i="1"/>
  <c r="L1720" i="1"/>
  <c r="G1720" i="1"/>
  <c r="D1720" i="1"/>
  <c r="C1720" i="1"/>
  <c r="L1719" i="1"/>
  <c r="G1719" i="1"/>
  <c r="D1719" i="1"/>
  <c r="C1719" i="1"/>
  <c r="L1718" i="1"/>
  <c r="G1718" i="1"/>
  <c r="D1718" i="1"/>
  <c r="C1718" i="1"/>
  <c r="L1717" i="1"/>
  <c r="G1717" i="1"/>
  <c r="D1717" i="1"/>
  <c r="C1717" i="1"/>
  <c r="L1716" i="1"/>
  <c r="G1716" i="1"/>
  <c r="D1716" i="1"/>
  <c r="C1716" i="1"/>
  <c r="L1715" i="1"/>
  <c r="G1715" i="1"/>
  <c r="D1715" i="1"/>
  <c r="C1715" i="1"/>
  <c r="G1714" i="1"/>
  <c r="D1714" i="1"/>
  <c r="C1714" i="1"/>
  <c r="L1713" i="1"/>
  <c r="G1713" i="1"/>
  <c r="D1713" i="1"/>
  <c r="C1713" i="1"/>
  <c r="L1712" i="1"/>
  <c r="G1712" i="1"/>
  <c r="D1712" i="1"/>
  <c r="C1712" i="1"/>
  <c r="L1711" i="1"/>
  <c r="G1711" i="1"/>
  <c r="D1711" i="1"/>
  <c r="C1711" i="1"/>
  <c r="L1710" i="1"/>
  <c r="G1710" i="1"/>
  <c r="D1710" i="1"/>
  <c r="C1710" i="1"/>
  <c r="L1709" i="1"/>
  <c r="G1709" i="1"/>
  <c r="D1709" i="1"/>
  <c r="C1709" i="1"/>
  <c r="L1708" i="1"/>
  <c r="G1708" i="1"/>
  <c r="D1708" i="1"/>
  <c r="C1708" i="1"/>
  <c r="L1707" i="1"/>
  <c r="G1707" i="1"/>
  <c r="D1707" i="1"/>
  <c r="C1707" i="1"/>
  <c r="L1706" i="1"/>
  <c r="G1706" i="1"/>
  <c r="D1706" i="1"/>
  <c r="C1706" i="1"/>
  <c r="L1705" i="1"/>
  <c r="G1705" i="1"/>
  <c r="D1705" i="1"/>
  <c r="C1705" i="1"/>
  <c r="L1704" i="1"/>
  <c r="G1704" i="1"/>
  <c r="D1704" i="1"/>
  <c r="C1704" i="1"/>
  <c r="L1703" i="1"/>
  <c r="G1703" i="1"/>
  <c r="D1703" i="1"/>
  <c r="C1703" i="1"/>
  <c r="L1702" i="1"/>
  <c r="G1702" i="1"/>
  <c r="D1702" i="1"/>
  <c r="C1702" i="1"/>
  <c r="L1701" i="1"/>
  <c r="G1701" i="1"/>
  <c r="D1701" i="1"/>
  <c r="C1701" i="1"/>
  <c r="L1700" i="1"/>
  <c r="G1700" i="1"/>
  <c r="D1700" i="1"/>
  <c r="C1700" i="1"/>
  <c r="L1699" i="1"/>
  <c r="G1699" i="1"/>
  <c r="D1699" i="1"/>
  <c r="C1699" i="1"/>
  <c r="L1698" i="1"/>
  <c r="G1698" i="1"/>
  <c r="D1698" i="1"/>
  <c r="C1698" i="1"/>
  <c r="L1697" i="1"/>
  <c r="G1697" i="1"/>
  <c r="D1697" i="1"/>
  <c r="C1697" i="1"/>
  <c r="L1696" i="1"/>
  <c r="G1696" i="1"/>
  <c r="D1696" i="1"/>
  <c r="C1696" i="1"/>
  <c r="L1695" i="1"/>
  <c r="G1695" i="1"/>
  <c r="D1695" i="1"/>
  <c r="C1695" i="1"/>
  <c r="L1694" i="1"/>
  <c r="G1694" i="1"/>
  <c r="D1694" i="1"/>
  <c r="C1694" i="1"/>
  <c r="L1693" i="1"/>
  <c r="G1693" i="1"/>
  <c r="D1693" i="1"/>
  <c r="C1693" i="1"/>
  <c r="L1692" i="1"/>
  <c r="G1692" i="1"/>
  <c r="D1692" i="1"/>
  <c r="C1692" i="1"/>
  <c r="G1691" i="1"/>
  <c r="D1691" i="1"/>
  <c r="C1691" i="1"/>
  <c r="L1690" i="1"/>
  <c r="G1690" i="1"/>
  <c r="D1690" i="1"/>
  <c r="C1690" i="1"/>
  <c r="L1689" i="1"/>
  <c r="G1689" i="1"/>
  <c r="D1689" i="1"/>
  <c r="C1689" i="1"/>
  <c r="G1688" i="1"/>
  <c r="D1688" i="1"/>
  <c r="C1688" i="1"/>
  <c r="L1687" i="1"/>
  <c r="G1687" i="1"/>
  <c r="D1687" i="1"/>
  <c r="C1687" i="1"/>
  <c r="L1686" i="1"/>
  <c r="G1686" i="1"/>
  <c r="D1686" i="1"/>
  <c r="C1686" i="1"/>
  <c r="L1685" i="1"/>
  <c r="G1685" i="1"/>
  <c r="D1685" i="1"/>
  <c r="C1685" i="1"/>
  <c r="L1684" i="1"/>
  <c r="G1684" i="1"/>
  <c r="D1684" i="1"/>
  <c r="C1684" i="1"/>
  <c r="L1683" i="1"/>
  <c r="G1683" i="1"/>
  <c r="D1683" i="1"/>
  <c r="C1683" i="1"/>
  <c r="L1682" i="1"/>
  <c r="G1682" i="1"/>
  <c r="D1682" i="1"/>
  <c r="C1682" i="1"/>
  <c r="L1681" i="1"/>
  <c r="G1681" i="1"/>
  <c r="D1681" i="1"/>
  <c r="C1681" i="1"/>
  <c r="L1680" i="1"/>
  <c r="G1680" i="1"/>
  <c r="D1680" i="1"/>
  <c r="C1680" i="1"/>
  <c r="L1679" i="1"/>
  <c r="G1679" i="1"/>
  <c r="D1679" i="1"/>
  <c r="C1679" i="1"/>
  <c r="L1678" i="1"/>
  <c r="G1678" i="1"/>
  <c r="D1678" i="1"/>
  <c r="C1678" i="1"/>
  <c r="L1677" i="1"/>
  <c r="G1677" i="1"/>
  <c r="D1677" i="1"/>
  <c r="C1677" i="1"/>
  <c r="L1676" i="1"/>
  <c r="G1676" i="1"/>
  <c r="D1676" i="1"/>
  <c r="C1676" i="1"/>
  <c r="L1675" i="1"/>
  <c r="G1675" i="1"/>
  <c r="D1675" i="1"/>
  <c r="C1675" i="1"/>
  <c r="L1674" i="1"/>
  <c r="G1674" i="1"/>
  <c r="D1674" i="1"/>
  <c r="C1674" i="1"/>
  <c r="L1673" i="1"/>
  <c r="G1673" i="1"/>
  <c r="D1673" i="1"/>
  <c r="C1673" i="1"/>
  <c r="G1672" i="1"/>
  <c r="D1672" i="1"/>
  <c r="C1672" i="1"/>
  <c r="L1671" i="1"/>
  <c r="G1671" i="1"/>
  <c r="D1671" i="1"/>
  <c r="C1671" i="1"/>
  <c r="L1670" i="1"/>
  <c r="G1670" i="1"/>
  <c r="D1670" i="1"/>
  <c r="C1670" i="1"/>
  <c r="L1669" i="1"/>
  <c r="G1669" i="1"/>
  <c r="D1669" i="1"/>
  <c r="C1669" i="1"/>
  <c r="L1668" i="1"/>
  <c r="G1668" i="1"/>
  <c r="D1668" i="1"/>
  <c r="C1668" i="1"/>
  <c r="L1667" i="1"/>
  <c r="G1667" i="1"/>
  <c r="D1667" i="1"/>
  <c r="C1667" i="1"/>
  <c r="L1666" i="1"/>
  <c r="G1666" i="1"/>
  <c r="D1666" i="1"/>
  <c r="C1666" i="1"/>
  <c r="L1665" i="1"/>
  <c r="G1665" i="1"/>
  <c r="D1665" i="1"/>
  <c r="C1665" i="1"/>
  <c r="L1664" i="1"/>
  <c r="G1664" i="1"/>
  <c r="D1664" i="1"/>
  <c r="C1664" i="1"/>
  <c r="L1663" i="1"/>
  <c r="G1663" i="1"/>
  <c r="D1663" i="1"/>
  <c r="C1663" i="1"/>
  <c r="G1662" i="1"/>
  <c r="D1662" i="1"/>
  <c r="C1662" i="1"/>
  <c r="G1661" i="1"/>
  <c r="D1661" i="1"/>
  <c r="C1661" i="1"/>
  <c r="G1660" i="1"/>
  <c r="D1660" i="1"/>
  <c r="C1660" i="1"/>
  <c r="L1659" i="1"/>
  <c r="G1659" i="1"/>
  <c r="D1659" i="1"/>
  <c r="C1659" i="1"/>
  <c r="L1658" i="1"/>
  <c r="G1658" i="1"/>
  <c r="D1658" i="1"/>
  <c r="C1658" i="1"/>
  <c r="G1657" i="1"/>
  <c r="D1657" i="1"/>
  <c r="C1657" i="1"/>
  <c r="G1656" i="1"/>
  <c r="D1656" i="1"/>
  <c r="C1656" i="1"/>
  <c r="G1655" i="1"/>
  <c r="D1655" i="1"/>
  <c r="C1655" i="1"/>
  <c r="G1654" i="1"/>
  <c r="D1654" i="1"/>
  <c r="C1654" i="1"/>
  <c r="G1653" i="1"/>
  <c r="D1653" i="1"/>
  <c r="C1653" i="1"/>
  <c r="G1652" i="1"/>
  <c r="D1652" i="1"/>
  <c r="C1652" i="1"/>
  <c r="G1651" i="1"/>
  <c r="D1651" i="1"/>
  <c r="C1651" i="1"/>
  <c r="G1650" i="1"/>
  <c r="D1650" i="1"/>
  <c r="C1650" i="1"/>
  <c r="G1649" i="1"/>
  <c r="D1649" i="1"/>
  <c r="C1649" i="1"/>
  <c r="G1648" i="1"/>
  <c r="D1648" i="1"/>
  <c r="C1648" i="1"/>
  <c r="G1647" i="1"/>
  <c r="D1647" i="1"/>
  <c r="C1647" i="1"/>
  <c r="G1646" i="1"/>
  <c r="D1646" i="1"/>
  <c r="C1646" i="1"/>
  <c r="G1645" i="1"/>
  <c r="D1645" i="1"/>
  <c r="C1645" i="1"/>
  <c r="G1644" i="1"/>
  <c r="D1644" i="1"/>
  <c r="C1644" i="1"/>
  <c r="L1643" i="1"/>
  <c r="G1643" i="1"/>
  <c r="D1643" i="1"/>
  <c r="C1643" i="1"/>
  <c r="L1642" i="1"/>
  <c r="G1642" i="1"/>
  <c r="D1642" i="1"/>
  <c r="C1642" i="1"/>
  <c r="L1641" i="1"/>
  <c r="G1641" i="1"/>
  <c r="D1641" i="1"/>
  <c r="C1641" i="1"/>
  <c r="L1640" i="1"/>
  <c r="G1640" i="1"/>
  <c r="D1640" i="1"/>
  <c r="C1640" i="1"/>
  <c r="G1639" i="1"/>
  <c r="D1639" i="1"/>
  <c r="C1639" i="1"/>
  <c r="L1638" i="1"/>
  <c r="G1638" i="1"/>
  <c r="D1638" i="1"/>
  <c r="C1638" i="1"/>
  <c r="L1637" i="1"/>
  <c r="G1637" i="1"/>
  <c r="D1637" i="1"/>
  <c r="C1637" i="1"/>
  <c r="G1636" i="1"/>
  <c r="D1636" i="1"/>
  <c r="C1636" i="1"/>
  <c r="L1635" i="1"/>
  <c r="G1635" i="1"/>
  <c r="D1635" i="1"/>
  <c r="C1635" i="1"/>
  <c r="G1634" i="1"/>
  <c r="D1634" i="1"/>
  <c r="C1634" i="1"/>
  <c r="L1633" i="1"/>
  <c r="G1633" i="1"/>
  <c r="D1633" i="1"/>
  <c r="C1633" i="1"/>
  <c r="G1632" i="1"/>
  <c r="D1632" i="1"/>
  <c r="C1632" i="1"/>
  <c r="L1631" i="1"/>
  <c r="G1631" i="1"/>
  <c r="D1631" i="1"/>
  <c r="C1631" i="1"/>
  <c r="L1630" i="1"/>
  <c r="G1630" i="1"/>
  <c r="D1630" i="1"/>
  <c r="C1630" i="1"/>
  <c r="L1629" i="1"/>
  <c r="G1629" i="1"/>
  <c r="D1629" i="1"/>
  <c r="C1629" i="1"/>
  <c r="L1628" i="1"/>
  <c r="G1628" i="1"/>
  <c r="D1628" i="1"/>
  <c r="C1628" i="1"/>
  <c r="L1627" i="1"/>
  <c r="G1627" i="1"/>
  <c r="D1627" i="1"/>
  <c r="C1627" i="1"/>
  <c r="L1626" i="1"/>
  <c r="G1626" i="1"/>
  <c r="D1626" i="1"/>
  <c r="C1626" i="1"/>
  <c r="G1625" i="1"/>
  <c r="D1625" i="1"/>
  <c r="C1625" i="1"/>
  <c r="G1624" i="1"/>
  <c r="D1624" i="1"/>
  <c r="C1624" i="1"/>
  <c r="L1623" i="1"/>
  <c r="G1623" i="1"/>
  <c r="D1623" i="1"/>
  <c r="C1623" i="1"/>
  <c r="L1622" i="1"/>
  <c r="G1622" i="1"/>
  <c r="D1622" i="1"/>
  <c r="C1622" i="1"/>
  <c r="L1621" i="1"/>
  <c r="G1621" i="1"/>
  <c r="D1621" i="1"/>
  <c r="C1621" i="1"/>
  <c r="L1620" i="1"/>
  <c r="G1620" i="1"/>
  <c r="D1620" i="1"/>
  <c r="C1620" i="1"/>
  <c r="L1619" i="1"/>
  <c r="G1619" i="1"/>
  <c r="D1619" i="1"/>
  <c r="C1619" i="1"/>
  <c r="L1618" i="1"/>
  <c r="G1618" i="1"/>
  <c r="D1618" i="1"/>
  <c r="C1618" i="1"/>
  <c r="L1617" i="1"/>
  <c r="G1617" i="1"/>
  <c r="D1617" i="1"/>
  <c r="C1617" i="1"/>
  <c r="G1616" i="1"/>
  <c r="D1616" i="1"/>
  <c r="C1616" i="1"/>
  <c r="L1615" i="1"/>
  <c r="G1615" i="1"/>
  <c r="D1615" i="1"/>
  <c r="C1615" i="1"/>
  <c r="L1614" i="1"/>
  <c r="G1614" i="1"/>
  <c r="D1614" i="1"/>
  <c r="C1614" i="1"/>
  <c r="G1613" i="1"/>
  <c r="D1613" i="1"/>
  <c r="C1613" i="1"/>
  <c r="G1612" i="1"/>
  <c r="D1612" i="1"/>
  <c r="C1612" i="1"/>
  <c r="G1611" i="1"/>
  <c r="D1611" i="1"/>
  <c r="C1611" i="1"/>
  <c r="L1610" i="1"/>
  <c r="G1610" i="1"/>
  <c r="D1610" i="1"/>
  <c r="C1610" i="1"/>
  <c r="L1609" i="1"/>
  <c r="G1609" i="1"/>
  <c r="D1609" i="1"/>
  <c r="C1609" i="1"/>
  <c r="L1608" i="1"/>
  <c r="G1608" i="1"/>
  <c r="D1608" i="1"/>
  <c r="C1608" i="1"/>
  <c r="L1607" i="1"/>
  <c r="G1607" i="1"/>
  <c r="D1607" i="1"/>
  <c r="C1607" i="1"/>
  <c r="L1606" i="1"/>
  <c r="G1606" i="1"/>
  <c r="D1606" i="1"/>
  <c r="C1606" i="1"/>
  <c r="L1605" i="1"/>
  <c r="G1605" i="1"/>
  <c r="D1605" i="1"/>
  <c r="C1605" i="1"/>
  <c r="L1604" i="1"/>
  <c r="G1604" i="1"/>
  <c r="D1604" i="1"/>
  <c r="C1604" i="1"/>
  <c r="L1603" i="1"/>
  <c r="G1603" i="1"/>
  <c r="D1603" i="1"/>
  <c r="C1603" i="1"/>
  <c r="L1602" i="1"/>
  <c r="G1602" i="1"/>
  <c r="D1602" i="1"/>
  <c r="C1602" i="1"/>
  <c r="L1601" i="1"/>
  <c r="G1601" i="1"/>
  <c r="D1601" i="1"/>
  <c r="C1601" i="1"/>
  <c r="G1600" i="1"/>
  <c r="D1600" i="1"/>
  <c r="C1600" i="1"/>
  <c r="G1599" i="1"/>
  <c r="D1599" i="1"/>
  <c r="C1599" i="1"/>
  <c r="L1598" i="1"/>
  <c r="G1598" i="1"/>
  <c r="D1598" i="1"/>
  <c r="C1598" i="1"/>
  <c r="L1597" i="1"/>
  <c r="G1597" i="1"/>
  <c r="D1597" i="1"/>
  <c r="C1597" i="1"/>
  <c r="L1596" i="1"/>
  <c r="G1596" i="1"/>
  <c r="D1596" i="1"/>
  <c r="C1596" i="1"/>
  <c r="G1595" i="1"/>
  <c r="D1595" i="1"/>
  <c r="C1595" i="1"/>
  <c r="G1594" i="1"/>
  <c r="D1594" i="1"/>
  <c r="C1594" i="1"/>
  <c r="G1593" i="1"/>
  <c r="D1593" i="1"/>
  <c r="C1593" i="1"/>
  <c r="L1592" i="1"/>
  <c r="G1592" i="1"/>
  <c r="D1592" i="1"/>
  <c r="C1592" i="1"/>
  <c r="L1591" i="1"/>
  <c r="G1591" i="1"/>
  <c r="D1591" i="1"/>
  <c r="C1591" i="1"/>
  <c r="L1590" i="1"/>
  <c r="G1590" i="1"/>
  <c r="D1590" i="1"/>
  <c r="C1590" i="1"/>
  <c r="L1589" i="1"/>
  <c r="G1589" i="1"/>
  <c r="D1589" i="1"/>
  <c r="C1589" i="1"/>
  <c r="L1588" i="1"/>
  <c r="G1588" i="1"/>
  <c r="D1588" i="1"/>
  <c r="C1588" i="1"/>
  <c r="L1587" i="1"/>
  <c r="G1587" i="1"/>
  <c r="D1587" i="1"/>
  <c r="C1587" i="1"/>
  <c r="L1586" i="1"/>
  <c r="G1586" i="1"/>
  <c r="D1586" i="1"/>
  <c r="C1586" i="1"/>
  <c r="G1585" i="1"/>
  <c r="D1585" i="1"/>
  <c r="C1585" i="1"/>
  <c r="G1584" i="1"/>
  <c r="D1584" i="1"/>
  <c r="C1584" i="1"/>
  <c r="L1583" i="1"/>
  <c r="G1583" i="1"/>
  <c r="D1583" i="1"/>
  <c r="C1583" i="1"/>
  <c r="G1582" i="1"/>
  <c r="D1582" i="1"/>
  <c r="C1582" i="1"/>
  <c r="G1581" i="1"/>
  <c r="D1581" i="1"/>
  <c r="C1581" i="1"/>
  <c r="L1580" i="1"/>
  <c r="G1580" i="1"/>
  <c r="D1580" i="1"/>
  <c r="C1580" i="1"/>
  <c r="L1579" i="1"/>
  <c r="G1579" i="1"/>
  <c r="D1579" i="1"/>
  <c r="C1579" i="1"/>
  <c r="G1578" i="1"/>
  <c r="D1578" i="1"/>
  <c r="C1578" i="1"/>
  <c r="L1577" i="1"/>
  <c r="G1577" i="1"/>
  <c r="D1577" i="1"/>
  <c r="C1577" i="1"/>
  <c r="L1576" i="1"/>
  <c r="G1576" i="1"/>
  <c r="D1576" i="1"/>
  <c r="C1576" i="1"/>
  <c r="L1575" i="1"/>
  <c r="G1575" i="1"/>
  <c r="D1575" i="1"/>
  <c r="C1575" i="1"/>
  <c r="L1574" i="1"/>
  <c r="G1574" i="1"/>
  <c r="D1574" i="1"/>
  <c r="C1574" i="1"/>
  <c r="L1573" i="1"/>
  <c r="G1573" i="1"/>
  <c r="D1573" i="1"/>
  <c r="C1573" i="1"/>
  <c r="G1572" i="1"/>
  <c r="D1572" i="1"/>
  <c r="C1572" i="1"/>
  <c r="G1571" i="1"/>
  <c r="D1571" i="1"/>
  <c r="C1571" i="1"/>
  <c r="G1570" i="1"/>
  <c r="D1570" i="1"/>
  <c r="C1570" i="1"/>
  <c r="L1569" i="1"/>
  <c r="G1569" i="1"/>
  <c r="D1569" i="1"/>
  <c r="C1569" i="1"/>
  <c r="L1568" i="1"/>
  <c r="G1568" i="1"/>
  <c r="D1568" i="1"/>
  <c r="C1568" i="1"/>
  <c r="L1567" i="1"/>
  <c r="G1567" i="1"/>
  <c r="D1567" i="1"/>
  <c r="C1567" i="1"/>
  <c r="G1566" i="1"/>
  <c r="D1566" i="1"/>
  <c r="C1566" i="1"/>
  <c r="L1565" i="1"/>
  <c r="G1565" i="1"/>
  <c r="D1565" i="1"/>
  <c r="C1565" i="1"/>
  <c r="L1564" i="1"/>
  <c r="G1564" i="1"/>
  <c r="D1564" i="1"/>
  <c r="C1564" i="1"/>
  <c r="L1563" i="1"/>
  <c r="G1563" i="1"/>
  <c r="D1563" i="1"/>
  <c r="C1563" i="1"/>
  <c r="L1562" i="1"/>
  <c r="G1562" i="1"/>
  <c r="D1562" i="1"/>
  <c r="C1562" i="1"/>
  <c r="L1561" i="1"/>
  <c r="G1561" i="1"/>
  <c r="D1561" i="1"/>
  <c r="C1561" i="1"/>
  <c r="L1560" i="1"/>
  <c r="G1560" i="1"/>
  <c r="D1560" i="1"/>
  <c r="C1560" i="1"/>
  <c r="L1559" i="1"/>
  <c r="G1559" i="1"/>
  <c r="D1559" i="1"/>
  <c r="C1559" i="1"/>
  <c r="L1558" i="1"/>
  <c r="G1558" i="1"/>
  <c r="D1558" i="1"/>
  <c r="C1558" i="1"/>
  <c r="G1557" i="1"/>
  <c r="D1557" i="1"/>
  <c r="C1557" i="1"/>
  <c r="L1556" i="1"/>
  <c r="G1556" i="1"/>
  <c r="D1556" i="1"/>
  <c r="C1556" i="1"/>
  <c r="G1555" i="1"/>
  <c r="D1555" i="1"/>
  <c r="C1555" i="1"/>
  <c r="L1554" i="1"/>
  <c r="G1554" i="1"/>
  <c r="D1554" i="1"/>
  <c r="C1554" i="1"/>
  <c r="G1553" i="1"/>
  <c r="D1553" i="1"/>
  <c r="C1553" i="1"/>
  <c r="G1552" i="1"/>
  <c r="D1552" i="1"/>
  <c r="C1552" i="1"/>
  <c r="L1551" i="1"/>
  <c r="G1551" i="1"/>
  <c r="D1551" i="1"/>
  <c r="C1551" i="1"/>
  <c r="L1550" i="1"/>
  <c r="G1550" i="1"/>
  <c r="D1550" i="1"/>
  <c r="C1550" i="1"/>
  <c r="G1549" i="1"/>
  <c r="D1549" i="1"/>
  <c r="C1549" i="1"/>
  <c r="G1548" i="1"/>
  <c r="D1548" i="1"/>
  <c r="C1548" i="1"/>
  <c r="L1547" i="1"/>
  <c r="G1547" i="1"/>
  <c r="D1547" i="1"/>
  <c r="C1547" i="1"/>
  <c r="G1546" i="1"/>
  <c r="D1546" i="1"/>
  <c r="C1546" i="1"/>
  <c r="G1545" i="1"/>
  <c r="D1545" i="1"/>
  <c r="C1545" i="1"/>
  <c r="G1544" i="1"/>
  <c r="D1544" i="1"/>
  <c r="C1544" i="1"/>
  <c r="G1543" i="1"/>
  <c r="D1543" i="1"/>
  <c r="C1543" i="1"/>
  <c r="G1542" i="1"/>
  <c r="D1542" i="1"/>
  <c r="C1542" i="1"/>
  <c r="L1541" i="1"/>
  <c r="G1541" i="1"/>
  <c r="D1541" i="1"/>
  <c r="C1541" i="1"/>
  <c r="G1540" i="1"/>
  <c r="D1540" i="1"/>
  <c r="C1540" i="1"/>
  <c r="G1539" i="1"/>
  <c r="D1539" i="1"/>
  <c r="C1539" i="1"/>
  <c r="G1538" i="1"/>
  <c r="D1538" i="1"/>
  <c r="C1538" i="1"/>
  <c r="G1537" i="1"/>
  <c r="D1537" i="1"/>
  <c r="C1537" i="1"/>
  <c r="G1536" i="1"/>
  <c r="D1536" i="1"/>
  <c r="C1536" i="1"/>
  <c r="G1535" i="1"/>
  <c r="D1535" i="1"/>
  <c r="C1535" i="1"/>
  <c r="G1534" i="1"/>
  <c r="D1534" i="1"/>
  <c r="C1534" i="1"/>
  <c r="G1533" i="1"/>
  <c r="D1533" i="1"/>
  <c r="C1533" i="1"/>
  <c r="G1532" i="1"/>
  <c r="D1532" i="1"/>
  <c r="C1532" i="1"/>
  <c r="G1531" i="1"/>
  <c r="D1531" i="1"/>
  <c r="C1531" i="1"/>
  <c r="G1530" i="1"/>
  <c r="D1530" i="1"/>
  <c r="C1530" i="1"/>
  <c r="L1529" i="1"/>
  <c r="G1529" i="1"/>
  <c r="D1529" i="1"/>
  <c r="C1529" i="1"/>
  <c r="L1528" i="1"/>
  <c r="G1528" i="1"/>
  <c r="D1528" i="1"/>
  <c r="C1528" i="1"/>
  <c r="G1527" i="1"/>
  <c r="D1527" i="1"/>
  <c r="C1527" i="1"/>
  <c r="G1526" i="1"/>
  <c r="D1526" i="1"/>
  <c r="C1526" i="1"/>
  <c r="G1525" i="1"/>
  <c r="D1525" i="1"/>
  <c r="C1525" i="1"/>
  <c r="G1524" i="1"/>
  <c r="D1524" i="1"/>
  <c r="C1524" i="1"/>
  <c r="G1523" i="1"/>
  <c r="D1523" i="1"/>
  <c r="C1523" i="1"/>
  <c r="G1522" i="1"/>
  <c r="D1522" i="1"/>
  <c r="C1522" i="1"/>
  <c r="G1521" i="1"/>
  <c r="D1521" i="1"/>
  <c r="C1521" i="1"/>
  <c r="G1520" i="1"/>
  <c r="D1520" i="1"/>
  <c r="C1520" i="1"/>
  <c r="G1519" i="1"/>
  <c r="D1519" i="1"/>
  <c r="C1519" i="1"/>
  <c r="G1518" i="1"/>
  <c r="D1518" i="1"/>
  <c r="C1518" i="1"/>
  <c r="G1517" i="1"/>
  <c r="D1517" i="1"/>
  <c r="C1517" i="1"/>
  <c r="G1516" i="1"/>
  <c r="D1516" i="1"/>
  <c r="C1516" i="1"/>
  <c r="G1515" i="1"/>
  <c r="D1515" i="1"/>
  <c r="C1515" i="1"/>
  <c r="G1514" i="1"/>
  <c r="D1514" i="1"/>
  <c r="C1514" i="1"/>
  <c r="G1513" i="1"/>
  <c r="D1513" i="1"/>
  <c r="C1513" i="1"/>
  <c r="G1512" i="1"/>
  <c r="D1512" i="1"/>
  <c r="C1512" i="1"/>
  <c r="G1511" i="1"/>
  <c r="D1511" i="1"/>
  <c r="C1511" i="1"/>
  <c r="G1510" i="1"/>
  <c r="D1510" i="1"/>
  <c r="C1510" i="1"/>
  <c r="G1509" i="1"/>
  <c r="D1509" i="1"/>
  <c r="C1509" i="1"/>
  <c r="G1508" i="1"/>
  <c r="D1508" i="1"/>
  <c r="C1508" i="1"/>
  <c r="G1507" i="1"/>
  <c r="D1507" i="1"/>
  <c r="C1507" i="1"/>
  <c r="G1506" i="1"/>
  <c r="D1506" i="1"/>
  <c r="C1506" i="1"/>
  <c r="G1505" i="1"/>
  <c r="D1505" i="1"/>
  <c r="C1505" i="1"/>
  <c r="G1504" i="1"/>
  <c r="D1504" i="1"/>
  <c r="C1504" i="1"/>
  <c r="G1503" i="1"/>
  <c r="D1503" i="1"/>
  <c r="C1503" i="1"/>
  <c r="G1502" i="1"/>
  <c r="D1502" i="1"/>
  <c r="C1502" i="1"/>
  <c r="G1501" i="1"/>
  <c r="D1501" i="1"/>
  <c r="C1501" i="1"/>
  <c r="G1500" i="1"/>
  <c r="D1500" i="1"/>
  <c r="C1500" i="1"/>
  <c r="G1499" i="1"/>
  <c r="D1499" i="1"/>
  <c r="C1499" i="1"/>
  <c r="G1498" i="1"/>
  <c r="D1498" i="1"/>
  <c r="C1498" i="1"/>
  <c r="G1497" i="1"/>
  <c r="D1497" i="1"/>
  <c r="C1497" i="1"/>
  <c r="G1496" i="1"/>
  <c r="D1496" i="1"/>
  <c r="C1496" i="1"/>
  <c r="G1495" i="1"/>
  <c r="D1495" i="1"/>
  <c r="C1495" i="1"/>
  <c r="L1494" i="1"/>
  <c r="G1494" i="1"/>
  <c r="D1494" i="1"/>
  <c r="C1494" i="1"/>
  <c r="G1493" i="1"/>
  <c r="D1493" i="1"/>
  <c r="C1493" i="1"/>
  <c r="G1492" i="1"/>
  <c r="D1492" i="1"/>
  <c r="C1492" i="1"/>
  <c r="G1491" i="1"/>
  <c r="D1491" i="1"/>
  <c r="C1491" i="1"/>
  <c r="G1490" i="1"/>
  <c r="D1490" i="1"/>
  <c r="C1490" i="1"/>
  <c r="G1489" i="1"/>
  <c r="D1489" i="1"/>
  <c r="C1489" i="1"/>
  <c r="L1488" i="1"/>
  <c r="G1488" i="1"/>
  <c r="D1488" i="1"/>
  <c r="C1488" i="1"/>
  <c r="G1487" i="1"/>
  <c r="D1487" i="1"/>
  <c r="C1487" i="1"/>
  <c r="G1486" i="1"/>
  <c r="D1486" i="1"/>
  <c r="C1486" i="1"/>
  <c r="G1485" i="1"/>
  <c r="D1485" i="1"/>
  <c r="C1485" i="1"/>
  <c r="G1484" i="1"/>
  <c r="D1484" i="1"/>
  <c r="C1484" i="1"/>
  <c r="L1483" i="1"/>
  <c r="G1483" i="1"/>
  <c r="D1483" i="1"/>
  <c r="C1483" i="1"/>
  <c r="G1482" i="1"/>
  <c r="D1482" i="1"/>
  <c r="C1482" i="1"/>
  <c r="G1481" i="1"/>
  <c r="D1481" i="1"/>
  <c r="C1481" i="1"/>
  <c r="G1480" i="1"/>
  <c r="D1480" i="1"/>
  <c r="C1480" i="1"/>
  <c r="G1479" i="1"/>
  <c r="D1479" i="1"/>
  <c r="C1479" i="1"/>
  <c r="G1478" i="1"/>
  <c r="D1478" i="1"/>
  <c r="C1478" i="1"/>
  <c r="G1477" i="1"/>
  <c r="D1477" i="1"/>
  <c r="C1477" i="1"/>
  <c r="G1476" i="1"/>
  <c r="D1476" i="1"/>
  <c r="C1476" i="1"/>
  <c r="G1475" i="1"/>
  <c r="D1475" i="1"/>
  <c r="C1475" i="1"/>
  <c r="G1474" i="1"/>
  <c r="D1474" i="1"/>
  <c r="C1474" i="1"/>
  <c r="G1473" i="1"/>
  <c r="D1473" i="1"/>
  <c r="C1473" i="1"/>
  <c r="G1472" i="1"/>
  <c r="D1472" i="1"/>
  <c r="C1472" i="1"/>
  <c r="G1471" i="1"/>
  <c r="D1471" i="1"/>
  <c r="C1471" i="1"/>
  <c r="L1470" i="1"/>
  <c r="G1470" i="1"/>
  <c r="D1470" i="1"/>
  <c r="C1470" i="1"/>
  <c r="G1469" i="1"/>
  <c r="D1469" i="1"/>
  <c r="C1469" i="1"/>
  <c r="G1468" i="1"/>
  <c r="D1468" i="1"/>
  <c r="C1468" i="1"/>
  <c r="G1467" i="1"/>
  <c r="D1467" i="1"/>
  <c r="C1467" i="1"/>
  <c r="G1466" i="1"/>
  <c r="D1466" i="1"/>
  <c r="C1466" i="1"/>
  <c r="G1465" i="1"/>
  <c r="D1465" i="1"/>
  <c r="C1465" i="1"/>
  <c r="G1464" i="1"/>
  <c r="D1464" i="1"/>
  <c r="C1464" i="1"/>
  <c r="G1463" i="1"/>
  <c r="D1463" i="1"/>
  <c r="C1463" i="1"/>
  <c r="G1462" i="1"/>
  <c r="D1462" i="1"/>
  <c r="C1462" i="1"/>
  <c r="G1461" i="1"/>
  <c r="D1461" i="1"/>
  <c r="C1461" i="1"/>
  <c r="G1460" i="1"/>
  <c r="D1460" i="1"/>
  <c r="C1460" i="1"/>
  <c r="G1459" i="1"/>
  <c r="D1459" i="1"/>
  <c r="C1459" i="1"/>
  <c r="G1458" i="1"/>
  <c r="D1458" i="1"/>
  <c r="C1458" i="1"/>
  <c r="G1457" i="1"/>
  <c r="D1457" i="1"/>
  <c r="C1457" i="1"/>
  <c r="G1456" i="1"/>
  <c r="D1456" i="1"/>
  <c r="C1456" i="1"/>
  <c r="G1455" i="1"/>
  <c r="D1455" i="1"/>
  <c r="C1455" i="1"/>
  <c r="G1454" i="1"/>
  <c r="D1454" i="1"/>
  <c r="C1454" i="1"/>
  <c r="G1453" i="1"/>
  <c r="D1453" i="1"/>
  <c r="C1453" i="1"/>
  <c r="G1452" i="1"/>
  <c r="D1452" i="1"/>
  <c r="C1452" i="1"/>
  <c r="G1451" i="1"/>
  <c r="D1451" i="1"/>
  <c r="C1451" i="1"/>
  <c r="G1450" i="1"/>
  <c r="D1450" i="1"/>
  <c r="C1450" i="1"/>
  <c r="L1449" i="1"/>
  <c r="G1449" i="1"/>
  <c r="D1449" i="1"/>
  <c r="C1449" i="1"/>
  <c r="G1448" i="1"/>
  <c r="D1448" i="1"/>
  <c r="C1448" i="1"/>
  <c r="G1447" i="1"/>
  <c r="D1447" i="1"/>
  <c r="C1447" i="1"/>
  <c r="G1446" i="1"/>
  <c r="D1446" i="1"/>
  <c r="C1446" i="1"/>
  <c r="G1445" i="1"/>
  <c r="D1445" i="1"/>
  <c r="C1445" i="1"/>
  <c r="G1444" i="1"/>
  <c r="D1444" i="1"/>
  <c r="C1444" i="1"/>
  <c r="G1443" i="1"/>
  <c r="D1443" i="1"/>
  <c r="C1443" i="1"/>
  <c r="G1442" i="1"/>
  <c r="D1442" i="1"/>
  <c r="C1442" i="1"/>
  <c r="G1441" i="1"/>
  <c r="D1441" i="1"/>
  <c r="C1441" i="1"/>
  <c r="G1440" i="1"/>
  <c r="D1440" i="1"/>
  <c r="C1440" i="1"/>
  <c r="G1439" i="1"/>
  <c r="D1439" i="1"/>
  <c r="C1439" i="1"/>
  <c r="L1438" i="1"/>
  <c r="G1438" i="1"/>
  <c r="D1438" i="1"/>
  <c r="C1438" i="1"/>
  <c r="L1437" i="1"/>
  <c r="G1437" i="1"/>
  <c r="D1437" i="1"/>
  <c r="C1437" i="1"/>
  <c r="L1436" i="1"/>
  <c r="G1436" i="1"/>
  <c r="D1436" i="1"/>
  <c r="C1436" i="1"/>
  <c r="G1435" i="1"/>
  <c r="D1435" i="1"/>
  <c r="C1435" i="1"/>
  <c r="G1434" i="1"/>
  <c r="D1434" i="1"/>
  <c r="C1434" i="1"/>
  <c r="G1433" i="1"/>
  <c r="D1433" i="1"/>
  <c r="C1433" i="1"/>
  <c r="G1432" i="1"/>
  <c r="D1432" i="1"/>
  <c r="C1432" i="1"/>
  <c r="G1431" i="1"/>
  <c r="D1431" i="1"/>
  <c r="C1431" i="1"/>
  <c r="G1430" i="1"/>
  <c r="D1430" i="1"/>
  <c r="C1430" i="1"/>
  <c r="G1429" i="1"/>
  <c r="D1429" i="1"/>
  <c r="C1429" i="1"/>
  <c r="G1428" i="1"/>
  <c r="D1428" i="1"/>
  <c r="C1428" i="1"/>
  <c r="G1427" i="1"/>
  <c r="D1427" i="1"/>
  <c r="C1427" i="1"/>
  <c r="G1426" i="1"/>
  <c r="D1426" i="1"/>
  <c r="C1426" i="1"/>
  <c r="G1425" i="1"/>
  <c r="D1425" i="1"/>
  <c r="C1425" i="1"/>
  <c r="G1424" i="1"/>
  <c r="D1424" i="1"/>
  <c r="C1424" i="1"/>
  <c r="G1423" i="1"/>
  <c r="D1423" i="1"/>
  <c r="C1423" i="1"/>
  <c r="G1422" i="1"/>
  <c r="D1422" i="1"/>
  <c r="C1422" i="1"/>
  <c r="L1421" i="1"/>
  <c r="G1421" i="1"/>
  <c r="D1421" i="1"/>
  <c r="C1421" i="1"/>
  <c r="L1420" i="1"/>
  <c r="G1420" i="1"/>
  <c r="D1420" i="1"/>
  <c r="C1420" i="1"/>
  <c r="L1419" i="1"/>
  <c r="G1419" i="1"/>
  <c r="D1419" i="1"/>
  <c r="C1419" i="1"/>
  <c r="L1418" i="1"/>
  <c r="G1418" i="1"/>
  <c r="D1418" i="1"/>
  <c r="C1418" i="1"/>
  <c r="L1417" i="1"/>
  <c r="G1417" i="1"/>
  <c r="D1417" i="1"/>
  <c r="C1417" i="1"/>
  <c r="L1416" i="1"/>
  <c r="G1416" i="1"/>
  <c r="D1416" i="1"/>
  <c r="C1416" i="1"/>
  <c r="G1415" i="1"/>
  <c r="D1415" i="1"/>
  <c r="C1415" i="1"/>
  <c r="L1414" i="1"/>
  <c r="G1414" i="1"/>
  <c r="D1414" i="1"/>
  <c r="C1414" i="1"/>
  <c r="G1413" i="1"/>
  <c r="D1413" i="1"/>
  <c r="C1413" i="1"/>
  <c r="G1412" i="1"/>
  <c r="D1412" i="1"/>
  <c r="C1412" i="1"/>
  <c r="L1411" i="1"/>
  <c r="G1411" i="1"/>
  <c r="D1411" i="1"/>
  <c r="C1411" i="1"/>
  <c r="L1410" i="1"/>
  <c r="G1410" i="1"/>
  <c r="D1410" i="1"/>
  <c r="C1410" i="1"/>
  <c r="G1409" i="1"/>
  <c r="D1409" i="1"/>
  <c r="C1409" i="1"/>
  <c r="L1408" i="1"/>
  <c r="G1408" i="1"/>
  <c r="D1408" i="1"/>
  <c r="C1408" i="1"/>
  <c r="L1407" i="1"/>
  <c r="G1407" i="1"/>
  <c r="D1407" i="1"/>
  <c r="C1407" i="1"/>
  <c r="L1406" i="1"/>
  <c r="G1406" i="1"/>
  <c r="D1406" i="1"/>
  <c r="C1406" i="1"/>
  <c r="G1405" i="1"/>
  <c r="D1405" i="1"/>
  <c r="C1405" i="1"/>
  <c r="G1404" i="1"/>
  <c r="D1404" i="1"/>
  <c r="C1404" i="1"/>
  <c r="G1403" i="1"/>
  <c r="D1403" i="1"/>
  <c r="C1403" i="1"/>
  <c r="G1402" i="1"/>
  <c r="D1402" i="1"/>
  <c r="C1402" i="1"/>
  <c r="L1401" i="1"/>
  <c r="G1401" i="1"/>
  <c r="D1401" i="1"/>
  <c r="C1401" i="1"/>
  <c r="L1400" i="1"/>
  <c r="G1400" i="1"/>
  <c r="D1400" i="1"/>
  <c r="C1400" i="1"/>
  <c r="L1399" i="1"/>
  <c r="G1399" i="1"/>
  <c r="D1399" i="1"/>
  <c r="C1399" i="1"/>
  <c r="G1398" i="1"/>
  <c r="D1398" i="1"/>
  <c r="C1398" i="1"/>
  <c r="L1397" i="1"/>
  <c r="G1397" i="1"/>
  <c r="D1397" i="1"/>
  <c r="C1397" i="1"/>
  <c r="G1396" i="1"/>
  <c r="D1396" i="1"/>
  <c r="C1396" i="1"/>
  <c r="G1395" i="1"/>
  <c r="D1395" i="1"/>
  <c r="C1395" i="1"/>
  <c r="G1394" i="1"/>
  <c r="D1394" i="1"/>
  <c r="C1394" i="1"/>
  <c r="L1393" i="1"/>
  <c r="G1393" i="1"/>
  <c r="D1393" i="1"/>
  <c r="C1393" i="1"/>
  <c r="L1392" i="1"/>
  <c r="G1392" i="1"/>
  <c r="D1392" i="1"/>
  <c r="C1392" i="1"/>
  <c r="G1391" i="1"/>
  <c r="D1391" i="1"/>
  <c r="C1391" i="1"/>
  <c r="L1390" i="1"/>
  <c r="G1390" i="1"/>
  <c r="D1390" i="1"/>
  <c r="C1390" i="1"/>
  <c r="G1389" i="1"/>
  <c r="D1389" i="1"/>
  <c r="C1389" i="1"/>
  <c r="L1388" i="1"/>
  <c r="G1388" i="1"/>
  <c r="D1388" i="1"/>
  <c r="C1388" i="1"/>
  <c r="G1387" i="1"/>
  <c r="D1387" i="1"/>
  <c r="C1387" i="1"/>
  <c r="L1386" i="1"/>
  <c r="G1386" i="1"/>
  <c r="D1386" i="1"/>
  <c r="C1386" i="1"/>
  <c r="L1385" i="1"/>
  <c r="G1385" i="1"/>
  <c r="D1385" i="1"/>
  <c r="C1385" i="1"/>
  <c r="G1384" i="1"/>
  <c r="D1384" i="1"/>
  <c r="C1384" i="1"/>
  <c r="L1383" i="1"/>
  <c r="G1383" i="1"/>
  <c r="D1383" i="1"/>
  <c r="C1383" i="1"/>
  <c r="G1382" i="1"/>
  <c r="D1382" i="1"/>
  <c r="C1382" i="1"/>
  <c r="G1381" i="1"/>
  <c r="D1381" i="1"/>
  <c r="C1381" i="1"/>
  <c r="L1380" i="1"/>
  <c r="G1380" i="1"/>
  <c r="D1380" i="1"/>
  <c r="C1380" i="1"/>
  <c r="G1379" i="1"/>
  <c r="D1379" i="1"/>
  <c r="C1379" i="1"/>
  <c r="G1378" i="1"/>
  <c r="D1378" i="1"/>
  <c r="C1378" i="1"/>
  <c r="L1377" i="1"/>
  <c r="G1377" i="1"/>
  <c r="D1377" i="1"/>
  <c r="C1377" i="1"/>
  <c r="L1376" i="1"/>
  <c r="G1376" i="1"/>
  <c r="D1376" i="1"/>
  <c r="C1376" i="1"/>
  <c r="L1375" i="1"/>
  <c r="G1375" i="1"/>
  <c r="D1375" i="1"/>
  <c r="C1375" i="1"/>
  <c r="G1374" i="1"/>
  <c r="D1374" i="1"/>
  <c r="C1374" i="1"/>
  <c r="G1373" i="1"/>
  <c r="D1373" i="1"/>
  <c r="C1373" i="1"/>
  <c r="G1372" i="1"/>
  <c r="D1372" i="1"/>
  <c r="C1372" i="1"/>
  <c r="L1371" i="1"/>
  <c r="G1371" i="1"/>
  <c r="D1371" i="1"/>
  <c r="C1371" i="1"/>
  <c r="L1370" i="1"/>
  <c r="G1370" i="1"/>
  <c r="D1370" i="1"/>
  <c r="C1370" i="1"/>
  <c r="G1369" i="1"/>
  <c r="D1369" i="1"/>
  <c r="C1369" i="1"/>
  <c r="G1368" i="1"/>
  <c r="D1368" i="1"/>
  <c r="C1368" i="1"/>
  <c r="G1367" i="1"/>
  <c r="D1367" i="1"/>
  <c r="C1367" i="1"/>
  <c r="G1366" i="1"/>
  <c r="D1366" i="1"/>
  <c r="C1366" i="1"/>
  <c r="G1365" i="1"/>
  <c r="D1365" i="1"/>
  <c r="C1365" i="1"/>
  <c r="G1364" i="1"/>
  <c r="D1364" i="1"/>
  <c r="C1364" i="1"/>
  <c r="L1363" i="1"/>
  <c r="G1363" i="1"/>
  <c r="D1363" i="1"/>
  <c r="C1363" i="1"/>
  <c r="G1362" i="1"/>
  <c r="D1362" i="1"/>
  <c r="C1362" i="1"/>
  <c r="G1361" i="1"/>
  <c r="D1361" i="1"/>
  <c r="C1361" i="1"/>
  <c r="L1360" i="1"/>
  <c r="G1360" i="1"/>
  <c r="D1360" i="1"/>
  <c r="C1360" i="1"/>
  <c r="L1359" i="1"/>
  <c r="G1359" i="1"/>
  <c r="D1359" i="1"/>
  <c r="C1359" i="1"/>
  <c r="G1358" i="1"/>
  <c r="D1358" i="1"/>
  <c r="C1358" i="1"/>
  <c r="G1357" i="1"/>
  <c r="D1357" i="1"/>
  <c r="C1357" i="1"/>
  <c r="L1356" i="1"/>
  <c r="G1356" i="1"/>
  <c r="D1356" i="1"/>
  <c r="C1356" i="1"/>
  <c r="L1355" i="1"/>
  <c r="G1355" i="1"/>
  <c r="D1355" i="1"/>
  <c r="C1355" i="1"/>
  <c r="L1354" i="1"/>
  <c r="G1354" i="1"/>
  <c r="D1354" i="1"/>
  <c r="C1354" i="1"/>
  <c r="L1353" i="1"/>
  <c r="G1353" i="1"/>
  <c r="D1353" i="1"/>
  <c r="C1353" i="1"/>
  <c r="G1352" i="1"/>
  <c r="D1352" i="1"/>
  <c r="C1352" i="1"/>
  <c r="L1351" i="1"/>
  <c r="G1351" i="1"/>
  <c r="D1351" i="1"/>
  <c r="C1351" i="1"/>
  <c r="L1350" i="1"/>
  <c r="G1350" i="1"/>
  <c r="D1350" i="1"/>
  <c r="C1350" i="1"/>
  <c r="G1349" i="1"/>
  <c r="D1349" i="1"/>
  <c r="C1349" i="1"/>
  <c r="L1348" i="1"/>
  <c r="G1348" i="1"/>
  <c r="D1348" i="1"/>
  <c r="C1348" i="1"/>
  <c r="L1347" i="1"/>
  <c r="G1347" i="1"/>
  <c r="D1347" i="1"/>
  <c r="C1347" i="1"/>
  <c r="L1346" i="1"/>
  <c r="G1346" i="1"/>
  <c r="D1346" i="1"/>
  <c r="C1346" i="1"/>
  <c r="G1345" i="1"/>
  <c r="D1345" i="1"/>
  <c r="C1345" i="1"/>
  <c r="L1344" i="1"/>
  <c r="G1344" i="1"/>
  <c r="D1344" i="1"/>
  <c r="C1344" i="1"/>
  <c r="L1343" i="1"/>
  <c r="G1343" i="1"/>
  <c r="D1343" i="1"/>
  <c r="C1343" i="1"/>
  <c r="L1342" i="1"/>
  <c r="G1342" i="1"/>
  <c r="D1342" i="1"/>
  <c r="C1342" i="1"/>
  <c r="L1341" i="1"/>
  <c r="G1341" i="1"/>
  <c r="D1341" i="1"/>
  <c r="C1341" i="1"/>
  <c r="G1340" i="1"/>
  <c r="D1340" i="1"/>
  <c r="C1340" i="1"/>
  <c r="L1339" i="1"/>
  <c r="G1339" i="1"/>
  <c r="D1339" i="1"/>
  <c r="C1339" i="1"/>
  <c r="L1338" i="1"/>
  <c r="G1338" i="1"/>
  <c r="D1338" i="1"/>
  <c r="C1338" i="1"/>
  <c r="G1337" i="1"/>
  <c r="D1337" i="1"/>
  <c r="C1337" i="1"/>
  <c r="L1336" i="1"/>
  <c r="G1336" i="1"/>
  <c r="D1336" i="1"/>
  <c r="C1336" i="1"/>
  <c r="L1335" i="1"/>
  <c r="G1335" i="1"/>
  <c r="D1335" i="1"/>
  <c r="C1335" i="1"/>
  <c r="L1334" i="1"/>
  <c r="G1334" i="1"/>
  <c r="D1334" i="1"/>
  <c r="C1334" i="1"/>
  <c r="L1333" i="1"/>
  <c r="G1333" i="1"/>
  <c r="D1333" i="1"/>
  <c r="C1333" i="1"/>
  <c r="L1332" i="1"/>
  <c r="G1332" i="1"/>
  <c r="D1332" i="1"/>
  <c r="C1332" i="1"/>
  <c r="L1331" i="1"/>
  <c r="G1331" i="1"/>
  <c r="D1331" i="1"/>
  <c r="C1331" i="1"/>
  <c r="L1330" i="1"/>
  <c r="G1330" i="1"/>
  <c r="D1330" i="1"/>
  <c r="C1330" i="1"/>
  <c r="L1329" i="1"/>
  <c r="G1329" i="1"/>
  <c r="D1329" i="1"/>
  <c r="C1329" i="1"/>
  <c r="G1328" i="1"/>
  <c r="D1328" i="1"/>
  <c r="C1328" i="1"/>
  <c r="G1327" i="1"/>
  <c r="D1327" i="1"/>
  <c r="C1327" i="1"/>
  <c r="G1326" i="1"/>
  <c r="D1326" i="1"/>
  <c r="C1326" i="1"/>
  <c r="G1325" i="1"/>
  <c r="D1325" i="1"/>
  <c r="C1325" i="1"/>
  <c r="G1324" i="1"/>
  <c r="D1324" i="1"/>
  <c r="C1324" i="1"/>
  <c r="G1323" i="1"/>
  <c r="D1323" i="1"/>
  <c r="C1323" i="1"/>
  <c r="L1322" i="1"/>
  <c r="G1322" i="1"/>
  <c r="D1322" i="1"/>
  <c r="C1322" i="1"/>
  <c r="L1321" i="1"/>
  <c r="G1321" i="1"/>
  <c r="D1321" i="1"/>
  <c r="C1321" i="1"/>
  <c r="G1320" i="1"/>
  <c r="D1320" i="1"/>
  <c r="C1320" i="1"/>
  <c r="L1319" i="1"/>
  <c r="G1319" i="1"/>
  <c r="D1319" i="1"/>
  <c r="C1319" i="1"/>
  <c r="L1318" i="1"/>
  <c r="G1318" i="1"/>
  <c r="D1318" i="1"/>
  <c r="C1318" i="1"/>
  <c r="L1317" i="1"/>
  <c r="G1317" i="1"/>
  <c r="D1317" i="1"/>
  <c r="C1317" i="1"/>
  <c r="G1316" i="1"/>
  <c r="D1316" i="1"/>
  <c r="C1316" i="1"/>
  <c r="L1315" i="1"/>
  <c r="G1315" i="1"/>
  <c r="D1315" i="1"/>
  <c r="C1315" i="1"/>
  <c r="G1314" i="1"/>
  <c r="D1314" i="1"/>
  <c r="C1314" i="1"/>
  <c r="L1313" i="1"/>
  <c r="G1313" i="1"/>
  <c r="D1313" i="1"/>
  <c r="C1313" i="1"/>
  <c r="G1312" i="1"/>
  <c r="D1312" i="1"/>
  <c r="C1312" i="1"/>
  <c r="L1311" i="1"/>
  <c r="G1311" i="1"/>
  <c r="D1311" i="1"/>
  <c r="C1311" i="1"/>
  <c r="L1310" i="1"/>
  <c r="G1310" i="1"/>
  <c r="D1310" i="1"/>
  <c r="C1310" i="1"/>
  <c r="G1309" i="1"/>
  <c r="D1309" i="1"/>
  <c r="C1309" i="1"/>
  <c r="G1308" i="1"/>
  <c r="D1308" i="1"/>
  <c r="C1308" i="1"/>
  <c r="G1307" i="1"/>
  <c r="D1307" i="1"/>
  <c r="C1307" i="1"/>
  <c r="G1306" i="1"/>
  <c r="D1306" i="1"/>
  <c r="C1306" i="1"/>
  <c r="G1305" i="1"/>
  <c r="D1305" i="1"/>
  <c r="C1305" i="1"/>
  <c r="G1304" i="1"/>
  <c r="D1304" i="1"/>
  <c r="C1304" i="1"/>
  <c r="G1303" i="1"/>
  <c r="D1303" i="1"/>
  <c r="C1303" i="1"/>
  <c r="G1302" i="1"/>
  <c r="D1302" i="1"/>
  <c r="C1302" i="1"/>
  <c r="G1301" i="1"/>
  <c r="D1301" i="1"/>
  <c r="C1301" i="1"/>
  <c r="G1300" i="1"/>
  <c r="D1300" i="1"/>
  <c r="C1300" i="1"/>
  <c r="G1299" i="1"/>
  <c r="D1299" i="1"/>
  <c r="C1299" i="1"/>
  <c r="L1298" i="1"/>
  <c r="G1298" i="1"/>
  <c r="D1298" i="1"/>
  <c r="C1298" i="1"/>
  <c r="G1297" i="1"/>
  <c r="D1297" i="1"/>
  <c r="C1297" i="1"/>
  <c r="G1296" i="1"/>
  <c r="D1296" i="1"/>
  <c r="C1296" i="1"/>
  <c r="G1295" i="1"/>
  <c r="D1295" i="1"/>
  <c r="C1295" i="1"/>
  <c r="G1294" i="1"/>
  <c r="D1294" i="1"/>
  <c r="C1294" i="1"/>
  <c r="G1293" i="1"/>
  <c r="D1293" i="1"/>
  <c r="C1293" i="1"/>
  <c r="G1292" i="1"/>
  <c r="D1292" i="1"/>
  <c r="C1292" i="1"/>
  <c r="G1291" i="1"/>
  <c r="D1291" i="1"/>
  <c r="C1291" i="1"/>
  <c r="G1290" i="1"/>
  <c r="D1290" i="1"/>
  <c r="C1290" i="1"/>
  <c r="G1289" i="1"/>
  <c r="D1289" i="1"/>
  <c r="C1289" i="1"/>
  <c r="G1288" i="1"/>
  <c r="D1288" i="1"/>
  <c r="C1288" i="1"/>
  <c r="G1287" i="1"/>
  <c r="D1287" i="1"/>
  <c r="C1287" i="1"/>
  <c r="G1286" i="1"/>
  <c r="D1286" i="1"/>
  <c r="C1286" i="1"/>
  <c r="G1285" i="1"/>
  <c r="D1285" i="1"/>
  <c r="C1285" i="1"/>
  <c r="G1284" i="1"/>
  <c r="D1284" i="1"/>
  <c r="C1284" i="1"/>
  <c r="L1283" i="1"/>
  <c r="G1283" i="1"/>
  <c r="D1283" i="1"/>
  <c r="C1283" i="1"/>
  <c r="G1282" i="1"/>
  <c r="D1282" i="1"/>
  <c r="C1282" i="1"/>
  <c r="L1281" i="1"/>
  <c r="G1281" i="1"/>
  <c r="D1281" i="1"/>
  <c r="C1281" i="1"/>
  <c r="L1280" i="1"/>
  <c r="G1280" i="1"/>
  <c r="D1280" i="1"/>
  <c r="C1280" i="1"/>
  <c r="G1279" i="1"/>
  <c r="D1279" i="1"/>
  <c r="C1279" i="1"/>
  <c r="L1278" i="1"/>
  <c r="G1278" i="1"/>
  <c r="D1278" i="1"/>
  <c r="C1278" i="1"/>
  <c r="G1277" i="1"/>
  <c r="D1277" i="1"/>
  <c r="C1277" i="1"/>
  <c r="G1276" i="1"/>
  <c r="D1276" i="1"/>
  <c r="C1276" i="1"/>
  <c r="L1275" i="1"/>
  <c r="G1275" i="1"/>
  <c r="D1275" i="1"/>
  <c r="C1275" i="1"/>
  <c r="G1274" i="1"/>
  <c r="D1274" i="1"/>
  <c r="C1274" i="1"/>
  <c r="G1273" i="1"/>
  <c r="D1273" i="1"/>
  <c r="C1273" i="1"/>
  <c r="G1272" i="1"/>
  <c r="D1272" i="1"/>
  <c r="C1272" i="1"/>
  <c r="G1271" i="1"/>
  <c r="D1271" i="1"/>
  <c r="C1271" i="1"/>
  <c r="G1270" i="1"/>
  <c r="D1270" i="1"/>
  <c r="C1270" i="1"/>
  <c r="G1269" i="1"/>
  <c r="D1269" i="1"/>
  <c r="C1269" i="1"/>
  <c r="G1268" i="1"/>
  <c r="D1268" i="1"/>
  <c r="C1268" i="1"/>
  <c r="G1267" i="1"/>
  <c r="D1267" i="1"/>
  <c r="C1267" i="1"/>
  <c r="G1266" i="1"/>
  <c r="D1266" i="1"/>
  <c r="C1266" i="1"/>
  <c r="G1265" i="1"/>
  <c r="D1265" i="1"/>
  <c r="C1265" i="1"/>
  <c r="G1264" i="1"/>
  <c r="D1264" i="1"/>
  <c r="C1264" i="1"/>
  <c r="G1263" i="1"/>
  <c r="D1263" i="1"/>
  <c r="C1263" i="1"/>
  <c r="G1262" i="1"/>
  <c r="D1262" i="1"/>
  <c r="C1262" i="1"/>
  <c r="G1261" i="1"/>
  <c r="D1261" i="1"/>
  <c r="C1261" i="1"/>
  <c r="G1260" i="1"/>
  <c r="D1260" i="1"/>
  <c r="C1260" i="1"/>
  <c r="G1259" i="1"/>
  <c r="D1259" i="1"/>
  <c r="C1259" i="1"/>
  <c r="G1258" i="1"/>
  <c r="D1258" i="1"/>
  <c r="C1258" i="1"/>
  <c r="G1257" i="1"/>
  <c r="D1257" i="1"/>
  <c r="C1257" i="1"/>
  <c r="G1256" i="1"/>
  <c r="D1256" i="1"/>
  <c r="C1256" i="1"/>
  <c r="G1255" i="1"/>
  <c r="D1255" i="1"/>
  <c r="C1255" i="1"/>
  <c r="G1254" i="1"/>
  <c r="D1254" i="1"/>
  <c r="C1254" i="1"/>
  <c r="G1253" i="1"/>
  <c r="D1253" i="1"/>
  <c r="C1253" i="1"/>
  <c r="G1252" i="1"/>
  <c r="D1252" i="1"/>
  <c r="C1252" i="1"/>
  <c r="G1251" i="1"/>
  <c r="D1251" i="1"/>
  <c r="C1251" i="1"/>
  <c r="G1250" i="1"/>
  <c r="D1250" i="1"/>
  <c r="C1250" i="1"/>
  <c r="G1249" i="1"/>
  <c r="D1249" i="1"/>
  <c r="C1249" i="1"/>
  <c r="G1248" i="1"/>
  <c r="D1248" i="1"/>
  <c r="C1248" i="1"/>
  <c r="G1247" i="1"/>
  <c r="D1247" i="1"/>
  <c r="C1247" i="1"/>
  <c r="G1246" i="1"/>
  <c r="D1246" i="1"/>
  <c r="C1246" i="1"/>
  <c r="G1245" i="1"/>
  <c r="D1245" i="1"/>
  <c r="C1245" i="1"/>
  <c r="G1244" i="1"/>
  <c r="D1244" i="1"/>
  <c r="C1244" i="1"/>
  <c r="G1243" i="1"/>
  <c r="D1243" i="1"/>
  <c r="C1243" i="1"/>
  <c r="G1242" i="1"/>
  <c r="D1242" i="1"/>
  <c r="C1242" i="1"/>
  <c r="G1241" i="1"/>
  <c r="D1241" i="1"/>
  <c r="C1241" i="1"/>
  <c r="G1240" i="1"/>
  <c r="D1240" i="1"/>
  <c r="C1240" i="1"/>
  <c r="G1239" i="1"/>
  <c r="D1239" i="1"/>
  <c r="C1239" i="1"/>
  <c r="G1238" i="1"/>
  <c r="D1238" i="1"/>
  <c r="C1238" i="1"/>
  <c r="G1237" i="1"/>
  <c r="D1237" i="1"/>
  <c r="C1237" i="1"/>
  <c r="G1236" i="1"/>
  <c r="D1236" i="1"/>
  <c r="C1236" i="1"/>
  <c r="G1235" i="1"/>
  <c r="D1235" i="1"/>
  <c r="C1235" i="1"/>
  <c r="L1234" i="1"/>
  <c r="G1234" i="1"/>
  <c r="D1234" i="1"/>
  <c r="C1234" i="1"/>
  <c r="G1233" i="1"/>
  <c r="D1233" i="1"/>
  <c r="C1233" i="1"/>
  <c r="G1232" i="1"/>
  <c r="D1232" i="1"/>
  <c r="C1232" i="1"/>
  <c r="G1231" i="1"/>
  <c r="D1231" i="1"/>
  <c r="C1231" i="1"/>
  <c r="G1230" i="1"/>
  <c r="D1230" i="1"/>
  <c r="C1230" i="1"/>
  <c r="G1229" i="1"/>
  <c r="D1229" i="1"/>
  <c r="C1229" i="1"/>
  <c r="G1228" i="1"/>
  <c r="D1228" i="1"/>
  <c r="C1228" i="1"/>
  <c r="G1227" i="1"/>
  <c r="D1227" i="1"/>
  <c r="C1227" i="1"/>
  <c r="G1226" i="1"/>
  <c r="D1226" i="1"/>
  <c r="C1226" i="1"/>
  <c r="G1225" i="1"/>
  <c r="D1225" i="1"/>
  <c r="C1225" i="1"/>
  <c r="G1224" i="1"/>
  <c r="D1224" i="1"/>
  <c r="C1224" i="1"/>
  <c r="L1223" i="1"/>
  <c r="G1223" i="1"/>
  <c r="D1223" i="1"/>
  <c r="C1223" i="1"/>
  <c r="L1222" i="1"/>
  <c r="G1222" i="1"/>
  <c r="D1222" i="1"/>
  <c r="C1222" i="1"/>
  <c r="G1221" i="1"/>
  <c r="D1221" i="1"/>
  <c r="C1221" i="1"/>
  <c r="G1220" i="1"/>
  <c r="D1220" i="1"/>
  <c r="C1220" i="1"/>
  <c r="G1219" i="1"/>
  <c r="D1219" i="1"/>
  <c r="C1219" i="1"/>
  <c r="G1218" i="1"/>
  <c r="D1218" i="1"/>
  <c r="C1218" i="1"/>
  <c r="G1217" i="1"/>
  <c r="D1217" i="1"/>
  <c r="C1217" i="1"/>
  <c r="G1216" i="1"/>
  <c r="D1216" i="1"/>
  <c r="C1216" i="1"/>
  <c r="G1215" i="1"/>
  <c r="D1215" i="1"/>
  <c r="C1215" i="1"/>
  <c r="G1214" i="1"/>
  <c r="D1214" i="1"/>
  <c r="C1214" i="1"/>
  <c r="G1213" i="1"/>
  <c r="D1213" i="1"/>
  <c r="C1213" i="1"/>
  <c r="G1212" i="1"/>
  <c r="D1212" i="1"/>
  <c r="C1212" i="1"/>
  <c r="G1211" i="1"/>
  <c r="D1211" i="1"/>
  <c r="C1211" i="1"/>
  <c r="L1210" i="1"/>
  <c r="G1210" i="1"/>
  <c r="D1210" i="1"/>
  <c r="C1210" i="1"/>
  <c r="G1209" i="1"/>
  <c r="D1209" i="1"/>
  <c r="C1209" i="1"/>
  <c r="G1208" i="1"/>
  <c r="D1208" i="1"/>
  <c r="C1208" i="1"/>
  <c r="G1207" i="1"/>
  <c r="D1207" i="1"/>
  <c r="C1207" i="1"/>
  <c r="G1206" i="1"/>
  <c r="D1206" i="1"/>
  <c r="C1206" i="1"/>
  <c r="G1205" i="1"/>
  <c r="D1205" i="1"/>
  <c r="C1205" i="1"/>
  <c r="G1204" i="1"/>
  <c r="D1204" i="1"/>
  <c r="C1204" i="1"/>
  <c r="G1203" i="1"/>
  <c r="D1203" i="1"/>
  <c r="C1203" i="1"/>
  <c r="G1202" i="1"/>
  <c r="D1202" i="1"/>
  <c r="C1202" i="1"/>
  <c r="G1201" i="1"/>
  <c r="D1201" i="1"/>
  <c r="C1201" i="1"/>
  <c r="G1200" i="1"/>
  <c r="D1200" i="1"/>
  <c r="C1200" i="1"/>
  <c r="G1199" i="1"/>
  <c r="D1199" i="1"/>
  <c r="C1199" i="1"/>
  <c r="G1198" i="1"/>
  <c r="D1198" i="1"/>
  <c r="C1198" i="1"/>
  <c r="G1197" i="1"/>
  <c r="D1197" i="1"/>
  <c r="C1197" i="1"/>
  <c r="G1196" i="1"/>
  <c r="D1196" i="1"/>
  <c r="C1196" i="1"/>
  <c r="G1195" i="1"/>
  <c r="D1195" i="1"/>
  <c r="C1195" i="1"/>
  <c r="G1194" i="1"/>
  <c r="D1194" i="1"/>
  <c r="C1194" i="1"/>
  <c r="G1193" i="1"/>
  <c r="D1193" i="1"/>
  <c r="C1193" i="1"/>
  <c r="G1192" i="1"/>
  <c r="D1192" i="1"/>
  <c r="C1192" i="1"/>
  <c r="G1191" i="1"/>
  <c r="D1191" i="1"/>
  <c r="C1191" i="1"/>
  <c r="G1190" i="1"/>
  <c r="D1190" i="1"/>
  <c r="C1190" i="1"/>
  <c r="G1189" i="1"/>
  <c r="D1189" i="1"/>
  <c r="C1189" i="1"/>
  <c r="G1188" i="1"/>
  <c r="D1188" i="1"/>
  <c r="C1188" i="1"/>
  <c r="G1187" i="1"/>
  <c r="D1187" i="1"/>
  <c r="C1187" i="1"/>
  <c r="G1186" i="1"/>
  <c r="D1186" i="1"/>
  <c r="C1186" i="1"/>
  <c r="G1185" i="1"/>
  <c r="D1185" i="1"/>
  <c r="C1185" i="1"/>
  <c r="L1184" i="1"/>
  <c r="G1184" i="1"/>
  <c r="D1184" i="1"/>
  <c r="C1184" i="1"/>
  <c r="G1183" i="1"/>
  <c r="D1183" i="1"/>
  <c r="C1183" i="1"/>
  <c r="G1182" i="1"/>
  <c r="D1182" i="1"/>
  <c r="C1182" i="1"/>
  <c r="G1181" i="1"/>
  <c r="D1181" i="1"/>
  <c r="C1181" i="1"/>
  <c r="G1180" i="1"/>
  <c r="D1180" i="1"/>
  <c r="C1180" i="1"/>
  <c r="G1179" i="1"/>
  <c r="D1179" i="1"/>
  <c r="C1179" i="1"/>
  <c r="G1178" i="1"/>
  <c r="D1178" i="1"/>
  <c r="C1178" i="1"/>
  <c r="G1177" i="1"/>
  <c r="D1177" i="1"/>
  <c r="C1177" i="1"/>
  <c r="G1176" i="1"/>
  <c r="D1176" i="1"/>
  <c r="C1176" i="1"/>
  <c r="G1175" i="1"/>
  <c r="D1175" i="1"/>
  <c r="C1175" i="1"/>
  <c r="L1174" i="1"/>
  <c r="G1174" i="1"/>
  <c r="D1174" i="1"/>
  <c r="C1174" i="1"/>
  <c r="G1173" i="1"/>
  <c r="D1173" i="1"/>
  <c r="C1173" i="1"/>
  <c r="G1172" i="1"/>
  <c r="D1172" i="1"/>
  <c r="C1172" i="1"/>
  <c r="G1171" i="1"/>
  <c r="D1171" i="1"/>
  <c r="C1171" i="1"/>
  <c r="G1170" i="1"/>
  <c r="D1170" i="1"/>
  <c r="C1170" i="1"/>
  <c r="G1169" i="1"/>
  <c r="D1169" i="1"/>
  <c r="C1169" i="1"/>
  <c r="G1168" i="1"/>
  <c r="D1168" i="1"/>
  <c r="C1168" i="1"/>
  <c r="G1167" i="1"/>
  <c r="D1167" i="1"/>
  <c r="C1167" i="1"/>
  <c r="G1166" i="1"/>
  <c r="D1166" i="1"/>
  <c r="C1166" i="1"/>
  <c r="G1165" i="1"/>
  <c r="D1165" i="1"/>
  <c r="C1165" i="1"/>
  <c r="G1164" i="1"/>
  <c r="D1164" i="1"/>
  <c r="C1164" i="1"/>
  <c r="G1163" i="1"/>
  <c r="D1163" i="1"/>
  <c r="C1163" i="1"/>
  <c r="G1162" i="1"/>
  <c r="D1162" i="1"/>
  <c r="C1162" i="1"/>
  <c r="G1161" i="1"/>
  <c r="D1161" i="1"/>
  <c r="C1161" i="1"/>
  <c r="G1160" i="1"/>
  <c r="D1160" i="1"/>
  <c r="C1160" i="1"/>
  <c r="G1159" i="1"/>
  <c r="D1159" i="1"/>
  <c r="C1159" i="1"/>
  <c r="G1158" i="1"/>
  <c r="D1158" i="1"/>
  <c r="C1158" i="1"/>
  <c r="L1157" i="1"/>
  <c r="G1157" i="1"/>
  <c r="D1157" i="1"/>
  <c r="C1157" i="1"/>
  <c r="G1156" i="1"/>
  <c r="D1156" i="1"/>
  <c r="C1156" i="1"/>
  <c r="G1155" i="1"/>
  <c r="D1155" i="1"/>
  <c r="C1155" i="1"/>
  <c r="G1154" i="1"/>
  <c r="D1154" i="1"/>
  <c r="C1154" i="1"/>
  <c r="G1153" i="1"/>
  <c r="D1153" i="1"/>
  <c r="C1153" i="1"/>
  <c r="G1152" i="1"/>
  <c r="D1152" i="1"/>
  <c r="C1152" i="1"/>
  <c r="G1151" i="1"/>
  <c r="D1151" i="1"/>
  <c r="C1151" i="1"/>
  <c r="G1150" i="1"/>
  <c r="D1150" i="1"/>
  <c r="C1150" i="1"/>
  <c r="G1149" i="1"/>
  <c r="D1149" i="1"/>
  <c r="C1149" i="1"/>
  <c r="G1148" i="1"/>
  <c r="D1148" i="1"/>
  <c r="C1148" i="1"/>
  <c r="G1147" i="1"/>
  <c r="D1147" i="1"/>
  <c r="C1147" i="1"/>
  <c r="G1146" i="1"/>
  <c r="D1146" i="1"/>
  <c r="C1146" i="1"/>
  <c r="G1145" i="1"/>
  <c r="D1145" i="1"/>
  <c r="C1145" i="1"/>
  <c r="G1144" i="1"/>
  <c r="D1144" i="1"/>
  <c r="C1144" i="1"/>
  <c r="G1143" i="1"/>
  <c r="D1143" i="1"/>
  <c r="C1143" i="1"/>
  <c r="G1142" i="1"/>
  <c r="D1142" i="1"/>
  <c r="C1142" i="1"/>
  <c r="G1141" i="1"/>
  <c r="D1141" i="1"/>
  <c r="C1141" i="1"/>
  <c r="G1140" i="1"/>
  <c r="D1140" i="1"/>
  <c r="C1140" i="1"/>
  <c r="G1139" i="1"/>
  <c r="D1139" i="1"/>
  <c r="C1139" i="1"/>
  <c r="G1138" i="1"/>
  <c r="D1138" i="1"/>
  <c r="C1138" i="1"/>
  <c r="G1137" i="1"/>
  <c r="D1137" i="1"/>
  <c r="C1137" i="1"/>
  <c r="G1136" i="1"/>
  <c r="D1136" i="1"/>
  <c r="C1136" i="1"/>
  <c r="G1135" i="1"/>
  <c r="D1135" i="1"/>
  <c r="C1135" i="1"/>
  <c r="G1134" i="1"/>
  <c r="D1134" i="1"/>
  <c r="C1134" i="1"/>
  <c r="G1133" i="1"/>
  <c r="D1133" i="1"/>
  <c r="C1133" i="1"/>
  <c r="G1132" i="1"/>
  <c r="D1132" i="1"/>
  <c r="C1132" i="1"/>
  <c r="G1131" i="1"/>
  <c r="D1131" i="1"/>
  <c r="C1131" i="1"/>
  <c r="G1130" i="1"/>
  <c r="D1130" i="1"/>
  <c r="C1130" i="1"/>
  <c r="G1129" i="1"/>
  <c r="D1129" i="1"/>
  <c r="C1129" i="1"/>
  <c r="L1128" i="1"/>
  <c r="G1128" i="1"/>
  <c r="D1128" i="1"/>
  <c r="C1128" i="1"/>
  <c r="L1127" i="1"/>
  <c r="G1127" i="1"/>
  <c r="D1127" i="1"/>
  <c r="C1127" i="1"/>
  <c r="G1126" i="1"/>
  <c r="D1126" i="1"/>
  <c r="C1126" i="1"/>
  <c r="G1125" i="1"/>
  <c r="D1125" i="1"/>
  <c r="C1125" i="1"/>
  <c r="L1124" i="1"/>
  <c r="G1124" i="1"/>
  <c r="D1124" i="1"/>
  <c r="C1124" i="1"/>
  <c r="G1123" i="1"/>
  <c r="D1123" i="1"/>
  <c r="C1123" i="1"/>
  <c r="G1122" i="1"/>
  <c r="D1122" i="1"/>
  <c r="C1122" i="1"/>
  <c r="G1121" i="1"/>
  <c r="D1121" i="1"/>
  <c r="C1121" i="1"/>
  <c r="G1120" i="1"/>
  <c r="D1120" i="1"/>
  <c r="C1120" i="1"/>
  <c r="G1119" i="1"/>
  <c r="D1119" i="1"/>
  <c r="C1119" i="1"/>
  <c r="G1118" i="1"/>
  <c r="D1118" i="1"/>
  <c r="C1118" i="1"/>
  <c r="G1117" i="1"/>
  <c r="D1117" i="1"/>
  <c r="C1117" i="1"/>
  <c r="G1116" i="1"/>
  <c r="D1116" i="1"/>
  <c r="C1116" i="1"/>
  <c r="G1115" i="1"/>
  <c r="D1115" i="1"/>
  <c r="C1115" i="1"/>
  <c r="G1114" i="1"/>
  <c r="D1114" i="1"/>
  <c r="C1114" i="1"/>
  <c r="G1113" i="1"/>
  <c r="D1113" i="1"/>
  <c r="C1113" i="1"/>
  <c r="G1112" i="1"/>
  <c r="D1112" i="1"/>
  <c r="C1112" i="1"/>
  <c r="G1111" i="1"/>
  <c r="D1111" i="1"/>
  <c r="C1111" i="1"/>
  <c r="G1110" i="1"/>
  <c r="D1110" i="1"/>
  <c r="C1110" i="1"/>
  <c r="G1109" i="1"/>
  <c r="D1109" i="1"/>
  <c r="C1109" i="1"/>
  <c r="G1108" i="1"/>
  <c r="D1108" i="1"/>
  <c r="C1108" i="1"/>
  <c r="G1107" i="1"/>
  <c r="D1107" i="1"/>
  <c r="C1107" i="1"/>
  <c r="G1106" i="1"/>
  <c r="D1106" i="1"/>
  <c r="C1106" i="1"/>
  <c r="G1105" i="1"/>
  <c r="D1105" i="1"/>
  <c r="C1105" i="1"/>
  <c r="G1104" i="1"/>
  <c r="D1104" i="1"/>
  <c r="C1104" i="1"/>
  <c r="G1103" i="1"/>
  <c r="D1103" i="1"/>
  <c r="C1103" i="1"/>
  <c r="G1102" i="1"/>
  <c r="D1102" i="1"/>
  <c r="C1102" i="1"/>
  <c r="L1101" i="1"/>
  <c r="G1101" i="1"/>
  <c r="D1101" i="1"/>
  <c r="C1101" i="1"/>
  <c r="L1100" i="1"/>
  <c r="G1100" i="1"/>
  <c r="D1100" i="1"/>
  <c r="C1100" i="1"/>
  <c r="G1099" i="1"/>
  <c r="D1099" i="1"/>
  <c r="C1099" i="1"/>
  <c r="G1098" i="1"/>
  <c r="D1098" i="1"/>
  <c r="C1098" i="1"/>
  <c r="G1097" i="1"/>
  <c r="D1097" i="1"/>
  <c r="C1097" i="1"/>
  <c r="G1096" i="1"/>
  <c r="D1096" i="1"/>
  <c r="C1096" i="1"/>
  <c r="L1095" i="1"/>
  <c r="G1095" i="1"/>
  <c r="D1095" i="1"/>
  <c r="C1095" i="1"/>
  <c r="G1094" i="1"/>
  <c r="D1094" i="1"/>
  <c r="C1094" i="1"/>
  <c r="G1093" i="1"/>
  <c r="D1093" i="1"/>
  <c r="C1093" i="1"/>
  <c r="G1092" i="1"/>
  <c r="D1092" i="1"/>
  <c r="C1092" i="1"/>
  <c r="G1091" i="1"/>
  <c r="D1091" i="1"/>
  <c r="C1091" i="1"/>
  <c r="G1090" i="1"/>
  <c r="D1090" i="1"/>
  <c r="C1090" i="1"/>
  <c r="G1089" i="1"/>
  <c r="D1089" i="1"/>
  <c r="C1089" i="1"/>
  <c r="G1088" i="1"/>
  <c r="D1088" i="1"/>
  <c r="C1088" i="1"/>
  <c r="G1087" i="1"/>
  <c r="D1087" i="1"/>
  <c r="C1087" i="1"/>
  <c r="G1086" i="1"/>
  <c r="D1086" i="1"/>
  <c r="C1086" i="1"/>
  <c r="G1085" i="1"/>
  <c r="D1085" i="1"/>
  <c r="C1085" i="1"/>
  <c r="G1084" i="1"/>
  <c r="D1084" i="1"/>
  <c r="C1084" i="1"/>
  <c r="G1083" i="1"/>
  <c r="D1083" i="1"/>
  <c r="C1083" i="1"/>
  <c r="G1082" i="1"/>
  <c r="D1082" i="1"/>
  <c r="C1082" i="1"/>
  <c r="G1081" i="1"/>
  <c r="D1081" i="1"/>
  <c r="C1081" i="1"/>
  <c r="G1080" i="1"/>
  <c r="D1080" i="1"/>
  <c r="C1080" i="1"/>
  <c r="G1079" i="1"/>
  <c r="D1079" i="1"/>
  <c r="C1079" i="1"/>
  <c r="G1078" i="1"/>
  <c r="D1078" i="1"/>
  <c r="C1078" i="1"/>
  <c r="G1077" i="1"/>
  <c r="D1077" i="1"/>
  <c r="C1077" i="1"/>
  <c r="G1076" i="1"/>
  <c r="D1076" i="1"/>
  <c r="C1076" i="1"/>
  <c r="G1075" i="1"/>
  <c r="D1075" i="1"/>
  <c r="C1075" i="1"/>
  <c r="G1074" i="1"/>
  <c r="D1074" i="1"/>
  <c r="C1074" i="1"/>
  <c r="G1073" i="1"/>
  <c r="D1073" i="1"/>
  <c r="C1073" i="1"/>
  <c r="G1072" i="1"/>
  <c r="D1072" i="1"/>
  <c r="C1072" i="1"/>
  <c r="G1071" i="1"/>
  <c r="D1071" i="1"/>
  <c r="C1071" i="1"/>
  <c r="G1070" i="1"/>
  <c r="D1070" i="1"/>
  <c r="C1070" i="1"/>
  <c r="G1069" i="1"/>
  <c r="D1069" i="1"/>
  <c r="C1069" i="1"/>
  <c r="L1068" i="1"/>
  <c r="G1068" i="1"/>
  <c r="D1068" i="1"/>
  <c r="C1068" i="1"/>
  <c r="G1067" i="1"/>
  <c r="D1067" i="1"/>
  <c r="C1067" i="1"/>
  <c r="G1066" i="1"/>
  <c r="D1066" i="1"/>
  <c r="C1066" i="1"/>
  <c r="G1065" i="1"/>
  <c r="D1065" i="1"/>
  <c r="C1065" i="1"/>
  <c r="G1064" i="1"/>
  <c r="D1064" i="1"/>
  <c r="C1064" i="1"/>
  <c r="G1063" i="1"/>
  <c r="D1063" i="1"/>
  <c r="C1063" i="1"/>
  <c r="G1062" i="1"/>
  <c r="D1062" i="1"/>
  <c r="C1062" i="1"/>
  <c r="G1061" i="1"/>
  <c r="D1061" i="1"/>
  <c r="C1061" i="1"/>
  <c r="L1060" i="1"/>
  <c r="G1060" i="1"/>
  <c r="D1060" i="1"/>
  <c r="C1060" i="1"/>
  <c r="L1059" i="1"/>
  <c r="G1059" i="1"/>
  <c r="D1059" i="1"/>
  <c r="C1059" i="1"/>
  <c r="G1058" i="1"/>
  <c r="D1058" i="1"/>
  <c r="C1058" i="1"/>
  <c r="G1057" i="1"/>
  <c r="D1057" i="1"/>
  <c r="C1057" i="1"/>
  <c r="G1056" i="1"/>
  <c r="D1056" i="1"/>
  <c r="C1056" i="1"/>
  <c r="G1055" i="1"/>
  <c r="D1055" i="1"/>
  <c r="C1055" i="1"/>
  <c r="G1054" i="1"/>
  <c r="D1054" i="1"/>
  <c r="C1054" i="1"/>
  <c r="G1053" i="1"/>
  <c r="D1053" i="1"/>
  <c r="C1053" i="1"/>
  <c r="G1052" i="1"/>
  <c r="D1052" i="1"/>
  <c r="C1052" i="1"/>
  <c r="G1051" i="1"/>
  <c r="D1051" i="1"/>
  <c r="C1051" i="1"/>
  <c r="G1050" i="1"/>
  <c r="D1050" i="1"/>
  <c r="C1050" i="1"/>
  <c r="G1049" i="1"/>
  <c r="D1049" i="1"/>
  <c r="C1049" i="1"/>
  <c r="G1048" i="1"/>
  <c r="D1048" i="1"/>
  <c r="C1048" i="1"/>
  <c r="G1047" i="1"/>
  <c r="D1047" i="1"/>
  <c r="C1047" i="1"/>
  <c r="G1046" i="1"/>
  <c r="D1046" i="1"/>
  <c r="C1046" i="1"/>
  <c r="G1045" i="1"/>
  <c r="D1045" i="1"/>
  <c r="C1045" i="1"/>
  <c r="G1044" i="1"/>
  <c r="D1044" i="1"/>
  <c r="C1044" i="1"/>
  <c r="G1043" i="1"/>
  <c r="D1043" i="1"/>
  <c r="C1043" i="1"/>
  <c r="G1042" i="1"/>
  <c r="D1042" i="1"/>
  <c r="C1042" i="1"/>
  <c r="G1041" i="1"/>
  <c r="D1041" i="1"/>
  <c r="C1041" i="1"/>
  <c r="G1040" i="1"/>
  <c r="D1040" i="1"/>
  <c r="C1040" i="1"/>
  <c r="G1039" i="1"/>
  <c r="D1039" i="1"/>
  <c r="C1039" i="1"/>
  <c r="G1038" i="1"/>
  <c r="D1038" i="1"/>
  <c r="C1038" i="1"/>
  <c r="G1037" i="1"/>
  <c r="D1037" i="1"/>
  <c r="C1037" i="1"/>
  <c r="G1036" i="1"/>
  <c r="D1036" i="1"/>
  <c r="C1036" i="1"/>
  <c r="G1035" i="1"/>
  <c r="D1035" i="1"/>
  <c r="C1035" i="1"/>
  <c r="G1034" i="1"/>
  <c r="D1034" i="1"/>
  <c r="C1034" i="1"/>
  <c r="G1033" i="1"/>
  <c r="D1033" i="1"/>
  <c r="C1033" i="1"/>
  <c r="G1032" i="1"/>
  <c r="D1032" i="1"/>
  <c r="C1032" i="1"/>
  <c r="G1031" i="1"/>
  <c r="D1031" i="1"/>
  <c r="C1031" i="1"/>
  <c r="G1030" i="1"/>
  <c r="D1030" i="1"/>
  <c r="C1030" i="1"/>
  <c r="G1029" i="1"/>
  <c r="D1029" i="1"/>
  <c r="C1029" i="1"/>
  <c r="G1028" i="1"/>
  <c r="D1028" i="1"/>
  <c r="C1028" i="1"/>
  <c r="G1027" i="1"/>
  <c r="D1027" i="1"/>
  <c r="C1027" i="1"/>
  <c r="G1026" i="1"/>
  <c r="D1026" i="1"/>
  <c r="C1026" i="1"/>
  <c r="G1025" i="1"/>
  <c r="D1025" i="1"/>
  <c r="C1025" i="1"/>
  <c r="G1024" i="1"/>
  <c r="D1024" i="1"/>
  <c r="C1024" i="1"/>
  <c r="G1023" i="1"/>
  <c r="D1023" i="1"/>
  <c r="C1023" i="1"/>
  <c r="G1022" i="1"/>
  <c r="D1022" i="1"/>
  <c r="C1022" i="1"/>
  <c r="G1021" i="1"/>
  <c r="D1021" i="1"/>
  <c r="C1021" i="1"/>
  <c r="G1020" i="1"/>
  <c r="D1020" i="1"/>
  <c r="C1020" i="1"/>
  <c r="G1019" i="1"/>
  <c r="D1019" i="1"/>
  <c r="C1019" i="1"/>
  <c r="G1018" i="1"/>
  <c r="D1018" i="1"/>
  <c r="C1018" i="1"/>
  <c r="G1017" i="1"/>
  <c r="D1017" i="1"/>
  <c r="C1017" i="1"/>
  <c r="G1016" i="1"/>
  <c r="D1016" i="1"/>
  <c r="C1016" i="1"/>
  <c r="G1015" i="1"/>
  <c r="D1015" i="1"/>
  <c r="C1015" i="1"/>
  <c r="G1014" i="1"/>
  <c r="D1014" i="1"/>
  <c r="C1014" i="1"/>
  <c r="G1013" i="1"/>
  <c r="D1013" i="1"/>
  <c r="C1013" i="1"/>
  <c r="G1012" i="1"/>
  <c r="D1012" i="1"/>
  <c r="C1012" i="1"/>
  <c r="G1011" i="1"/>
  <c r="D1011" i="1"/>
  <c r="C1011" i="1"/>
  <c r="G1010" i="1"/>
  <c r="D1010" i="1"/>
  <c r="C1010" i="1"/>
  <c r="G1009" i="1"/>
  <c r="D1009" i="1"/>
  <c r="C1009" i="1"/>
  <c r="G1008" i="1"/>
  <c r="D1008" i="1"/>
  <c r="C1008" i="1"/>
  <c r="G1007" i="1"/>
  <c r="D1007" i="1"/>
  <c r="C1007" i="1"/>
  <c r="G1006" i="1"/>
  <c r="D1006" i="1"/>
  <c r="C1006" i="1"/>
  <c r="G1005" i="1"/>
  <c r="D1005" i="1"/>
  <c r="C1005" i="1"/>
  <c r="G1004" i="1"/>
  <c r="D1004" i="1"/>
  <c r="C1004" i="1"/>
  <c r="G1003" i="1"/>
  <c r="D1003" i="1"/>
  <c r="C1003" i="1"/>
  <c r="G1002" i="1"/>
  <c r="D1002" i="1"/>
  <c r="C1002" i="1"/>
  <c r="G1001" i="1"/>
  <c r="D1001" i="1"/>
  <c r="C1001" i="1"/>
  <c r="G1000" i="1"/>
  <c r="D1000" i="1"/>
  <c r="C1000" i="1"/>
  <c r="G999" i="1"/>
  <c r="D999" i="1"/>
  <c r="C999" i="1"/>
  <c r="G998" i="1"/>
  <c r="D998" i="1"/>
  <c r="C998" i="1"/>
  <c r="G997" i="1"/>
  <c r="D997" i="1"/>
  <c r="C997" i="1"/>
  <c r="G996" i="1"/>
  <c r="D996" i="1"/>
  <c r="C996" i="1"/>
  <c r="G995" i="1"/>
  <c r="D995" i="1"/>
  <c r="C995" i="1"/>
  <c r="G994" i="1"/>
  <c r="D994" i="1"/>
  <c r="C994" i="1"/>
  <c r="G993" i="1"/>
  <c r="D993" i="1"/>
  <c r="C993" i="1"/>
  <c r="G992" i="1"/>
  <c r="D992" i="1"/>
  <c r="C992" i="1"/>
  <c r="G991" i="1"/>
  <c r="D991" i="1"/>
  <c r="C991" i="1"/>
  <c r="G990" i="1"/>
  <c r="D990" i="1"/>
  <c r="C990" i="1"/>
  <c r="G989" i="1"/>
  <c r="D989" i="1"/>
  <c r="C989" i="1"/>
  <c r="G988" i="1"/>
  <c r="D988" i="1"/>
  <c r="C988" i="1"/>
  <c r="G987" i="1"/>
  <c r="D987" i="1"/>
  <c r="C987" i="1"/>
  <c r="L986" i="1"/>
  <c r="G986" i="1"/>
  <c r="D986" i="1"/>
  <c r="C986" i="1"/>
  <c r="G985" i="1"/>
  <c r="D985" i="1"/>
  <c r="C985" i="1"/>
  <c r="G984" i="1"/>
  <c r="D984" i="1"/>
  <c r="C984" i="1"/>
  <c r="G983" i="1"/>
  <c r="D983" i="1"/>
  <c r="C983" i="1"/>
  <c r="G982" i="1"/>
  <c r="D982" i="1"/>
  <c r="C982" i="1"/>
  <c r="G981" i="1"/>
  <c r="D981" i="1"/>
  <c r="C981" i="1"/>
  <c r="G980" i="1"/>
  <c r="D980" i="1"/>
  <c r="C980" i="1"/>
  <c r="G979" i="1"/>
  <c r="D979" i="1"/>
  <c r="C979" i="1"/>
  <c r="G978" i="1"/>
  <c r="D978" i="1"/>
  <c r="C978" i="1"/>
  <c r="G977" i="1"/>
  <c r="D977" i="1"/>
  <c r="C977" i="1"/>
  <c r="G976" i="1"/>
  <c r="D976" i="1"/>
  <c r="C976" i="1"/>
  <c r="G975" i="1"/>
  <c r="D975" i="1"/>
  <c r="C975" i="1"/>
  <c r="G974" i="1"/>
  <c r="D974" i="1"/>
  <c r="C974" i="1"/>
  <c r="G973" i="1"/>
  <c r="D973" i="1"/>
  <c r="C973" i="1"/>
  <c r="G972" i="1"/>
  <c r="D972" i="1"/>
  <c r="C972" i="1"/>
  <c r="L971" i="1"/>
  <c r="G971" i="1"/>
  <c r="D971" i="1"/>
  <c r="C971" i="1"/>
  <c r="G970" i="1"/>
  <c r="D970" i="1"/>
  <c r="C970" i="1"/>
  <c r="G969" i="1"/>
  <c r="D969" i="1"/>
  <c r="C969" i="1"/>
  <c r="G968" i="1"/>
  <c r="D968" i="1"/>
  <c r="C968" i="1"/>
  <c r="G967" i="1"/>
  <c r="D967" i="1"/>
  <c r="C967" i="1"/>
  <c r="L966" i="1"/>
  <c r="G966" i="1"/>
  <c r="D966" i="1"/>
  <c r="C966" i="1"/>
  <c r="L965" i="1"/>
  <c r="G965" i="1"/>
  <c r="D965" i="1"/>
  <c r="C965" i="1"/>
  <c r="L964" i="1"/>
  <c r="G964" i="1"/>
  <c r="D964" i="1"/>
  <c r="C964" i="1"/>
  <c r="G963" i="1"/>
  <c r="D963" i="1"/>
  <c r="C963" i="1"/>
  <c r="G962" i="1"/>
  <c r="D962" i="1"/>
  <c r="C962" i="1"/>
  <c r="G961" i="1"/>
  <c r="D961" i="1"/>
  <c r="C961" i="1"/>
  <c r="G960" i="1"/>
  <c r="D960" i="1"/>
  <c r="C960" i="1"/>
  <c r="G959" i="1"/>
  <c r="D959" i="1"/>
  <c r="C959" i="1"/>
  <c r="G958" i="1"/>
  <c r="D958" i="1"/>
  <c r="C958" i="1"/>
  <c r="G957" i="1"/>
  <c r="D957" i="1"/>
  <c r="C957" i="1"/>
  <c r="G956" i="1"/>
  <c r="D956" i="1"/>
  <c r="C956" i="1"/>
  <c r="G955" i="1"/>
  <c r="D955" i="1"/>
  <c r="C955" i="1"/>
  <c r="G954" i="1"/>
  <c r="D954" i="1"/>
  <c r="C954" i="1"/>
  <c r="G953" i="1"/>
  <c r="D953" i="1"/>
  <c r="C953" i="1"/>
  <c r="G952" i="1"/>
  <c r="D952" i="1"/>
  <c r="C952" i="1"/>
  <c r="G951" i="1"/>
  <c r="D951" i="1"/>
  <c r="C951" i="1"/>
  <c r="G950" i="1"/>
  <c r="D950" i="1"/>
  <c r="C950" i="1"/>
  <c r="G949" i="1"/>
  <c r="D949" i="1"/>
  <c r="C949" i="1"/>
  <c r="G948" i="1"/>
  <c r="D948" i="1"/>
  <c r="C948" i="1"/>
  <c r="G947" i="1"/>
  <c r="D947" i="1"/>
  <c r="C947" i="1"/>
  <c r="G946" i="1"/>
  <c r="D946" i="1"/>
  <c r="C946" i="1"/>
  <c r="G945" i="1"/>
  <c r="D945" i="1"/>
  <c r="C945" i="1"/>
  <c r="G944" i="1"/>
  <c r="D944" i="1"/>
  <c r="C944" i="1"/>
  <c r="G943" i="1"/>
  <c r="D943" i="1"/>
  <c r="C943" i="1"/>
  <c r="G942" i="1"/>
  <c r="D942" i="1"/>
  <c r="C942" i="1"/>
  <c r="G941" i="1"/>
  <c r="D941" i="1"/>
  <c r="C941" i="1"/>
  <c r="G940" i="1"/>
  <c r="D940" i="1"/>
  <c r="C940" i="1"/>
  <c r="L939" i="1"/>
  <c r="G939" i="1"/>
  <c r="D939" i="1"/>
  <c r="C939" i="1"/>
  <c r="G938" i="1"/>
  <c r="D938" i="1"/>
  <c r="C938" i="1"/>
  <c r="G937" i="1"/>
  <c r="D937" i="1"/>
  <c r="C937" i="1"/>
  <c r="G936" i="1"/>
  <c r="D936" i="1"/>
  <c r="C936" i="1"/>
  <c r="G935" i="1"/>
  <c r="D935" i="1"/>
  <c r="C935" i="1"/>
  <c r="G934" i="1"/>
  <c r="D934" i="1"/>
  <c r="C934" i="1"/>
  <c r="G933" i="1"/>
  <c r="D933" i="1"/>
  <c r="C933" i="1"/>
  <c r="L932" i="1"/>
  <c r="G932" i="1"/>
  <c r="D932" i="1"/>
  <c r="C932" i="1"/>
  <c r="G931" i="1"/>
  <c r="D931" i="1"/>
  <c r="C931" i="1"/>
  <c r="L930" i="1"/>
  <c r="G930" i="1"/>
  <c r="D930" i="1"/>
  <c r="C930" i="1"/>
  <c r="G929" i="1"/>
  <c r="D929" i="1"/>
  <c r="C929" i="1"/>
  <c r="G928" i="1"/>
  <c r="D928" i="1"/>
  <c r="C928" i="1"/>
  <c r="G927" i="1"/>
  <c r="D927" i="1"/>
  <c r="C927" i="1"/>
  <c r="G926" i="1"/>
  <c r="D926" i="1"/>
  <c r="C926" i="1"/>
  <c r="L925" i="1"/>
  <c r="G925" i="1"/>
  <c r="D925" i="1"/>
  <c r="C925" i="1"/>
  <c r="L924" i="1"/>
  <c r="G924" i="1"/>
  <c r="D924" i="1"/>
  <c r="C924" i="1"/>
  <c r="G923" i="1"/>
  <c r="D923" i="1"/>
  <c r="C923" i="1"/>
  <c r="G922" i="1"/>
  <c r="D922" i="1"/>
  <c r="C922" i="1"/>
  <c r="G921" i="1"/>
  <c r="D921" i="1"/>
  <c r="C921" i="1"/>
  <c r="G920" i="1"/>
  <c r="D920" i="1"/>
  <c r="C920" i="1"/>
  <c r="L919" i="1"/>
  <c r="G919" i="1"/>
  <c r="D919" i="1"/>
  <c r="C919" i="1"/>
  <c r="G918" i="1"/>
  <c r="D918" i="1"/>
  <c r="C918" i="1"/>
  <c r="L917" i="1"/>
  <c r="G917" i="1"/>
  <c r="D917" i="1"/>
  <c r="C917" i="1"/>
  <c r="G916" i="1"/>
  <c r="D916" i="1"/>
  <c r="C916" i="1"/>
  <c r="G915" i="1"/>
  <c r="D915" i="1"/>
  <c r="C915" i="1"/>
  <c r="G914" i="1"/>
  <c r="D914" i="1"/>
  <c r="C914" i="1"/>
  <c r="G913" i="1"/>
  <c r="D913" i="1"/>
  <c r="C913" i="1"/>
  <c r="G912" i="1"/>
  <c r="D912" i="1"/>
  <c r="C912" i="1"/>
  <c r="G911" i="1"/>
  <c r="D911" i="1"/>
  <c r="C911" i="1"/>
  <c r="G910" i="1"/>
  <c r="D910" i="1"/>
  <c r="C910" i="1"/>
  <c r="G909" i="1"/>
  <c r="D909" i="1"/>
  <c r="C909" i="1"/>
  <c r="G908" i="1"/>
  <c r="D908" i="1"/>
  <c r="C908" i="1"/>
  <c r="G907" i="1"/>
  <c r="D907" i="1"/>
  <c r="C907" i="1"/>
  <c r="G906" i="1"/>
  <c r="D906" i="1"/>
  <c r="C906" i="1"/>
  <c r="G905" i="1"/>
  <c r="D905" i="1"/>
  <c r="C905" i="1"/>
  <c r="G904" i="1"/>
  <c r="D904" i="1"/>
  <c r="C904" i="1"/>
  <c r="L903" i="1"/>
  <c r="G903" i="1"/>
  <c r="D903" i="1"/>
  <c r="C903" i="1"/>
  <c r="G902" i="1"/>
  <c r="D902" i="1"/>
  <c r="C902" i="1"/>
  <c r="G901" i="1"/>
  <c r="D901" i="1"/>
  <c r="C901" i="1"/>
  <c r="G900" i="1"/>
  <c r="D900" i="1"/>
  <c r="C900" i="1"/>
  <c r="G899" i="1"/>
  <c r="D899" i="1"/>
  <c r="C899" i="1"/>
  <c r="G898" i="1"/>
  <c r="D898" i="1"/>
  <c r="C898" i="1"/>
  <c r="G897" i="1"/>
  <c r="D897" i="1"/>
  <c r="C897" i="1"/>
  <c r="G896" i="1"/>
  <c r="D896" i="1"/>
  <c r="C896" i="1"/>
  <c r="G895" i="1"/>
  <c r="D895" i="1"/>
  <c r="C895" i="1"/>
  <c r="G894" i="1"/>
  <c r="D894" i="1"/>
  <c r="C894" i="1"/>
  <c r="G893" i="1"/>
  <c r="D893" i="1"/>
  <c r="C893" i="1"/>
  <c r="G892" i="1"/>
  <c r="D892" i="1"/>
  <c r="C892" i="1"/>
  <c r="G891" i="1"/>
  <c r="D891" i="1"/>
  <c r="C891" i="1"/>
  <c r="G890" i="1"/>
  <c r="D890" i="1"/>
  <c r="C890" i="1"/>
  <c r="G889" i="1"/>
  <c r="D889" i="1"/>
  <c r="C889" i="1"/>
  <c r="G888" i="1"/>
  <c r="D888" i="1"/>
  <c r="C888" i="1"/>
  <c r="G887" i="1"/>
  <c r="D887" i="1"/>
  <c r="C887" i="1"/>
  <c r="G886" i="1"/>
  <c r="D886" i="1"/>
  <c r="C886" i="1"/>
  <c r="G885" i="1"/>
  <c r="D885" i="1"/>
  <c r="C885" i="1"/>
  <c r="G884" i="1"/>
  <c r="D884" i="1"/>
  <c r="C884" i="1"/>
  <c r="G883" i="1"/>
  <c r="D883" i="1"/>
  <c r="C883" i="1"/>
  <c r="G882" i="1"/>
  <c r="D882" i="1"/>
  <c r="C882" i="1"/>
  <c r="G881" i="1"/>
  <c r="D881" i="1"/>
  <c r="C881" i="1"/>
  <c r="G880" i="1"/>
  <c r="D880" i="1"/>
  <c r="C880" i="1"/>
  <c r="G879" i="1"/>
  <c r="D879" i="1"/>
  <c r="C879" i="1"/>
  <c r="G878" i="1"/>
  <c r="D878" i="1"/>
  <c r="C878" i="1"/>
  <c r="G877" i="1"/>
  <c r="D877" i="1"/>
  <c r="C877" i="1"/>
  <c r="G876" i="1"/>
  <c r="D876" i="1"/>
  <c r="C876" i="1"/>
  <c r="G875" i="1"/>
  <c r="D875" i="1"/>
  <c r="C875" i="1"/>
  <c r="G874" i="1"/>
  <c r="D874" i="1"/>
  <c r="C874" i="1"/>
  <c r="G873" i="1"/>
  <c r="D873" i="1"/>
  <c r="C873" i="1"/>
  <c r="L872" i="1"/>
  <c r="G872" i="1"/>
  <c r="D872" i="1"/>
  <c r="C872" i="1"/>
  <c r="G871" i="1"/>
  <c r="D871" i="1"/>
  <c r="C871" i="1"/>
  <c r="G870" i="1"/>
  <c r="D870" i="1"/>
  <c r="C870" i="1"/>
  <c r="G869" i="1"/>
  <c r="D869" i="1"/>
  <c r="C869" i="1"/>
  <c r="G868" i="1"/>
  <c r="D868" i="1"/>
  <c r="C868" i="1"/>
  <c r="G867" i="1"/>
  <c r="D867" i="1"/>
  <c r="C867" i="1"/>
  <c r="G866" i="1"/>
  <c r="D866" i="1"/>
  <c r="C866" i="1"/>
  <c r="G865" i="1"/>
  <c r="D865" i="1"/>
  <c r="C865" i="1"/>
  <c r="G864" i="1"/>
  <c r="D864" i="1"/>
  <c r="C864" i="1"/>
  <c r="G863" i="1"/>
  <c r="D863" i="1"/>
  <c r="C863" i="1"/>
  <c r="G862" i="1"/>
  <c r="D862" i="1"/>
  <c r="C862" i="1"/>
  <c r="G861" i="1"/>
  <c r="D861" i="1"/>
  <c r="C861" i="1"/>
  <c r="G860" i="1"/>
  <c r="D860" i="1"/>
  <c r="C860" i="1"/>
  <c r="G859" i="1"/>
  <c r="D859" i="1"/>
  <c r="C859" i="1"/>
  <c r="G858" i="1"/>
  <c r="D858" i="1"/>
  <c r="C858" i="1"/>
  <c r="G857" i="1"/>
  <c r="D857" i="1"/>
  <c r="C857" i="1"/>
  <c r="L856" i="1"/>
  <c r="G856" i="1"/>
  <c r="D856" i="1"/>
  <c r="C856" i="1"/>
  <c r="G855" i="1"/>
  <c r="D855" i="1"/>
  <c r="C855" i="1"/>
  <c r="G854" i="1"/>
  <c r="D854" i="1"/>
  <c r="C854" i="1"/>
  <c r="G853" i="1"/>
  <c r="D853" i="1"/>
  <c r="C853" i="1"/>
  <c r="G852" i="1"/>
  <c r="D852" i="1"/>
  <c r="C852" i="1"/>
  <c r="G851" i="1"/>
  <c r="D851" i="1"/>
  <c r="C851" i="1"/>
  <c r="G850" i="1"/>
  <c r="D850" i="1"/>
  <c r="C850" i="1"/>
  <c r="G849" i="1"/>
  <c r="D849" i="1"/>
  <c r="C849" i="1"/>
  <c r="G848" i="1"/>
  <c r="D848" i="1"/>
  <c r="C848" i="1"/>
  <c r="G847" i="1"/>
  <c r="D847" i="1"/>
  <c r="C847" i="1"/>
  <c r="G846" i="1"/>
  <c r="D846" i="1"/>
  <c r="C846" i="1"/>
  <c r="G845" i="1"/>
  <c r="D845" i="1"/>
  <c r="C845" i="1"/>
  <c r="G844" i="1"/>
  <c r="D844" i="1"/>
  <c r="C844" i="1"/>
  <c r="L843" i="1"/>
  <c r="G843" i="1"/>
  <c r="D843" i="1"/>
  <c r="C843" i="1"/>
  <c r="G842" i="1"/>
  <c r="D842" i="1"/>
  <c r="C842" i="1"/>
  <c r="G841" i="1"/>
  <c r="D841" i="1"/>
  <c r="C841" i="1"/>
  <c r="G840" i="1"/>
  <c r="D840" i="1"/>
  <c r="C840" i="1"/>
  <c r="G839" i="1"/>
  <c r="D839" i="1"/>
  <c r="C839" i="1"/>
  <c r="G838" i="1"/>
  <c r="D838" i="1"/>
  <c r="C838" i="1"/>
  <c r="G837" i="1"/>
  <c r="D837" i="1"/>
  <c r="C837" i="1"/>
  <c r="L836" i="1"/>
  <c r="G836" i="1"/>
  <c r="D836" i="1"/>
  <c r="C836" i="1"/>
  <c r="G835" i="1"/>
  <c r="D835" i="1"/>
  <c r="C835" i="1"/>
  <c r="G834" i="1"/>
  <c r="D834" i="1"/>
  <c r="C834" i="1"/>
  <c r="G833" i="1"/>
  <c r="D833" i="1"/>
  <c r="C833" i="1"/>
  <c r="G832" i="1"/>
  <c r="D832" i="1"/>
  <c r="C832" i="1"/>
  <c r="G831" i="1"/>
  <c r="D831" i="1"/>
  <c r="C831" i="1"/>
  <c r="L830" i="1"/>
  <c r="G830" i="1"/>
  <c r="D830" i="1"/>
  <c r="C830" i="1"/>
  <c r="G829" i="1"/>
  <c r="D829" i="1"/>
  <c r="C829" i="1"/>
  <c r="G828" i="1"/>
  <c r="D828" i="1"/>
  <c r="C828" i="1"/>
  <c r="G827" i="1"/>
  <c r="D827" i="1"/>
  <c r="C827" i="1"/>
  <c r="G826" i="1"/>
  <c r="D826" i="1"/>
  <c r="C826" i="1"/>
  <c r="G825" i="1"/>
  <c r="D825" i="1"/>
  <c r="C825" i="1"/>
  <c r="G824" i="1"/>
  <c r="D824" i="1"/>
  <c r="C824" i="1"/>
  <c r="G823" i="1"/>
  <c r="D823" i="1"/>
  <c r="C823" i="1"/>
  <c r="G822" i="1"/>
  <c r="D822" i="1"/>
  <c r="C822" i="1"/>
  <c r="L821" i="1"/>
  <c r="G821" i="1"/>
  <c r="D821" i="1"/>
  <c r="C821" i="1"/>
  <c r="G820" i="1"/>
  <c r="D820" i="1"/>
  <c r="C820" i="1"/>
  <c r="G819" i="1"/>
  <c r="D819" i="1"/>
  <c r="C819" i="1"/>
  <c r="G818" i="1"/>
  <c r="D818" i="1"/>
  <c r="C818" i="1"/>
  <c r="G817" i="1"/>
  <c r="D817" i="1"/>
  <c r="C817" i="1"/>
  <c r="G816" i="1"/>
  <c r="D816" i="1"/>
  <c r="C816" i="1"/>
  <c r="G815" i="1"/>
  <c r="D815" i="1"/>
  <c r="C815" i="1"/>
  <c r="G814" i="1"/>
  <c r="D814" i="1"/>
  <c r="C814" i="1"/>
  <c r="G813" i="1"/>
  <c r="D813" i="1"/>
  <c r="C813" i="1"/>
  <c r="G812" i="1"/>
  <c r="D812" i="1"/>
  <c r="C812" i="1"/>
  <c r="G811" i="1"/>
  <c r="D811" i="1"/>
  <c r="C811" i="1"/>
  <c r="L810" i="1"/>
  <c r="G810" i="1"/>
  <c r="D810" i="1"/>
  <c r="C810" i="1"/>
  <c r="G809" i="1"/>
  <c r="D809" i="1"/>
  <c r="C809" i="1"/>
  <c r="G808" i="1"/>
  <c r="D808" i="1"/>
  <c r="C808" i="1"/>
  <c r="G807" i="1"/>
  <c r="D807" i="1"/>
  <c r="C807" i="1"/>
  <c r="G806" i="1"/>
  <c r="D806" i="1"/>
  <c r="C806" i="1"/>
  <c r="G805" i="1"/>
  <c r="D805" i="1"/>
  <c r="C805" i="1"/>
  <c r="G804" i="1"/>
  <c r="D804" i="1"/>
  <c r="C804" i="1"/>
  <c r="G803" i="1"/>
  <c r="D803" i="1"/>
  <c r="C803" i="1"/>
  <c r="G802" i="1"/>
  <c r="D802" i="1"/>
  <c r="C802" i="1"/>
  <c r="G801" i="1"/>
  <c r="D801" i="1"/>
  <c r="C801" i="1"/>
  <c r="G800" i="1"/>
  <c r="D800" i="1"/>
  <c r="C800" i="1"/>
  <c r="G799" i="1"/>
  <c r="D799" i="1"/>
  <c r="C799" i="1"/>
  <c r="L798" i="1"/>
  <c r="G798" i="1"/>
  <c r="D798" i="1"/>
  <c r="C798" i="1"/>
  <c r="G797" i="1"/>
  <c r="D797" i="1"/>
  <c r="C797" i="1"/>
  <c r="G796" i="1"/>
  <c r="D796" i="1"/>
  <c r="C796" i="1"/>
  <c r="G795" i="1"/>
  <c r="D795" i="1"/>
  <c r="C795" i="1"/>
  <c r="G794" i="1"/>
  <c r="D794" i="1"/>
  <c r="C794" i="1"/>
  <c r="G793" i="1"/>
  <c r="D793" i="1"/>
  <c r="C793" i="1"/>
  <c r="G792" i="1"/>
  <c r="D792" i="1"/>
  <c r="C792" i="1"/>
  <c r="G791" i="1"/>
  <c r="D791" i="1"/>
  <c r="C791" i="1"/>
  <c r="L790" i="1"/>
  <c r="G790" i="1"/>
  <c r="D790" i="1"/>
  <c r="C790" i="1"/>
  <c r="G789" i="1"/>
  <c r="D789" i="1"/>
  <c r="C789" i="1"/>
  <c r="G788" i="1"/>
  <c r="D788" i="1"/>
  <c r="C788" i="1"/>
  <c r="L787" i="1"/>
  <c r="G787" i="1"/>
  <c r="D787" i="1"/>
  <c r="C787" i="1"/>
  <c r="G786" i="1"/>
  <c r="D786" i="1"/>
  <c r="C786" i="1"/>
  <c r="G785" i="1"/>
  <c r="D785" i="1"/>
  <c r="C785" i="1"/>
  <c r="G784" i="1"/>
  <c r="D784" i="1"/>
  <c r="C784" i="1"/>
  <c r="G783" i="1"/>
  <c r="D783" i="1"/>
  <c r="C783" i="1"/>
  <c r="G782" i="1"/>
  <c r="D782" i="1"/>
  <c r="C782" i="1"/>
  <c r="G781" i="1"/>
  <c r="D781" i="1"/>
  <c r="C781" i="1"/>
  <c r="G780" i="1"/>
  <c r="D780" i="1"/>
  <c r="C780" i="1"/>
  <c r="G779" i="1"/>
  <c r="D779" i="1"/>
  <c r="C779" i="1"/>
  <c r="G778" i="1"/>
  <c r="D778" i="1"/>
  <c r="C778" i="1"/>
  <c r="G777" i="1"/>
  <c r="D777" i="1"/>
  <c r="C777" i="1"/>
  <c r="G776" i="1"/>
  <c r="D776" i="1"/>
  <c r="C776" i="1"/>
  <c r="G775" i="1"/>
  <c r="D775" i="1"/>
  <c r="C775" i="1"/>
  <c r="G774" i="1"/>
  <c r="D774" i="1"/>
  <c r="C774" i="1"/>
  <c r="G773" i="1"/>
  <c r="D773" i="1"/>
  <c r="C773" i="1"/>
  <c r="G772" i="1"/>
  <c r="D772" i="1"/>
  <c r="C772" i="1"/>
  <c r="G771" i="1"/>
  <c r="D771" i="1"/>
  <c r="C771" i="1"/>
  <c r="G770" i="1"/>
  <c r="D770" i="1"/>
  <c r="C770" i="1"/>
  <c r="G769" i="1"/>
  <c r="D769" i="1"/>
  <c r="C769" i="1"/>
  <c r="G768" i="1"/>
  <c r="D768" i="1"/>
  <c r="C768" i="1"/>
  <c r="G767" i="1"/>
  <c r="D767" i="1"/>
  <c r="C767" i="1"/>
  <c r="G766" i="1"/>
  <c r="D766" i="1"/>
  <c r="C766" i="1"/>
  <c r="G765" i="1"/>
  <c r="D765" i="1"/>
  <c r="C765" i="1"/>
  <c r="G764" i="1"/>
  <c r="D764" i="1"/>
  <c r="C764" i="1"/>
  <c r="G763" i="1"/>
  <c r="D763" i="1"/>
  <c r="C763" i="1"/>
  <c r="G762" i="1"/>
  <c r="D762" i="1"/>
  <c r="C762" i="1"/>
  <c r="G761" i="1"/>
  <c r="D761" i="1"/>
  <c r="C761" i="1"/>
  <c r="G760" i="1"/>
  <c r="D760" i="1"/>
  <c r="C760" i="1"/>
  <c r="G759" i="1"/>
  <c r="D759" i="1"/>
  <c r="C759" i="1"/>
  <c r="G758" i="1"/>
  <c r="D758" i="1"/>
  <c r="C758" i="1"/>
  <c r="G757" i="1"/>
  <c r="D757" i="1"/>
  <c r="C757" i="1"/>
  <c r="G756" i="1"/>
  <c r="D756" i="1"/>
  <c r="C756" i="1"/>
  <c r="G755" i="1"/>
  <c r="D755" i="1"/>
  <c r="C755" i="1"/>
  <c r="G754" i="1"/>
  <c r="D754" i="1"/>
  <c r="C754" i="1"/>
  <c r="G753" i="1"/>
  <c r="D753" i="1"/>
  <c r="C753" i="1"/>
  <c r="G752" i="1"/>
  <c r="D752" i="1"/>
  <c r="C752" i="1"/>
  <c r="G751" i="1"/>
  <c r="D751" i="1"/>
  <c r="C751" i="1"/>
  <c r="G750" i="1"/>
  <c r="D750" i="1"/>
  <c r="C750" i="1"/>
  <c r="G749" i="1"/>
  <c r="D749" i="1"/>
  <c r="C749" i="1"/>
  <c r="G748" i="1"/>
  <c r="D748" i="1"/>
  <c r="C748" i="1"/>
  <c r="G747" i="1"/>
  <c r="D747" i="1"/>
  <c r="C747" i="1"/>
  <c r="G746" i="1"/>
  <c r="D746" i="1"/>
  <c r="C746" i="1"/>
  <c r="G745" i="1"/>
  <c r="D745" i="1"/>
  <c r="C745" i="1"/>
  <c r="G744" i="1"/>
  <c r="D744" i="1"/>
  <c r="C744" i="1"/>
  <c r="G743" i="1"/>
  <c r="D743" i="1"/>
  <c r="C743" i="1"/>
  <c r="G742" i="1"/>
  <c r="D742" i="1"/>
  <c r="C742" i="1"/>
  <c r="G741" i="1"/>
  <c r="D741" i="1"/>
  <c r="C741" i="1"/>
  <c r="G740" i="1"/>
  <c r="D740" i="1"/>
  <c r="C740" i="1"/>
  <c r="L739" i="1"/>
  <c r="G739" i="1"/>
  <c r="D739" i="1"/>
  <c r="C739" i="1"/>
  <c r="G738" i="1"/>
  <c r="D738" i="1"/>
  <c r="C738" i="1"/>
  <c r="G737" i="1"/>
  <c r="D737" i="1"/>
  <c r="C737" i="1"/>
  <c r="G736" i="1"/>
  <c r="D736" i="1"/>
  <c r="C736" i="1"/>
  <c r="G735" i="1"/>
  <c r="D735" i="1"/>
  <c r="C735" i="1"/>
  <c r="G734" i="1"/>
  <c r="D734" i="1"/>
  <c r="C734" i="1"/>
  <c r="G733" i="1"/>
  <c r="D733" i="1"/>
  <c r="C733" i="1"/>
  <c r="G732" i="1"/>
  <c r="D732" i="1"/>
  <c r="C732" i="1"/>
  <c r="G731" i="1"/>
  <c r="D731" i="1"/>
  <c r="C731" i="1"/>
  <c r="G730" i="1"/>
  <c r="D730" i="1"/>
  <c r="C730" i="1"/>
  <c r="G729" i="1"/>
  <c r="D729" i="1"/>
  <c r="C729" i="1"/>
  <c r="G728" i="1"/>
  <c r="D728" i="1"/>
  <c r="C728" i="1"/>
  <c r="G727" i="1"/>
  <c r="D727" i="1"/>
  <c r="C727" i="1"/>
  <c r="G726" i="1"/>
  <c r="D726" i="1"/>
  <c r="C726" i="1"/>
  <c r="G725" i="1"/>
  <c r="D725" i="1"/>
  <c r="C725" i="1"/>
  <c r="G724" i="1"/>
  <c r="D724" i="1"/>
  <c r="C724" i="1"/>
  <c r="G723" i="1"/>
  <c r="D723" i="1"/>
  <c r="C723" i="1"/>
  <c r="G722" i="1"/>
  <c r="D722" i="1"/>
  <c r="C722" i="1"/>
  <c r="G721" i="1"/>
  <c r="D721" i="1"/>
  <c r="C721" i="1"/>
  <c r="G720" i="1"/>
  <c r="D720" i="1"/>
  <c r="C720" i="1"/>
  <c r="G719" i="1"/>
  <c r="D719" i="1"/>
  <c r="C719" i="1"/>
  <c r="G718" i="1"/>
  <c r="D718" i="1"/>
  <c r="C718" i="1"/>
  <c r="G717" i="1"/>
  <c r="D717" i="1"/>
  <c r="C717" i="1"/>
  <c r="G716" i="1"/>
  <c r="D716" i="1"/>
  <c r="C716" i="1"/>
  <c r="G715" i="1"/>
  <c r="D715" i="1"/>
  <c r="C715" i="1"/>
  <c r="G714" i="1"/>
  <c r="D714" i="1"/>
  <c r="C714" i="1"/>
  <c r="G713" i="1"/>
  <c r="D713" i="1"/>
  <c r="C713" i="1"/>
  <c r="G712" i="1"/>
  <c r="D712" i="1"/>
  <c r="C712" i="1"/>
  <c r="L711" i="1"/>
  <c r="G711" i="1"/>
  <c r="D711" i="1"/>
  <c r="C711" i="1"/>
  <c r="G710" i="1"/>
  <c r="D710" i="1"/>
  <c r="C710" i="1"/>
  <c r="L709" i="1"/>
  <c r="G709" i="1"/>
  <c r="D709" i="1"/>
  <c r="C709" i="1"/>
  <c r="G708" i="1"/>
  <c r="D708" i="1"/>
  <c r="C708" i="1"/>
  <c r="G707" i="1"/>
  <c r="D707" i="1"/>
  <c r="C707" i="1"/>
  <c r="G706" i="1"/>
  <c r="D706" i="1"/>
  <c r="C706" i="1"/>
  <c r="G705" i="1"/>
  <c r="D705" i="1"/>
  <c r="C705" i="1"/>
  <c r="G704" i="1"/>
  <c r="D704" i="1"/>
  <c r="C704" i="1"/>
  <c r="G703" i="1"/>
  <c r="D703" i="1"/>
  <c r="C703" i="1"/>
  <c r="G702" i="1"/>
  <c r="D702" i="1"/>
  <c r="C702" i="1"/>
  <c r="G701" i="1"/>
  <c r="D701" i="1"/>
  <c r="C701" i="1"/>
  <c r="G700" i="1"/>
  <c r="D700" i="1"/>
  <c r="C700" i="1"/>
  <c r="G699" i="1"/>
  <c r="D699" i="1"/>
  <c r="C699" i="1"/>
  <c r="G698" i="1"/>
  <c r="D698" i="1"/>
  <c r="C698" i="1"/>
  <c r="G697" i="1"/>
  <c r="D697" i="1"/>
  <c r="C697" i="1"/>
  <c r="G696" i="1"/>
  <c r="D696" i="1"/>
  <c r="C696" i="1"/>
  <c r="L695" i="1"/>
  <c r="G695" i="1"/>
  <c r="D695" i="1"/>
  <c r="C695" i="1"/>
  <c r="G694" i="1"/>
  <c r="D694" i="1"/>
  <c r="C694" i="1"/>
  <c r="G693" i="1"/>
  <c r="D693" i="1"/>
  <c r="C693" i="1"/>
  <c r="G692" i="1"/>
  <c r="D692" i="1"/>
  <c r="C692" i="1"/>
  <c r="G691" i="1"/>
  <c r="D691" i="1"/>
  <c r="C691" i="1"/>
  <c r="G690" i="1"/>
  <c r="D690" i="1"/>
  <c r="C690" i="1"/>
  <c r="G689" i="1"/>
  <c r="D689" i="1"/>
  <c r="C689" i="1"/>
  <c r="G688" i="1"/>
  <c r="D688" i="1"/>
  <c r="C688" i="1"/>
  <c r="G687" i="1"/>
  <c r="D687" i="1"/>
  <c r="C687" i="1"/>
  <c r="G686" i="1"/>
  <c r="D686" i="1"/>
  <c r="C686" i="1"/>
  <c r="G685" i="1"/>
  <c r="D685" i="1"/>
  <c r="C685" i="1"/>
  <c r="G684" i="1"/>
  <c r="D684" i="1"/>
  <c r="C684" i="1"/>
  <c r="G683" i="1"/>
  <c r="D683" i="1"/>
  <c r="C683" i="1"/>
  <c r="G682" i="1"/>
  <c r="D682" i="1"/>
  <c r="C682" i="1"/>
  <c r="G681" i="1"/>
  <c r="D681" i="1"/>
  <c r="C681" i="1"/>
  <c r="G680" i="1"/>
  <c r="D680" i="1"/>
  <c r="C680" i="1"/>
  <c r="G679" i="1"/>
  <c r="D679" i="1"/>
  <c r="C679" i="1"/>
  <c r="G678" i="1"/>
  <c r="D678" i="1"/>
  <c r="C678" i="1"/>
  <c r="G677" i="1"/>
  <c r="D677" i="1"/>
  <c r="C677" i="1"/>
  <c r="G676" i="1"/>
  <c r="D676" i="1"/>
  <c r="C676" i="1"/>
  <c r="L675" i="1"/>
  <c r="G675" i="1"/>
  <c r="D675" i="1"/>
  <c r="C675" i="1"/>
  <c r="G674" i="1"/>
  <c r="D674" i="1"/>
  <c r="C674" i="1"/>
  <c r="G673" i="1"/>
  <c r="D673" i="1"/>
  <c r="C673" i="1"/>
  <c r="G672" i="1"/>
  <c r="D672" i="1"/>
  <c r="C672" i="1"/>
  <c r="G671" i="1"/>
  <c r="D671" i="1"/>
  <c r="C671" i="1"/>
  <c r="G670" i="1"/>
  <c r="D670" i="1"/>
  <c r="C670" i="1"/>
  <c r="G669" i="1"/>
  <c r="D669" i="1"/>
  <c r="C669" i="1"/>
  <c r="G668" i="1"/>
  <c r="D668" i="1"/>
  <c r="C668" i="1"/>
  <c r="G667" i="1"/>
  <c r="D667" i="1"/>
  <c r="C667" i="1"/>
  <c r="G666" i="1"/>
  <c r="D666" i="1"/>
  <c r="C666" i="1"/>
  <c r="G665" i="1"/>
  <c r="D665" i="1"/>
  <c r="C665" i="1"/>
  <c r="G664" i="1"/>
  <c r="D664" i="1"/>
  <c r="C664" i="1"/>
  <c r="G663" i="1"/>
  <c r="D663" i="1"/>
  <c r="C663" i="1"/>
  <c r="G662" i="1"/>
  <c r="D662" i="1"/>
  <c r="C662" i="1"/>
  <c r="G661" i="1"/>
  <c r="D661" i="1"/>
  <c r="C661" i="1"/>
  <c r="G660" i="1"/>
  <c r="D660" i="1"/>
  <c r="C660" i="1"/>
  <c r="L659" i="1"/>
  <c r="G659" i="1"/>
  <c r="D659" i="1"/>
  <c r="C659" i="1"/>
  <c r="G658" i="1"/>
  <c r="D658" i="1"/>
  <c r="C658" i="1"/>
  <c r="G657" i="1"/>
  <c r="D657" i="1"/>
  <c r="C657" i="1"/>
  <c r="G656" i="1"/>
  <c r="D656" i="1"/>
  <c r="C656" i="1"/>
  <c r="G655" i="1"/>
  <c r="D655" i="1"/>
  <c r="C655" i="1"/>
  <c r="G654" i="1"/>
  <c r="D654" i="1"/>
  <c r="C654" i="1"/>
  <c r="G653" i="1"/>
  <c r="D653" i="1"/>
  <c r="C653" i="1"/>
  <c r="G652" i="1"/>
  <c r="D652" i="1"/>
  <c r="C652" i="1"/>
  <c r="G651" i="1"/>
  <c r="D651" i="1"/>
  <c r="C651" i="1"/>
  <c r="G650" i="1"/>
  <c r="D650" i="1"/>
  <c r="C650" i="1"/>
  <c r="G649" i="1"/>
  <c r="D649" i="1"/>
  <c r="C649" i="1"/>
  <c r="G648" i="1"/>
  <c r="D648" i="1"/>
  <c r="C648" i="1"/>
  <c r="G647" i="1"/>
  <c r="D647" i="1"/>
  <c r="C647" i="1"/>
  <c r="G646" i="1"/>
  <c r="D646" i="1"/>
  <c r="C646" i="1"/>
  <c r="G645" i="1"/>
  <c r="D645" i="1"/>
  <c r="C645" i="1"/>
  <c r="G644" i="1"/>
  <c r="D644" i="1"/>
  <c r="C644" i="1"/>
  <c r="G643" i="1"/>
  <c r="D643" i="1"/>
  <c r="C643" i="1"/>
  <c r="G642" i="1"/>
  <c r="D642" i="1"/>
  <c r="C642" i="1"/>
  <c r="G641" i="1"/>
  <c r="D641" i="1"/>
  <c r="C641" i="1"/>
  <c r="G640" i="1"/>
  <c r="D640" i="1"/>
  <c r="C640" i="1"/>
  <c r="G639" i="1"/>
  <c r="D639" i="1"/>
  <c r="C639" i="1"/>
  <c r="G638" i="1"/>
  <c r="D638" i="1"/>
  <c r="C638" i="1"/>
  <c r="G637" i="1"/>
  <c r="D637" i="1"/>
  <c r="C637" i="1"/>
  <c r="G636" i="1"/>
  <c r="D636" i="1"/>
  <c r="C636" i="1"/>
  <c r="G635" i="1"/>
  <c r="D635" i="1"/>
  <c r="C635" i="1"/>
  <c r="G634" i="1"/>
  <c r="D634" i="1"/>
  <c r="C634" i="1"/>
  <c r="G633" i="1"/>
  <c r="D633" i="1"/>
  <c r="C633" i="1"/>
  <c r="G632" i="1"/>
  <c r="D632" i="1"/>
  <c r="C632" i="1"/>
  <c r="G631" i="1"/>
  <c r="D631" i="1"/>
  <c r="C631" i="1"/>
  <c r="G630" i="1"/>
  <c r="D630" i="1"/>
  <c r="C630" i="1"/>
  <c r="G629" i="1"/>
  <c r="D629" i="1"/>
  <c r="C629" i="1"/>
  <c r="G628" i="1"/>
  <c r="D628" i="1"/>
  <c r="C628" i="1"/>
  <c r="G627" i="1"/>
  <c r="D627" i="1"/>
  <c r="C627" i="1"/>
  <c r="G626" i="1"/>
  <c r="D626" i="1"/>
  <c r="C626" i="1"/>
  <c r="G625" i="1"/>
  <c r="D625" i="1"/>
  <c r="C625" i="1"/>
  <c r="G624" i="1"/>
  <c r="D624" i="1"/>
  <c r="C624" i="1"/>
  <c r="G623" i="1"/>
  <c r="D623" i="1"/>
  <c r="C623" i="1"/>
  <c r="G622" i="1"/>
  <c r="D622" i="1"/>
  <c r="C622" i="1"/>
  <c r="G621" i="1"/>
  <c r="D621" i="1"/>
  <c r="C621" i="1"/>
  <c r="G620" i="1"/>
  <c r="D620" i="1"/>
  <c r="C620" i="1"/>
  <c r="G619" i="1"/>
  <c r="D619" i="1"/>
  <c r="C619" i="1"/>
  <c r="G618" i="1"/>
  <c r="D618" i="1"/>
  <c r="C618" i="1"/>
  <c r="G617" i="1"/>
  <c r="D617" i="1"/>
  <c r="C617" i="1"/>
  <c r="L616" i="1"/>
  <c r="G616" i="1"/>
  <c r="D616" i="1"/>
  <c r="C616" i="1"/>
  <c r="G615" i="1"/>
  <c r="D615" i="1"/>
  <c r="C615" i="1"/>
  <c r="G614" i="1"/>
  <c r="D614" i="1"/>
  <c r="C614" i="1"/>
  <c r="G613" i="1"/>
  <c r="D613" i="1"/>
  <c r="C613" i="1"/>
  <c r="G612" i="1"/>
  <c r="D612" i="1"/>
  <c r="C612" i="1"/>
  <c r="G611" i="1"/>
  <c r="D611" i="1"/>
  <c r="C611" i="1"/>
  <c r="G610" i="1"/>
  <c r="D610" i="1"/>
  <c r="C610" i="1"/>
  <c r="G609" i="1"/>
  <c r="D609" i="1"/>
  <c r="C609" i="1"/>
  <c r="G608" i="1"/>
  <c r="D608" i="1"/>
  <c r="C608" i="1"/>
  <c r="G607" i="1"/>
  <c r="D607" i="1"/>
  <c r="C607" i="1"/>
  <c r="G606" i="1"/>
  <c r="D606" i="1"/>
  <c r="C606" i="1"/>
  <c r="G605" i="1"/>
  <c r="D605" i="1"/>
  <c r="C605" i="1"/>
  <c r="L604" i="1"/>
  <c r="G604" i="1"/>
  <c r="D604" i="1"/>
  <c r="C604" i="1"/>
  <c r="G603" i="1"/>
  <c r="D603" i="1"/>
  <c r="C603" i="1"/>
  <c r="G602" i="1"/>
  <c r="D602" i="1"/>
  <c r="C602" i="1"/>
  <c r="G601" i="1"/>
  <c r="D601" i="1"/>
  <c r="C601" i="1"/>
  <c r="G600" i="1"/>
  <c r="D600" i="1"/>
  <c r="C600" i="1"/>
  <c r="G599" i="1"/>
  <c r="D599" i="1"/>
  <c r="C599" i="1"/>
  <c r="G598" i="1"/>
  <c r="D598" i="1"/>
  <c r="C598" i="1"/>
  <c r="G597" i="1"/>
  <c r="D597" i="1"/>
  <c r="C597" i="1"/>
  <c r="G596" i="1"/>
  <c r="D596" i="1"/>
  <c r="C596" i="1"/>
  <c r="G595" i="1"/>
  <c r="D595" i="1"/>
  <c r="C595" i="1"/>
  <c r="G594" i="1"/>
  <c r="D594" i="1"/>
  <c r="C594" i="1"/>
  <c r="G593" i="1"/>
  <c r="D593" i="1"/>
  <c r="C593" i="1"/>
  <c r="G592" i="1"/>
  <c r="D592" i="1"/>
  <c r="C592" i="1"/>
  <c r="L591" i="1"/>
  <c r="G591" i="1"/>
  <c r="D591" i="1"/>
  <c r="C591" i="1"/>
  <c r="G590" i="1"/>
  <c r="D590" i="1"/>
  <c r="C590" i="1"/>
  <c r="G589" i="1"/>
  <c r="D589" i="1"/>
  <c r="C589" i="1"/>
  <c r="G588" i="1"/>
  <c r="D588" i="1"/>
  <c r="C588" i="1"/>
  <c r="G587" i="1"/>
  <c r="D587" i="1"/>
  <c r="C587" i="1"/>
  <c r="G586" i="1"/>
  <c r="D586" i="1"/>
  <c r="C586" i="1"/>
  <c r="G585" i="1"/>
  <c r="D585" i="1"/>
  <c r="C585" i="1"/>
  <c r="G584" i="1"/>
  <c r="D584" i="1"/>
  <c r="C584" i="1"/>
  <c r="G583" i="1"/>
  <c r="D583" i="1"/>
  <c r="C583" i="1"/>
  <c r="G582" i="1"/>
  <c r="D582" i="1"/>
  <c r="C582" i="1"/>
  <c r="G581" i="1"/>
  <c r="D581" i="1"/>
  <c r="C581" i="1"/>
  <c r="G580" i="1"/>
  <c r="D580" i="1"/>
  <c r="C580" i="1"/>
  <c r="G579" i="1"/>
  <c r="D579" i="1"/>
  <c r="C579" i="1"/>
  <c r="G578" i="1"/>
  <c r="D578" i="1"/>
  <c r="C578" i="1"/>
  <c r="G577" i="1"/>
  <c r="D577" i="1"/>
  <c r="C577" i="1"/>
  <c r="G576" i="1"/>
  <c r="D576" i="1"/>
  <c r="C576" i="1"/>
  <c r="G575" i="1"/>
  <c r="D575" i="1"/>
  <c r="C575" i="1"/>
  <c r="G574" i="1"/>
  <c r="D574" i="1"/>
  <c r="C574" i="1"/>
  <c r="G573" i="1"/>
  <c r="D573" i="1"/>
  <c r="C573" i="1"/>
  <c r="G572" i="1"/>
  <c r="D572" i="1"/>
  <c r="C572" i="1"/>
  <c r="L571" i="1"/>
  <c r="G571" i="1"/>
  <c r="D571" i="1"/>
  <c r="C571" i="1"/>
  <c r="G570" i="1"/>
  <c r="D570" i="1"/>
  <c r="C570" i="1"/>
  <c r="G569" i="1"/>
  <c r="D569" i="1"/>
  <c r="C569" i="1"/>
  <c r="L568" i="1"/>
  <c r="G568" i="1"/>
  <c r="D568" i="1"/>
  <c r="C568" i="1"/>
  <c r="G567" i="1"/>
  <c r="D567" i="1"/>
  <c r="C567" i="1"/>
  <c r="G566" i="1"/>
  <c r="D566" i="1"/>
  <c r="C566" i="1"/>
  <c r="G565" i="1"/>
  <c r="D565" i="1"/>
  <c r="C565" i="1"/>
  <c r="G564" i="1"/>
  <c r="D564" i="1"/>
  <c r="C564" i="1"/>
  <c r="G563" i="1"/>
  <c r="D563" i="1"/>
  <c r="C563" i="1"/>
  <c r="G562" i="1"/>
  <c r="D562" i="1"/>
  <c r="C562" i="1"/>
  <c r="G561" i="1"/>
  <c r="D561" i="1"/>
  <c r="C561" i="1"/>
  <c r="G560" i="1"/>
  <c r="D560" i="1"/>
  <c r="C560" i="1"/>
  <c r="G559" i="1"/>
  <c r="D559" i="1"/>
  <c r="C559" i="1"/>
  <c r="G558" i="1"/>
  <c r="D558" i="1"/>
  <c r="C558" i="1"/>
  <c r="G557" i="1"/>
  <c r="D557" i="1"/>
  <c r="C557" i="1"/>
  <c r="G556" i="1"/>
  <c r="D556" i="1"/>
  <c r="C556" i="1"/>
  <c r="G555" i="1"/>
  <c r="D555" i="1"/>
  <c r="C555" i="1"/>
  <c r="G554" i="1"/>
  <c r="D554" i="1"/>
  <c r="C554" i="1"/>
  <c r="G553" i="1"/>
  <c r="D553" i="1"/>
  <c r="C553" i="1"/>
  <c r="G552" i="1"/>
  <c r="D552" i="1"/>
  <c r="C552" i="1"/>
  <c r="G551" i="1"/>
  <c r="D551" i="1"/>
  <c r="C551" i="1"/>
  <c r="G550" i="1"/>
  <c r="D550" i="1"/>
  <c r="C550" i="1"/>
  <c r="G549" i="1"/>
  <c r="D549" i="1"/>
  <c r="C549" i="1"/>
  <c r="G548" i="1"/>
  <c r="D548" i="1"/>
  <c r="C548" i="1"/>
  <c r="G547" i="1"/>
  <c r="D547" i="1"/>
  <c r="C547" i="1"/>
  <c r="G546" i="1"/>
  <c r="D546" i="1"/>
  <c r="C546" i="1"/>
  <c r="G545" i="1"/>
  <c r="D545" i="1"/>
  <c r="C545" i="1"/>
  <c r="G544" i="1"/>
  <c r="D544" i="1"/>
  <c r="C544" i="1"/>
  <c r="G543" i="1"/>
  <c r="D543" i="1"/>
  <c r="C543" i="1"/>
  <c r="G542" i="1"/>
  <c r="D542" i="1"/>
  <c r="C542" i="1"/>
  <c r="G541" i="1"/>
  <c r="D541" i="1"/>
  <c r="C541" i="1"/>
  <c r="G540" i="1"/>
  <c r="D540" i="1"/>
  <c r="C540" i="1"/>
  <c r="G539" i="1"/>
  <c r="D539" i="1"/>
  <c r="C539" i="1"/>
  <c r="G538" i="1"/>
  <c r="D538" i="1"/>
  <c r="C538" i="1"/>
  <c r="G537" i="1"/>
  <c r="D537" i="1"/>
  <c r="C537" i="1"/>
  <c r="G536" i="1"/>
  <c r="D536" i="1"/>
  <c r="C536" i="1"/>
  <c r="G535" i="1"/>
  <c r="D535" i="1"/>
  <c r="C535" i="1"/>
  <c r="G534" i="1"/>
  <c r="D534" i="1"/>
  <c r="C534" i="1"/>
  <c r="G533" i="1"/>
  <c r="D533" i="1"/>
  <c r="C533" i="1"/>
  <c r="G532" i="1"/>
  <c r="D532" i="1"/>
  <c r="C532" i="1"/>
  <c r="G531" i="1"/>
  <c r="D531" i="1"/>
  <c r="C531" i="1"/>
  <c r="G530" i="1"/>
  <c r="D530" i="1"/>
  <c r="C530" i="1"/>
  <c r="G529" i="1"/>
  <c r="D529" i="1"/>
  <c r="C529" i="1"/>
  <c r="G528" i="1"/>
  <c r="D528" i="1"/>
  <c r="C528" i="1"/>
  <c r="G527" i="1"/>
  <c r="D527" i="1"/>
  <c r="C527" i="1"/>
  <c r="G526" i="1"/>
  <c r="D526" i="1"/>
  <c r="C526" i="1"/>
  <c r="G525" i="1"/>
  <c r="D525" i="1"/>
  <c r="C525" i="1"/>
  <c r="G524" i="1"/>
  <c r="D524" i="1"/>
  <c r="C524" i="1"/>
  <c r="G523" i="1"/>
  <c r="D523" i="1"/>
  <c r="C523" i="1"/>
  <c r="G522" i="1"/>
  <c r="D522" i="1"/>
  <c r="C522" i="1"/>
  <c r="G521" i="1"/>
  <c r="D521" i="1"/>
  <c r="C521" i="1"/>
  <c r="L520" i="1"/>
  <c r="G520" i="1"/>
  <c r="D520" i="1"/>
  <c r="C520" i="1"/>
  <c r="G519" i="1"/>
  <c r="D519" i="1"/>
  <c r="C519" i="1"/>
  <c r="G518" i="1"/>
  <c r="D518" i="1"/>
  <c r="C518" i="1"/>
  <c r="G517" i="1"/>
  <c r="D517" i="1"/>
  <c r="C517" i="1"/>
  <c r="G516" i="1"/>
  <c r="D516" i="1"/>
  <c r="C516" i="1"/>
  <c r="G515" i="1"/>
  <c r="D515" i="1"/>
  <c r="C515" i="1"/>
  <c r="L514" i="1"/>
  <c r="G514" i="1"/>
  <c r="D514" i="1"/>
  <c r="C514" i="1"/>
  <c r="L513" i="1"/>
  <c r="G513" i="1"/>
  <c r="D513" i="1"/>
  <c r="C513" i="1"/>
  <c r="L512" i="1"/>
  <c r="G512" i="1"/>
  <c r="D512" i="1"/>
  <c r="C512" i="1"/>
  <c r="G511" i="1"/>
  <c r="D511" i="1"/>
  <c r="C511" i="1"/>
  <c r="L510" i="1"/>
  <c r="G510" i="1"/>
  <c r="D510" i="1"/>
  <c r="C510" i="1"/>
  <c r="L509" i="1"/>
  <c r="G509" i="1"/>
  <c r="D509" i="1"/>
  <c r="C509" i="1"/>
  <c r="L508" i="1"/>
  <c r="G508" i="1"/>
  <c r="D508" i="1"/>
  <c r="C508" i="1"/>
  <c r="L507" i="1"/>
  <c r="G507" i="1"/>
  <c r="D507" i="1"/>
  <c r="C507" i="1"/>
  <c r="L506" i="1"/>
  <c r="G506" i="1"/>
  <c r="D506" i="1"/>
  <c r="C506" i="1"/>
  <c r="G505" i="1"/>
  <c r="D505" i="1"/>
  <c r="C505" i="1"/>
  <c r="G504" i="1"/>
  <c r="D504" i="1"/>
  <c r="C504" i="1"/>
  <c r="G503" i="1"/>
  <c r="D503" i="1"/>
  <c r="C503" i="1"/>
  <c r="G502" i="1"/>
  <c r="D502" i="1"/>
  <c r="C502" i="1"/>
  <c r="G501" i="1"/>
  <c r="D501" i="1"/>
  <c r="C501" i="1"/>
  <c r="G500" i="1"/>
  <c r="D500" i="1"/>
  <c r="C500" i="1"/>
  <c r="G499" i="1"/>
  <c r="D499" i="1"/>
  <c r="C499" i="1"/>
  <c r="G498" i="1"/>
  <c r="D498" i="1"/>
  <c r="C498" i="1"/>
  <c r="G497" i="1"/>
  <c r="D497" i="1"/>
  <c r="C497" i="1"/>
  <c r="G496" i="1"/>
  <c r="D496" i="1"/>
  <c r="C496" i="1"/>
  <c r="G495" i="1"/>
  <c r="D495" i="1"/>
  <c r="C495" i="1"/>
  <c r="G494" i="1"/>
  <c r="D494" i="1"/>
  <c r="C494" i="1"/>
  <c r="G493" i="1"/>
  <c r="D493" i="1"/>
  <c r="C493" i="1"/>
  <c r="G492" i="1"/>
  <c r="D492" i="1"/>
  <c r="C492" i="1"/>
  <c r="G491" i="1"/>
  <c r="D491" i="1"/>
  <c r="C491" i="1"/>
  <c r="G490" i="1"/>
  <c r="D490" i="1"/>
  <c r="C490" i="1"/>
  <c r="G489" i="1"/>
  <c r="D489" i="1"/>
  <c r="C489" i="1"/>
  <c r="G488" i="1"/>
  <c r="D488" i="1"/>
  <c r="C488" i="1"/>
  <c r="G487" i="1"/>
  <c r="D487" i="1"/>
  <c r="C487" i="1"/>
  <c r="G486" i="1"/>
  <c r="D486" i="1"/>
  <c r="C486" i="1"/>
  <c r="G485" i="1"/>
  <c r="D485" i="1"/>
  <c r="C485" i="1"/>
  <c r="G484" i="1"/>
  <c r="D484" i="1"/>
  <c r="C484" i="1"/>
  <c r="G483" i="1"/>
  <c r="D483" i="1"/>
  <c r="C483" i="1"/>
  <c r="G482" i="1"/>
  <c r="D482" i="1"/>
  <c r="C482" i="1"/>
  <c r="G481" i="1"/>
  <c r="D481" i="1"/>
  <c r="C481" i="1"/>
  <c r="G480" i="1"/>
  <c r="D480" i="1"/>
  <c r="C480" i="1"/>
  <c r="G479" i="1"/>
  <c r="D479" i="1"/>
  <c r="C479" i="1"/>
  <c r="G478" i="1"/>
  <c r="D478" i="1"/>
  <c r="C478" i="1"/>
  <c r="G477" i="1"/>
  <c r="D477" i="1"/>
  <c r="C477" i="1"/>
  <c r="G476" i="1"/>
  <c r="D476" i="1"/>
  <c r="C476" i="1"/>
  <c r="G475" i="1"/>
  <c r="D475" i="1"/>
  <c r="C475" i="1"/>
  <c r="G474" i="1"/>
  <c r="D474" i="1"/>
  <c r="C474" i="1"/>
  <c r="L473" i="1"/>
  <c r="G473" i="1"/>
  <c r="D473" i="1"/>
  <c r="C473" i="1"/>
  <c r="L472" i="1"/>
  <c r="G472" i="1"/>
  <c r="D472" i="1"/>
  <c r="C472" i="1"/>
  <c r="G471" i="1"/>
  <c r="D471" i="1"/>
  <c r="C471" i="1"/>
  <c r="G470" i="1"/>
  <c r="D470" i="1"/>
  <c r="C470" i="1"/>
  <c r="G469" i="1"/>
  <c r="D469" i="1"/>
  <c r="C469" i="1"/>
  <c r="G468" i="1"/>
  <c r="D468" i="1"/>
  <c r="C468" i="1"/>
  <c r="G467" i="1"/>
  <c r="D467" i="1"/>
  <c r="C467" i="1"/>
  <c r="G466" i="1"/>
  <c r="D466" i="1"/>
  <c r="C466" i="1"/>
  <c r="G465" i="1"/>
  <c r="D465" i="1"/>
  <c r="C465" i="1"/>
  <c r="G464" i="1"/>
  <c r="D464" i="1"/>
  <c r="C464" i="1"/>
  <c r="G463" i="1"/>
  <c r="D463" i="1"/>
  <c r="C463" i="1"/>
  <c r="G462" i="1"/>
  <c r="D462" i="1"/>
  <c r="C462" i="1"/>
  <c r="G461" i="1"/>
  <c r="D461" i="1"/>
  <c r="C461" i="1"/>
  <c r="G460" i="1"/>
  <c r="D460" i="1"/>
  <c r="C460" i="1"/>
  <c r="G459" i="1"/>
  <c r="D459" i="1"/>
  <c r="C459" i="1"/>
  <c r="G458" i="1"/>
  <c r="D458" i="1"/>
  <c r="C458" i="1"/>
  <c r="G457" i="1"/>
  <c r="D457" i="1"/>
  <c r="C457" i="1"/>
  <c r="G456" i="1"/>
  <c r="D456" i="1"/>
  <c r="C456" i="1"/>
  <c r="G455" i="1"/>
  <c r="D455" i="1"/>
  <c r="C455" i="1"/>
  <c r="L454" i="1"/>
  <c r="G454" i="1"/>
  <c r="D454" i="1"/>
  <c r="C454" i="1"/>
  <c r="G453" i="1"/>
  <c r="D453" i="1"/>
  <c r="C453" i="1"/>
  <c r="G452" i="1"/>
  <c r="D452" i="1"/>
  <c r="C452" i="1"/>
  <c r="G451" i="1"/>
  <c r="D451" i="1"/>
  <c r="C451" i="1"/>
  <c r="G450" i="1"/>
  <c r="D450" i="1"/>
  <c r="C450" i="1"/>
  <c r="G449" i="1"/>
  <c r="D449" i="1"/>
  <c r="C449" i="1"/>
  <c r="G448" i="1"/>
  <c r="D448" i="1"/>
  <c r="C448" i="1"/>
  <c r="G447" i="1"/>
  <c r="D447" i="1"/>
  <c r="C447" i="1"/>
  <c r="G446" i="1"/>
  <c r="D446" i="1"/>
  <c r="C446" i="1"/>
  <c r="G445" i="1"/>
  <c r="D445" i="1"/>
  <c r="C445" i="1"/>
  <c r="G444" i="1"/>
  <c r="D444" i="1"/>
  <c r="C444" i="1"/>
  <c r="G443" i="1"/>
  <c r="D443" i="1"/>
  <c r="C443" i="1"/>
  <c r="G442" i="1"/>
  <c r="D442" i="1"/>
  <c r="C442" i="1"/>
  <c r="L441" i="1"/>
  <c r="G441" i="1"/>
  <c r="D441" i="1"/>
  <c r="C441" i="1"/>
  <c r="L440" i="1"/>
  <c r="G440" i="1"/>
  <c r="D440" i="1"/>
  <c r="C440" i="1"/>
  <c r="L439" i="1"/>
  <c r="G439" i="1"/>
  <c r="D439" i="1"/>
  <c r="C439" i="1"/>
  <c r="G438" i="1"/>
  <c r="D438" i="1"/>
  <c r="C438" i="1"/>
  <c r="G437" i="1"/>
  <c r="D437" i="1"/>
  <c r="C437" i="1"/>
  <c r="G436" i="1"/>
  <c r="D436" i="1"/>
  <c r="C436" i="1"/>
  <c r="L435" i="1"/>
  <c r="G435" i="1"/>
  <c r="D435" i="1"/>
  <c r="C435" i="1"/>
  <c r="L434" i="1"/>
  <c r="G434" i="1"/>
  <c r="D434" i="1"/>
  <c r="C434" i="1"/>
  <c r="G433" i="1"/>
  <c r="D433" i="1"/>
  <c r="C433" i="1"/>
  <c r="G432" i="1"/>
  <c r="D432" i="1"/>
  <c r="C432" i="1"/>
  <c r="G431" i="1"/>
  <c r="D431" i="1"/>
  <c r="C431" i="1"/>
  <c r="G430" i="1"/>
  <c r="D430" i="1"/>
  <c r="C430" i="1"/>
  <c r="L429" i="1"/>
  <c r="G429" i="1"/>
  <c r="D429" i="1"/>
  <c r="C429" i="1"/>
  <c r="L428" i="1"/>
  <c r="G428" i="1"/>
  <c r="D428" i="1"/>
  <c r="C428" i="1"/>
  <c r="G427" i="1"/>
  <c r="D427" i="1"/>
  <c r="C427" i="1"/>
  <c r="G426" i="1"/>
  <c r="D426" i="1"/>
  <c r="C426" i="1"/>
  <c r="G425" i="1"/>
  <c r="D425" i="1"/>
  <c r="C425" i="1"/>
  <c r="G424" i="1"/>
  <c r="D424" i="1"/>
  <c r="C424" i="1"/>
  <c r="G423" i="1"/>
  <c r="D423" i="1"/>
  <c r="C423" i="1"/>
  <c r="L422" i="1"/>
  <c r="G422" i="1"/>
  <c r="D422" i="1"/>
  <c r="C422" i="1"/>
  <c r="G421" i="1"/>
  <c r="D421" i="1"/>
  <c r="C421" i="1"/>
  <c r="L420" i="1"/>
  <c r="G420" i="1"/>
  <c r="D420" i="1"/>
  <c r="C420" i="1"/>
  <c r="G419" i="1"/>
  <c r="D419" i="1"/>
  <c r="C419" i="1"/>
  <c r="G418" i="1"/>
  <c r="D418" i="1"/>
  <c r="C418" i="1"/>
  <c r="G417" i="1"/>
  <c r="D417" i="1"/>
  <c r="C417" i="1"/>
  <c r="G416" i="1"/>
  <c r="D416" i="1"/>
  <c r="C416" i="1"/>
  <c r="G415" i="1"/>
  <c r="D415" i="1"/>
  <c r="C415" i="1"/>
  <c r="G414" i="1"/>
  <c r="D414" i="1"/>
  <c r="C414" i="1"/>
  <c r="L413" i="1"/>
  <c r="G413" i="1"/>
  <c r="D413" i="1"/>
  <c r="C413" i="1"/>
  <c r="G412" i="1"/>
  <c r="D412" i="1"/>
  <c r="C412" i="1"/>
  <c r="G411" i="1"/>
  <c r="D411" i="1"/>
  <c r="C411" i="1"/>
  <c r="G410" i="1"/>
  <c r="D410" i="1"/>
  <c r="C410" i="1"/>
  <c r="G409" i="1"/>
  <c r="D409" i="1"/>
  <c r="C409" i="1"/>
  <c r="G408" i="1"/>
  <c r="D408" i="1"/>
  <c r="C408" i="1"/>
  <c r="G407" i="1"/>
  <c r="D407" i="1"/>
  <c r="C407" i="1"/>
  <c r="G406" i="1"/>
  <c r="D406" i="1"/>
  <c r="C406" i="1"/>
  <c r="L405" i="1"/>
  <c r="G405" i="1"/>
  <c r="D405" i="1"/>
  <c r="C405" i="1"/>
  <c r="G404" i="1"/>
  <c r="D404" i="1"/>
  <c r="C404" i="1"/>
  <c r="L403" i="1"/>
  <c r="G403" i="1"/>
  <c r="D403" i="1"/>
  <c r="C403" i="1"/>
  <c r="L402" i="1"/>
  <c r="G402" i="1"/>
  <c r="D402" i="1"/>
  <c r="C402" i="1"/>
  <c r="G401" i="1"/>
  <c r="D401" i="1"/>
  <c r="C401" i="1"/>
  <c r="G400" i="1"/>
  <c r="D400" i="1"/>
  <c r="C400" i="1"/>
  <c r="G399" i="1"/>
  <c r="D399" i="1"/>
  <c r="C399" i="1"/>
  <c r="G398" i="1"/>
  <c r="D398" i="1"/>
  <c r="C398" i="1"/>
  <c r="G397" i="1"/>
  <c r="D397" i="1"/>
  <c r="C397" i="1"/>
  <c r="G396" i="1"/>
  <c r="D396" i="1"/>
  <c r="C396" i="1"/>
  <c r="G395" i="1"/>
  <c r="D395" i="1"/>
  <c r="C395" i="1"/>
  <c r="G394" i="1"/>
  <c r="D394" i="1"/>
  <c r="C394" i="1"/>
  <c r="G393" i="1"/>
  <c r="D393" i="1"/>
  <c r="C393" i="1"/>
  <c r="G392" i="1"/>
  <c r="D392" i="1"/>
  <c r="C392" i="1"/>
  <c r="G391" i="1"/>
  <c r="D391" i="1"/>
  <c r="C391" i="1"/>
  <c r="L390" i="1"/>
  <c r="G390" i="1"/>
  <c r="D390" i="1"/>
  <c r="C390" i="1"/>
  <c r="G389" i="1"/>
  <c r="D389" i="1"/>
  <c r="C389" i="1"/>
  <c r="G388" i="1"/>
  <c r="D388" i="1"/>
  <c r="C388" i="1"/>
  <c r="G387" i="1"/>
  <c r="D387" i="1"/>
  <c r="C387" i="1"/>
  <c r="G386" i="1"/>
  <c r="D386" i="1"/>
  <c r="C386" i="1"/>
  <c r="G385" i="1"/>
  <c r="D385" i="1"/>
  <c r="C385" i="1"/>
  <c r="G384" i="1"/>
  <c r="D384" i="1"/>
  <c r="C384" i="1"/>
  <c r="G383" i="1"/>
  <c r="D383" i="1"/>
  <c r="C383" i="1"/>
  <c r="G382" i="1"/>
  <c r="D382" i="1"/>
  <c r="C382" i="1"/>
  <c r="G381" i="1"/>
  <c r="D381" i="1"/>
  <c r="C381" i="1"/>
  <c r="G380" i="1"/>
  <c r="D380" i="1"/>
  <c r="C380" i="1"/>
  <c r="G379" i="1"/>
  <c r="D379" i="1"/>
  <c r="C379" i="1"/>
  <c r="G378" i="1"/>
  <c r="D378" i="1"/>
  <c r="C378" i="1"/>
  <c r="G377" i="1"/>
  <c r="D377" i="1"/>
  <c r="C377" i="1"/>
  <c r="L376" i="1"/>
  <c r="G376" i="1"/>
  <c r="D376" i="1"/>
  <c r="C376" i="1"/>
  <c r="G375" i="1"/>
  <c r="D375" i="1"/>
  <c r="C375" i="1"/>
  <c r="G374" i="1"/>
  <c r="D374" i="1"/>
  <c r="C374" i="1"/>
  <c r="G373" i="1"/>
  <c r="D373" i="1"/>
  <c r="C373" i="1"/>
  <c r="G372" i="1"/>
  <c r="D372" i="1"/>
  <c r="C372" i="1"/>
  <c r="G371" i="1"/>
  <c r="D371" i="1"/>
  <c r="C371" i="1"/>
  <c r="G370" i="1"/>
  <c r="D370" i="1"/>
  <c r="C370" i="1"/>
  <c r="G369" i="1"/>
  <c r="D369" i="1"/>
  <c r="C369" i="1"/>
  <c r="G368" i="1"/>
  <c r="D368" i="1"/>
  <c r="C368" i="1"/>
  <c r="G367" i="1"/>
  <c r="D367" i="1"/>
  <c r="C367" i="1"/>
  <c r="G366" i="1"/>
  <c r="D366" i="1"/>
  <c r="C366" i="1"/>
  <c r="G365" i="1"/>
  <c r="D365" i="1"/>
  <c r="C365" i="1"/>
  <c r="L364" i="1"/>
  <c r="G364" i="1"/>
  <c r="D364" i="1"/>
  <c r="C364" i="1"/>
  <c r="G363" i="1"/>
  <c r="D363" i="1"/>
  <c r="C363" i="1"/>
  <c r="L362" i="1"/>
  <c r="G362" i="1"/>
  <c r="D362" i="1"/>
  <c r="C362" i="1"/>
  <c r="L361" i="1"/>
  <c r="G361" i="1"/>
  <c r="D361" i="1"/>
  <c r="C361" i="1"/>
  <c r="G360" i="1"/>
  <c r="D360" i="1"/>
  <c r="C360" i="1"/>
  <c r="G359" i="1"/>
  <c r="D359" i="1"/>
  <c r="C359" i="1"/>
  <c r="G358" i="1"/>
  <c r="D358" i="1"/>
  <c r="C358" i="1"/>
  <c r="G357" i="1"/>
  <c r="D357" i="1"/>
  <c r="C357" i="1"/>
  <c r="G356" i="1"/>
  <c r="D356" i="1"/>
  <c r="C356" i="1"/>
  <c r="G355" i="1"/>
  <c r="D355" i="1"/>
  <c r="C355" i="1"/>
  <c r="G354" i="1"/>
  <c r="D354" i="1"/>
  <c r="C354" i="1"/>
  <c r="G353" i="1"/>
  <c r="D353" i="1"/>
  <c r="C353" i="1"/>
  <c r="G352" i="1"/>
  <c r="D352" i="1"/>
  <c r="C352" i="1"/>
  <c r="G351" i="1"/>
  <c r="D351" i="1"/>
  <c r="C351" i="1"/>
  <c r="G350" i="1"/>
  <c r="D350" i="1"/>
  <c r="C350" i="1"/>
  <c r="G349" i="1"/>
  <c r="D349" i="1"/>
  <c r="C349" i="1"/>
  <c r="G348" i="1"/>
  <c r="D348" i="1"/>
  <c r="C348" i="1"/>
  <c r="L347" i="1"/>
  <c r="G347" i="1"/>
  <c r="D347" i="1"/>
  <c r="C347" i="1"/>
  <c r="L346" i="1"/>
  <c r="G346" i="1"/>
  <c r="D346" i="1"/>
  <c r="C346" i="1"/>
  <c r="G345" i="1"/>
  <c r="D345" i="1"/>
  <c r="C345" i="1"/>
  <c r="G344" i="1"/>
  <c r="D344" i="1"/>
  <c r="C344" i="1"/>
  <c r="G343" i="1"/>
  <c r="D343" i="1"/>
  <c r="C343" i="1"/>
  <c r="G342" i="1"/>
  <c r="D342" i="1"/>
  <c r="C342" i="1"/>
  <c r="G341" i="1"/>
  <c r="D341" i="1"/>
  <c r="C341" i="1"/>
  <c r="G340" i="1"/>
  <c r="D340" i="1"/>
  <c r="C340" i="1"/>
  <c r="G339" i="1"/>
  <c r="D339" i="1"/>
  <c r="C339" i="1"/>
  <c r="G338" i="1"/>
  <c r="D338" i="1"/>
  <c r="C338" i="1"/>
  <c r="G337" i="1"/>
  <c r="D337" i="1"/>
  <c r="C337" i="1"/>
  <c r="G336" i="1"/>
  <c r="D336" i="1"/>
  <c r="C336" i="1"/>
  <c r="G335" i="1"/>
  <c r="D335" i="1"/>
  <c r="C335" i="1"/>
  <c r="G334" i="1"/>
  <c r="D334" i="1"/>
  <c r="C334" i="1"/>
  <c r="G333" i="1"/>
  <c r="D333" i="1"/>
  <c r="C333" i="1"/>
  <c r="G332" i="1"/>
  <c r="D332" i="1"/>
  <c r="C332" i="1"/>
  <c r="G331" i="1"/>
  <c r="D331" i="1"/>
  <c r="C331" i="1"/>
  <c r="G330" i="1"/>
  <c r="D330" i="1"/>
  <c r="C330" i="1"/>
  <c r="G329" i="1"/>
  <c r="D329" i="1"/>
  <c r="C329" i="1"/>
  <c r="G328" i="1"/>
  <c r="D328" i="1"/>
  <c r="C328" i="1"/>
  <c r="G327" i="1"/>
  <c r="D327" i="1"/>
  <c r="C327" i="1"/>
  <c r="G326" i="1"/>
  <c r="D326" i="1"/>
  <c r="C326" i="1"/>
  <c r="G325" i="1"/>
  <c r="D325" i="1"/>
  <c r="C325" i="1"/>
  <c r="G324" i="1"/>
  <c r="D324" i="1"/>
  <c r="C324" i="1"/>
  <c r="G323" i="1"/>
  <c r="D323" i="1"/>
  <c r="C323" i="1"/>
  <c r="G322" i="1"/>
  <c r="D322" i="1"/>
  <c r="C322" i="1"/>
  <c r="G321" i="1"/>
  <c r="D321" i="1"/>
  <c r="C321" i="1"/>
  <c r="G320" i="1"/>
  <c r="D320" i="1"/>
  <c r="C320" i="1"/>
  <c r="G319" i="1"/>
  <c r="D319" i="1"/>
  <c r="C319" i="1"/>
  <c r="G318" i="1"/>
  <c r="D318" i="1"/>
  <c r="C318" i="1"/>
  <c r="G317" i="1"/>
  <c r="D317" i="1"/>
  <c r="C317" i="1"/>
  <c r="G316" i="1"/>
  <c r="D316" i="1"/>
  <c r="C316" i="1"/>
  <c r="L315" i="1"/>
  <c r="G315" i="1"/>
  <c r="D315" i="1"/>
  <c r="C315" i="1"/>
  <c r="G314" i="1"/>
  <c r="D314" i="1"/>
  <c r="C314" i="1"/>
  <c r="L313" i="1"/>
  <c r="G313" i="1"/>
  <c r="D313" i="1"/>
  <c r="C313" i="1"/>
  <c r="L312" i="1"/>
  <c r="G312" i="1"/>
  <c r="D312" i="1"/>
  <c r="C312" i="1"/>
  <c r="G311" i="1"/>
  <c r="D311" i="1"/>
  <c r="C311" i="1"/>
  <c r="G310" i="1"/>
  <c r="D310" i="1"/>
  <c r="C310" i="1"/>
  <c r="L309" i="1"/>
  <c r="G309" i="1"/>
  <c r="D309" i="1"/>
  <c r="C309" i="1"/>
  <c r="L308" i="1"/>
  <c r="G308" i="1"/>
  <c r="D308" i="1"/>
  <c r="C308" i="1"/>
  <c r="L307" i="1"/>
  <c r="G307" i="1"/>
  <c r="D307" i="1"/>
  <c r="C307" i="1"/>
  <c r="G306" i="1"/>
  <c r="D306" i="1"/>
  <c r="C306" i="1"/>
  <c r="G305" i="1"/>
  <c r="D305" i="1"/>
  <c r="C305" i="1"/>
  <c r="L304" i="1"/>
  <c r="G304" i="1"/>
  <c r="D304" i="1"/>
  <c r="C304" i="1"/>
  <c r="G303" i="1"/>
  <c r="D303" i="1"/>
  <c r="C303" i="1"/>
  <c r="G302" i="1"/>
  <c r="D302" i="1"/>
  <c r="C302" i="1"/>
  <c r="G301" i="1"/>
  <c r="D301" i="1"/>
  <c r="C301" i="1"/>
  <c r="G300" i="1"/>
  <c r="D300" i="1"/>
  <c r="C300" i="1"/>
  <c r="G299" i="1"/>
  <c r="D299" i="1"/>
  <c r="C299" i="1"/>
  <c r="L298" i="1"/>
  <c r="G298" i="1"/>
  <c r="D298" i="1"/>
  <c r="C298" i="1"/>
  <c r="G297" i="1"/>
  <c r="D297" i="1"/>
  <c r="C297" i="1"/>
  <c r="G296" i="1"/>
  <c r="D296" i="1"/>
  <c r="C296" i="1"/>
  <c r="G295" i="1"/>
  <c r="D295" i="1"/>
  <c r="C295" i="1"/>
  <c r="G294" i="1"/>
  <c r="D294" i="1"/>
  <c r="C294" i="1"/>
  <c r="G293" i="1"/>
  <c r="D293" i="1"/>
  <c r="C293" i="1"/>
  <c r="L292" i="1"/>
  <c r="G292" i="1"/>
  <c r="D292" i="1"/>
  <c r="C292" i="1"/>
  <c r="G291" i="1"/>
  <c r="D291" i="1"/>
  <c r="C291" i="1"/>
  <c r="G290" i="1"/>
  <c r="D290" i="1"/>
  <c r="C290" i="1"/>
  <c r="G289" i="1"/>
  <c r="D289" i="1"/>
  <c r="C289" i="1"/>
  <c r="G288" i="1"/>
  <c r="D288" i="1"/>
  <c r="C288" i="1"/>
  <c r="L287" i="1"/>
  <c r="G287" i="1"/>
  <c r="D287" i="1"/>
  <c r="C287" i="1"/>
  <c r="G286" i="1"/>
  <c r="D286" i="1"/>
  <c r="C286" i="1"/>
  <c r="L285" i="1"/>
  <c r="G285" i="1"/>
  <c r="D285" i="1"/>
  <c r="C285" i="1"/>
  <c r="G284" i="1"/>
  <c r="D284" i="1"/>
  <c r="C284" i="1"/>
  <c r="L283" i="1"/>
  <c r="G283" i="1"/>
  <c r="D283" i="1"/>
  <c r="C283" i="1"/>
  <c r="L282" i="1"/>
  <c r="G282" i="1"/>
  <c r="D282" i="1"/>
  <c r="C282" i="1"/>
  <c r="G281" i="1"/>
  <c r="D281" i="1"/>
  <c r="C281" i="1"/>
  <c r="L280" i="1"/>
  <c r="G280" i="1"/>
  <c r="D280" i="1"/>
  <c r="C280" i="1"/>
  <c r="L279" i="1"/>
  <c r="G279" i="1"/>
  <c r="D279" i="1"/>
  <c r="C279" i="1"/>
  <c r="L278" i="1"/>
  <c r="G278" i="1"/>
  <c r="D278" i="1"/>
  <c r="C278" i="1"/>
  <c r="L277" i="1"/>
  <c r="G277" i="1"/>
  <c r="D277" i="1"/>
  <c r="C277" i="1"/>
  <c r="L276" i="1"/>
  <c r="G276" i="1"/>
  <c r="D276" i="1"/>
  <c r="C276" i="1"/>
  <c r="L275" i="1"/>
  <c r="G275" i="1"/>
  <c r="D275" i="1"/>
  <c r="C275" i="1"/>
  <c r="L274" i="1"/>
  <c r="G274" i="1"/>
  <c r="D274" i="1"/>
  <c r="C274" i="1"/>
  <c r="G273" i="1"/>
  <c r="D273" i="1"/>
  <c r="C273" i="1"/>
  <c r="G272" i="1"/>
  <c r="D272" i="1"/>
  <c r="C272" i="1"/>
  <c r="G271" i="1"/>
  <c r="D271" i="1"/>
  <c r="C271" i="1"/>
  <c r="G270" i="1"/>
  <c r="D270" i="1"/>
  <c r="C270" i="1"/>
  <c r="G269" i="1"/>
  <c r="D269" i="1"/>
  <c r="C269" i="1"/>
  <c r="G268" i="1"/>
  <c r="D268" i="1"/>
  <c r="C268" i="1"/>
  <c r="G267" i="1"/>
  <c r="D267" i="1"/>
  <c r="C267" i="1"/>
  <c r="G266" i="1"/>
  <c r="D266" i="1"/>
  <c r="C266" i="1"/>
  <c r="G265" i="1"/>
  <c r="D265" i="1"/>
  <c r="C265" i="1"/>
  <c r="G264" i="1"/>
  <c r="D264" i="1"/>
  <c r="C264" i="1"/>
  <c r="G263" i="1"/>
  <c r="D263" i="1"/>
  <c r="C263" i="1"/>
  <c r="G262" i="1"/>
  <c r="D262" i="1"/>
  <c r="C262" i="1"/>
  <c r="G261" i="1"/>
  <c r="D261" i="1"/>
  <c r="C261" i="1"/>
  <c r="G260" i="1"/>
  <c r="D260" i="1"/>
  <c r="C260" i="1"/>
  <c r="G259" i="1"/>
  <c r="D259" i="1"/>
  <c r="C259" i="1"/>
  <c r="G258" i="1"/>
  <c r="D258" i="1"/>
  <c r="C258" i="1"/>
  <c r="G257" i="1"/>
  <c r="D257" i="1"/>
  <c r="C257" i="1"/>
  <c r="G256" i="1"/>
  <c r="D256" i="1"/>
  <c r="C256" i="1"/>
  <c r="G255" i="1"/>
  <c r="D255" i="1"/>
  <c r="C255" i="1"/>
  <c r="G254" i="1"/>
  <c r="D254" i="1"/>
  <c r="C254" i="1"/>
  <c r="L253" i="1"/>
  <c r="G253" i="1"/>
  <c r="D253" i="1"/>
  <c r="C253" i="1"/>
  <c r="L252" i="1"/>
  <c r="G252" i="1"/>
  <c r="D252" i="1"/>
  <c r="C252" i="1"/>
  <c r="G251" i="1"/>
  <c r="D251" i="1"/>
  <c r="C251" i="1"/>
  <c r="G250" i="1"/>
  <c r="D250" i="1"/>
  <c r="C250" i="1"/>
  <c r="G249" i="1"/>
  <c r="D249" i="1"/>
  <c r="C249" i="1"/>
  <c r="G248" i="1"/>
  <c r="D248" i="1"/>
  <c r="C248" i="1"/>
  <c r="G247" i="1"/>
  <c r="D247" i="1"/>
  <c r="C247" i="1"/>
  <c r="G246" i="1"/>
  <c r="D246" i="1"/>
  <c r="C246" i="1"/>
  <c r="G245" i="1"/>
  <c r="D245" i="1"/>
  <c r="C245" i="1"/>
  <c r="G244" i="1"/>
  <c r="D244" i="1"/>
  <c r="C244" i="1"/>
  <c r="G243" i="1"/>
  <c r="D243" i="1"/>
  <c r="C243" i="1"/>
  <c r="G242" i="1"/>
  <c r="D242" i="1"/>
  <c r="C242" i="1"/>
  <c r="G241" i="1"/>
  <c r="D241" i="1"/>
  <c r="C241" i="1"/>
  <c r="G240" i="1"/>
  <c r="D240" i="1"/>
  <c r="C240" i="1"/>
  <c r="G239" i="1"/>
  <c r="D239" i="1"/>
  <c r="C239" i="1"/>
  <c r="G238" i="1"/>
  <c r="D238" i="1"/>
  <c r="C238" i="1"/>
  <c r="G237" i="1"/>
  <c r="D237" i="1"/>
  <c r="C237" i="1"/>
  <c r="G236" i="1"/>
  <c r="D236" i="1"/>
  <c r="C236" i="1"/>
  <c r="G235" i="1"/>
  <c r="D235" i="1"/>
  <c r="C235" i="1"/>
  <c r="G234" i="1"/>
  <c r="D234" i="1"/>
  <c r="C234" i="1"/>
  <c r="G233" i="1"/>
  <c r="D233" i="1"/>
  <c r="C233" i="1"/>
  <c r="G232" i="1"/>
  <c r="D232" i="1"/>
  <c r="C232" i="1"/>
  <c r="G231" i="1"/>
  <c r="D231" i="1"/>
  <c r="C231" i="1"/>
  <c r="G230" i="1"/>
  <c r="D230" i="1"/>
  <c r="C230" i="1"/>
  <c r="G229" i="1"/>
  <c r="D229" i="1"/>
  <c r="C229" i="1"/>
  <c r="G228" i="1"/>
  <c r="D228" i="1"/>
  <c r="C228" i="1"/>
  <c r="G227" i="1"/>
  <c r="D227" i="1"/>
  <c r="C227" i="1"/>
  <c r="G226" i="1"/>
  <c r="D226" i="1"/>
  <c r="C226" i="1"/>
  <c r="G225" i="1"/>
  <c r="D225" i="1"/>
  <c r="C225" i="1"/>
  <c r="G224" i="1"/>
  <c r="D224" i="1"/>
  <c r="C224" i="1"/>
  <c r="G223" i="1"/>
  <c r="D223" i="1"/>
  <c r="C223" i="1"/>
  <c r="G222" i="1"/>
  <c r="D222" i="1"/>
  <c r="C222" i="1"/>
  <c r="G221" i="1"/>
  <c r="D221" i="1"/>
  <c r="C221" i="1"/>
  <c r="G220" i="1"/>
  <c r="D220" i="1"/>
  <c r="C220" i="1"/>
  <c r="G219" i="1"/>
  <c r="D219" i="1"/>
  <c r="C219" i="1"/>
  <c r="G218" i="1"/>
  <c r="D218" i="1"/>
  <c r="C218" i="1"/>
  <c r="G217" i="1"/>
  <c r="D217" i="1"/>
  <c r="C217" i="1"/>
  <c r="G216" i="1"/>
  <c r="D216" i="1"/>
  <c r="C216" i="1"/>
  <c r="G215" i="1"/>
  <c r="D215" i="1"/>
  <c r="C215" i="1"/>
  <c r="G214" i="1"/>
  <c r="D214" i="1"/>
  <c r="C214" i="1"/>
  <c r="G213" i="1"/>
  <c r="D213" i="1"/>
  <c r="C213" i="1"/>
  <c r="G212" i="1"/>
  <c r="D212" i="1"/>
  <c r="C212" i="1"/>
  <c r="G211" i="1"/>
  <c r="D211" i="1"/>
  <c r="C211" i="1"/>
  <c r="G210" i="1"/>
  <c r="D210" i="1"/>
  <c r="C210" i="1"/>
  <c r="G209" i="1"/>
  <c r="D209" i="1"/>
  <c r="C209" i="1"/>
  <c r="G208" i="1"/>
  <c r="D208" i="1"/>
  <c r="C208" i="1"/>
  <c r="G207" i="1"/>
  <c r="D207" i="1"/>
  <c r="C207" i="1"/>
  <c r="G206" i="1"/>
  <c r="D206" i="1"/>
  <c r="C206" i="1"/>
  <c r="G205" i="1"/>
  <c r="D205" i="1"/>
  <c r="C205" i="1"/>
  <c r="L204" i="1"/>
  <c r="G204" i="1"/>
  <c r="D204" i="1"/>
  <c r="C204" i="1"/>
  <c r="G203" i="1"/>
  <c r="D203" i="1"/>
  <c r="C203" i="1"/>
  <c r="G202" i="1"/>
  <c r="D202" i="1"/>
  <c r="C202" i="1"/>
  <c r="G201" i="1"/>
  <c r="D201" i="1"/>
  <c r="C201" i="1"/>
  <c r="G200" i="1"/>
  <c r="D200" i="1"/>
  <c r="C200" i="1"/>
  <c r="G199" i="1"/>
  <c r="D199" i="1"/>
  <c r="C199" i="1"/>
  <c r="G198" i="1"/>
  <c r="D198" i="1"/>
  <c r="C198" i="1"/>
  <c r="G197" i="1"/>
  <c r="D197" i="1"/>
  <c r="C197" i="1"/>
  <c r="G196" i="1"/>
  <c r="D196" i="1"/>
  <c r="C196" i="1"/>
  <c r="G195" i="1"/>
  <c r="D195" i="1"/>
  <c r="C195" i="1"/>
  <c r="G194" i="1"/>
  <c r="D194" i="1"/>
  <c r="C194" i="1"/>
  <c r="G193" i="1"/>
  <c r="D193" i="1"/>
  <c r="C193" i="1"/>
  <c r="G192" i="1"/>
  <c r="D192" i="1"/>
  <c r="C192" i="1"/>
  <c r="G191" i="1"/>
  <c r="D191" i="1"/>
  <c r="C191" i="1"/>
  <c r="G190" i="1"/>
  <c r="D190" i="1"/>
  <c r="C190" i="1"/>
  <c r="G189" i="1"/>
  <c r="D189" i="1"/>
  <c r="C189" i="1"/>
  <c r="G188" i="1"/>
  <c r="D188" i="1"/>
  <c r="C188" i="1"/>
  <c r="G187" i="1"/>
  <c r="D187" i="1"/>
  <c r="C187" i="1"/>
  <c r="G186" i="1"/>
  <c r="D186" i="1"/>
  <c r="C186" i="1"/>
  <c r="G185" i="1"/>
  <c r="D185" i="1"/>
  <c r="C185" i="1"/>
  <c r="G184" i="1"/>
  <c r="D184" i="1"/>
  <c r="C184" i="1"/>
  <c r="G183" i="1"/>
  <c r="D183" i="1"/>
  <c r="C183" i="1"/>
  <c r="G182" i="1"/>
  <c r="D182" i="1"/>
  <c r="C182" i="1"/>
  <c r="G181" i="1"/>
  <c r="D181" i="1"/>
  <c r="C181" i="1"/>
  <c r="G180" i="1"/>
  <c r="D180" i="1"/>
  <c r="C180" i="1"/>
  <c r="G179" i="1"/>
  <c r="D179" i="1"/>
  <c r="C179" i="1"/>
  <c r="G178" i="1"/>
  <c r="D178" i="1"/>
  <c r="C178" i="1"/>
  <c r="G177" i="1"/>
  <c r="D177" i="1"/>
  <c r="C177" i="1"/>
  <c r="G176" i="1"/>
  <c r="D176" i="1"/>
  <c r="C176" i="1"/>
  <c r="G175" i="1"/>
  <c r="D175" i="1"/>
  <c r="C175" i="1"/>
  <c r="G174" i="1"/>
  <c r="D174" i="1"/>
  <c r="C174" i="1"/>
  <c r="G173" i="1"/>
  <c r="D173" i="1"/>
  <c r="C173" i="1"/>
  <c r="L172" i="1"/>
  <c r="G172" i="1"/>
  <c r="D172" i="1"/>
  <c r="C172" i="1"/>
  <c r="L171" i="1"/>
  <c r="G171" i="1"/>
  <c r="D171" i="1"/>
  <c r="C171" i="1"/>
  <c r="L170" i="1"/>
  <c r="G170" i="1"/>
  <c r="D170" i="1"/>
  <c r="C170" i="1"/>
  <c r="L169" i="1"/>
  <c r="G169" i="1"/>
  <c r="D169" i="1"/>
  <c r="C169" i="1"/>
  <c r="G168" i="1"/>
  <c r="D168" i="1"/>
  <c r="C168" i="1"/>
  <c r="G167" i="1"/>
  <c r="D167" i="1"/>
  <c r="C167" i="1"/>
  <c r="G166" i="1"/>
  <c r="D166" i="1"/>
  <c r="C166" i="1"/>
  <c r="G165" i="1"/>
  <c r="D165" i="1"/>
  <c r="C165" i="1"/>
  <c r="G164" i="1"/>
  <c r="D164" i="1"/>
  <c r="C164" i="1"/>
  <c r="G163" i="1"/>
  <c r="D163" i="1"/>
  <c r="C163" i="1"/>
  <c r="G162" i="1"/>
  <c r="D162" i="1"/>
  <c r="C162" i="1"/>
  <c r="G161" i="1"/>
  <c r="D161" i="1"/>
  <c r="C161" i="1"/>
  <c r="G160" i="1"/>
  <c r="D160" i="1"/>
  <c r="C160" i="1"/>
  <c r="G159" i="1"/>
  <c r="D159" i="1"/>
  <c r="C159" i="1"/>
  <c r="G158" i="1"/>
  <c r="D158" i="1"/>
  <c r="C158" i="1"/>
  <c r="G157" i="1"/>
  <c r="D157" i="1"/>
  <c r="C157" i="1"/>
  <c r="G156" i="1"/>
  <c r="D156" i="1"/>
  <c r="C156" i="1"/>
  <c r="G155" i="1"/>
  <c r="D155" i="1"/>
  <c r="C155" i="1"/>
  <c r="G154" i="1"/>
  <c r="D154" i="1"/>
  <c r="C154" i="1"/>
  <c r="G153" i="1"/>
  <c r="D153" i="1"/>
  <c r="C153" i="1"/>
  <c r="G152" i="1"/>
  <c r="D152" i="1"/>
  <c r="C152" i="1"/>
  <c r="G151" i="1"/>
  <c r="D151" i="1"/>
  <c r="C151" i="1"/>
  <c r="G150" i="1"/>
  <c r="D150" i="1"/>
  <c r="C150" i="1"/>
  <c r="G149" i="1"/>
  <c r="D149" i="1"/>
  <c r="C149" i="1"/>
  <c r="G148" i="1"/>
  <c r="D148" i="1"/>
  <c r="C148" i="1"/>
  <c r="G147" i="1"/>
  <c r="D147" i="1"/>
  <c r="C147" i="1"/>
  <c r="G146" i="1"/>
  <c r="D146" i="1"/>
  <c r="C146" i="1"/>
  <c r="G145" i="1"/>
  <c r="D145" i="1"/>
  <c r="C145" i="1"/>
  <c r="G144" i="1"/>
  <c r="D144" i="1"/>
  <c r="C144" i="1"/>
  <c r="G143" i="1"/>
  <c r="D143" i="1"/>
  <c r="C143" i="1"/>
  <c r="L142" i="1"/>
  <c r="G142" i="1"/>
  <c r="D142" i="1"/>
  <c r="C142" i="1"/>
  <c r="G141" i="1"/>
  <c r="D141" i="1"/>
  <c r="C141" i="1"/>
  <c r="G140" i="1"/>
  <c r="D140" i="1"/>
  <c r="C140" i="1"/>
  <c r="G139" i="1"/>
  <c r="D139" i="1"/>
  <c r="C139" i="1"/>
  <c r="G138" i="1"/>
  <c r="D138" i="1"/>
  <c r="C138" i="1"/>
  <c r="G137" i="1"/>
  <c r="D137" i="1"/>
  <c r="C137" i="1"/>
  <c r="G136" i="1"/>
  <c r="D136" i="1"/>
  <c r="C136" i="1"/>
  <c r="G135" i="1"/>
  <c r="D135" i="1"/>
  <c r="C135" i="1"/>
  <c r="G134" i="1"/>
  <c r="D134" i="1"/>
  <c r="C134" i="1"/>
  <c r="G133" i="1"/>
  <c r="D133" i="1"/>
  <c r="C133" i="1"/>
  <c r="G132" i="1"/>
  <c r="D132" i="1"/>
  <c r="C132" i="1"/>
  <c r="G131" i="1"/>
  <c r="D131" i="1"/>
  <c r="C131" i="1"/>
  <c r="G130" i="1"/>
  <c r="D130" i="1"/>
  <c r="C130" i="1"/>
  <c r="G129" i="1"/>
  <c r="D129" i="1"/>
  <c r="C129" i="1"/>
  <c r="G128" i="1"/>
  <c r="D128" i="1"/>
  <c r="C128" i="1"/>
  <c r="G127" i="1"/>
  <c r="D127" i="1"/>
  <c r="C127" i="1"/>
  <c r="G126" i="1"/>
  <c r="D126" i="1"/>
  <c r="C126" i="1"/>
  <c r="G125" i="1"/>
  <c r="D125" i="1"/>
  <c r="C125" i="1"/>
  <c r="G124" i="1"/>
  <c r="D124" i="1"/>
  <c r="C124" i="1"/>
  <c r="G123" i="1"/>
  <c r="D123" i="1"/>
  <c r="C123" i="1"/>
  <c r="G122" i="1"/>
  <c r="D122" i="1"/>
  <c r="C122" i="1"/>
  <c r="G121" i="1"/>
  <c r="D121" i="1"/>
  <c r="C121" i="1"/>
  <c r="G120" i="1"/>
  <c r="D120" i="1"/>
  <c r="C120" i="1"/>
  <c r="G119" i="1"/>
  <c r="D119" i="1"/>
  <c r="C119" i="1"/>
  <c r="G118" i="1"/>
  <c r="D118" i="1"/>
  <c r="C118" i="1"/>
  <c r="G117" i="1"/>
  <c r="D117" i="1"/>
  <c r="C117" i="1"/>
  <c r="L116" i="1"/>
  <c r="G116" i="1"/>
  <c r="D116" i="1"/>
  <c r="C116" i="1"/>
  <c r="G115" i="1"/>
  <c r="D115" i="1"/>
  <c r="C115" i="1"/>
  <c r="G114" i="1"/>
  <c r="D114" i="1"/>
  <c r="C114" i="1"/>
  <c r="L113" i="1"/>
  <c r="G113" i="1"/>
  <c r="D113" i="1"/>
  <c r="C113" i="1"/>
  <c r="G112" i="1"/>
  <c r="D112" i="1"/>
  <c r="C112" i="1"/>
  <c r="G111" i="1"/>
  <c r="D111" i="1"/>
  <c r="C111" i="1"/>
  <c r="G110" i="1"/>
  <c r="D110" i="1"/>
  <c r="C110" i="1"/>
  <c r="G109" i="1"/>
  <c r="D109" i="1"/>
  <c r="C109" i="1"/>
  <c r="G108" i="1"/>
  <c r="D108" i="1"/>
  <c r="C108" i="1"/>
  <c r="G107" i="1"/>
  <c r="D107" i="1"/>
  <c r="C107" i="1"/>
  <c r="G106" i="1"/>
  <c r="D106" i="1"/>
  <c r="C106" i="1"/>
  <c r="G105" i="1"/>
  <c r="D105" i="1"/>
  <c r="C105" i="1"/>
  <c r="G104" i="1"/>
  <c r="D104" i="1"/>
  <c r="C104" i="1"/>
  <c r="G103" i="1"/>
  <c r="D103" i="1"/>
  <c r="C103" i="1"/>
  <c r="G102" i="1"/>
  <c r="D102" i="1"/>
  <c r="C102" i="1"/>
  <c r="G101" i="1"/>
  <c r="D101" i="1"/>
  <c r="C101" i="1"/>
  <c r="L100" i="1"/>
  <c r="G100" i="1"/>
  <c r="D100" i="1"/>
  <c r="C100" i="1"/>
  <c r="G99" i="1"/>
  <c r="D99" i="1"/>
  <c r="C99" i="1"/>
  <c r="G98" i="1"/>
  <c r="D98" i="1"/>
  <c r="C98" i="1"/>
  <c r="G97" i="1"/>
  <c r="D97" i="1"/>
  <c r="C97" i="1"/>
  <c r="G96" i="1"/>
  <c r="D96" i="1"/>
  <c r="C96" i="1"/>
  <c r="G95" i="1"/>
  <c r="D95" i="1"/>
  <c r="C95" i="1"/>
  <c r="G94" i="1"/>
  <c r="D94" i="1"/>
  <c r="C94" i="1"/>
  <c r="G93" i="1"/>
  <c r="D93" i="1"/>
  <c r="C93" i="1"/>
  <c r="G92" i="1"/>
  <c r="D92" i="1"/>
  <c r="C92" i="1"/>
  <c r="G91" i="1"/>
  <c r="D91" i="1"/>
  <c r="C91" i="1"/>
  <c r="G90" i="1"/>
  <c r="D90" i="1"/>
  <c r="C90" i="1"/>
  <c r="G89" i="1"/>
  <c r="D89" i="1"/>
  <c r="C89" i="1"/>
  <c r="G88" i="1"/>
  <c r="D88" i="1"/>
  <c r="C88" i="1"/>
  <c r="G87" i="1"/>
  <c r="D87" i="1"/>
  <c r="C87" i="1"/>
  <c r="G86" i="1"/>
  <c r="D86" i="1"/>
  <c r="C86" i="1"/>
  <c r="L85" i="1"/>
  <c r="G85" i="1"/>
  <c r="D85" i="1"/>
  <c r="C85" i="1"/>
  <c r="L84" i="1"/>
  <c r="G84" i="1"/>
  <c r="D84" i="1"/>
  <c r="C84" i="1"/>
  <c r="G83" i="1"/>
  <c r="D83" i="1"/>
  <c r="C83" i="1"/>
  <c r="G82" i="1"/>
  <c r="D82" i="1"/>
  <c r="C82" i="1"/>
  <c r="G81" i="1"/>
  <c r="D81" i="1"/>
  <c r="C81" i="1"/>
  <c r="G80" i="1"/>
  <c r="D80" i="1"/>
  <c r="C80" i="1"/>
  <c r="G79" i="1"/>
  <c r="D79" i="1"/>
  <c r="C79" i="1"/>
  <c r="G78" i="1"/>
  <c r="D78" i="1"/>
  <c r="C78" i="1"/>
  <c r="G77" i="1"/>
  <c r="D77" i="1"/>
  <c r="C77" i="1"/>
  <c r="G76" i="1"/>
  <c r="D76" i="1"/>
  <c r="C76" i="1"/>
  <c r="L75" i="1"/>
  <c r="G75" i="1"/>
  <c r="D75" i="1"/>
  <c r="C75" i="1"/>
  <c r="G74" i="1"/>
  <c r="D74" i="1"/>
  <c r="C74" i="1"/>
  <c r="G73" i="1"/>
  <c r="D73" i="1"/>
  <c r="C73" i="1"/>
  <c r="G72" i="1"/>
  <c r="D72" i="1"/>
  <c r="C72" i="1"/>
  <c r="L71" i="1"/>
  <c r="G71" i="1"/>
  <c r="D71" i="1"/>
  <c r="C71" i="1"/>
  <c r="G70" i="1"/>
  <c r="D70" i="1"/>
  <c r="C70" i="1"/>
  <c r="G69" i="1"/>
  <c r="D69" i="1"/>
  <c r="C69" i="1"/>
  <c r="G68" i="1"/>
  <c r="D68" i="1"/>
  <c r="C68" i="1"/>
  <c r="G67" i="1"/>
  <c r="D67" i="1"/>
  <c r="C67" i="1"/>
  <c r="G66" i="1"/>
  <c r="D66" i="1"/>
  <c r="C66" i="1"/>
  <c r="G65" i="1"/>
  <c r="D65" i="1"/>
  <c r="C65" i="1"/>
  <c r="G64" i="1"/>
  <c r="D64" i="1"/>
  <c r="C64" i="1"/>
  <c r="G63" i="1"/>
  <c r="D63" i="1"/>
  <c r="C63" i="1"/>
  <c r="G62" i="1"/>
  <c r="D62" i="1"/>
  <c r="C62" i="1"/>
  <c r="G61" i="1"/>
  <c r="D61" i="1"/>
  <c r="C61" i="1"/>
  <c r="G60" i="1"/>
  <c r="D60" i="1"/>
  <c r="C60" i="1"/>
  <c r="G59" i="1"/>
  <c r="D59" i="1"/>
  <c r="C59" i="1"/>
  <c r="G58" i="1"/>
  <c r="D58" i="1"/>
  <c r="C58" i="1"/>
  <c r="G57" i="1"/>
  <c r="D57" i="1"/>
  <c r="C57" i="1"/>
  <c r="G56" i="1"/>
  <c r="D56" i="1"/>
  <c r="C56" i="1"/>
  <c r="G55" i="1"/>
  <c r="D55" i="1"/>
  <c r="C55" i="1"/>
  <c r="G54" i="1"/>
  <c r="D54" i="1"/>
  <c r="C54" i="1"/>
  <c r="G53" i="1"/>
  <c r="D53" i="1"/>
  <c r="C53" i="1"/>
  <c r="G52" i="1"/>
  <c r="D52" i="1"/>
  <c r="C52" i="1"/>
  <c r="G51" i="1"/>
  <c r="D51" i="1"/>
  <c r="C51" i="1"/>
  <c r="G50" i="1"/>
  <c r="D50" i="1"/>
  <c r="C50" i="1"/>
  <c r="G49" i="1"/>
  <c r="D49" i="1"/>
  <c r="C49" i="1"/>
  <c r="G48" i="1"/>
  <c r="D48" i="1"/>
  <c r="C48" i="1"/>
  <c r="G47" i="1"/>
  <c r="D47" i="1"/>
  <c r="C47" i="1"/>
  <c r="G46" i="1"/>
  <c r="D46" i="1"/>
  <c r="C46" i="1"/>
  <c r="G45" i="1"/>
  <c r="D45" i="1"/>
  <c r="C45" i="1"/>
  <c r="G44" i="1"/>
  <c r="D44" i="1"/>
  <c r="C44" i="1"/>
  <c r="L43" i="1"/>
  <c r="G43" i="1"/>
  <c r="D43" i="1"/>
  <c r="C43" i="1"/>
  <c r="G42" i="1"/>
  <c r="D42" i="1"/>
  <c r="C42" i="1"/>
  <c r="L41" i="1"/>
  <c r="G41" i="1"/>
  <c r="D41" i="1"/>
  <c r="C41" i="1"/>
  <c r="G40" i="1"/>
  <c r="D40" i="1"/>
  <c r="C40" i="1"/>
  <c r="G39" i="1"/>
  <c r="D39" i="1"/>
  <c r="C39" i="1"/>
  <c r="G38" i="1"/>
  <c r="D38" i="1"/>
  <c r="C38" i="1"/>
  <c r="G37" i="1"/>
  <c r="D37" i="1"/>
  <c r="C37" i="1"/>
  <c r="G36" i="1"/>
  <c r="D36" i="1"/>
  <c r="C36" i="1"/>
  <c r="G35" i="1"/>
  <c r="D35" i="1"/>
  <c r="C35" i="1"/>
  <c r="G34" i="1"/>
  <c r="D34" i="1"/>
  <c r="C34" i="1"/>
  <c r="G33" i="1"/>
  <c r="D33" i="1"/>
  <c r="C33" i="1"/>
  <c r="G32" i="1"/>
  <c r="D32" i="1"/>
  <c r="C32" i="1"/>
  <c r="G31" i="1"/>
  <c r="D31" i="1"/>
  <c r="C31" i="1"/>
  <c r="G30" i="1"/>
  <c r="D30" i="1"/>
  <c r="C30" i="1"/>
  <c r="G29" i="1"/>
  <c r="D29" i="1"/>
  <c r="C29" i="1"/>
  <c r="G28" i="1"/>
  <c r="D28" i="1"/>
  <c r="C28" i="1"/>
  <c r="G27" i="1"/>
  <c r="D27" i="1"/>
  <c r="C27" i="1"/>
  <c r="G26" i="1"/>
  <c r="D26" i="1"/>
  <c r="C26" i="1"/>
  <c r="G25" i="1"/>
  <c r="D25" i="1"/>
  <c r="C25" i="1"/>
  <c r="L24" i="1"/>
  <c r="G24" i="1"/>
  <c r="D24" i="1"/>
  <c r="C24" i="1"/>
  <c r="G23" i="1"/>
  <c r="D23" i="1"/>
  <c r="C23" i="1"/>
  <c r="G22" i="1"/>
  <c r="D22" i="1"/>
  <c r="C22" i="1"/>
  <c r="G21" i="1"/>
  <c r="D21" i="1"/>
  <c r="C21" i="1"/>
  <c r="G20" i="1"/>
  <c r="D20" i="1"/>
  <c r="C20" i="1"/>
  <c r="G19" i="1"/>
  <c r="D19" i="1"/>
  <c r="C19" i="1"/>
  <c r="G18" i="1"/>
  <c r="D18" i="1"/>
  <c r="C18" i="1"/>
  <c r="G17" i="1"/>
  <c r="D17" i="1"/>
  <c r="C17" i="1"/>
  <c r="G16" i="1"/>
  <c r="D16" i="1"/>
  <c r="C16" i="1"/>
  <c r="G15" i="1"/>
  <c r="D15" i="1"/>
  <c r="C15" i="1"/>
  <c r="G14" i="1"/>
  <c r="D14" i="1"/>
  <c r="C14" i="1"/>
  <c r="G13" i="1"/>
  <c r="D13" i="1"/>
  <c r="C13" i="1"/>
  <c r="G12" i="1"/>
  <c r="D12" i="1"/>
  <c r="C12" i="1"/>
  <c r="G11" i="1"/>
  <c r="D11" i="1"/>
  <c r="C11" i="1"/>
  <c r="G10" i="1"/>
  <c r="D10" i="1"/>
  <c r="C10" i="1"/>
  <c r="G9" i="1"/>
  <c r="D9" i="1"/>
  <c r="C9" i="1"/>
  <c r="G8" i="1"/>
  <c r="D8" i="1"/>
  <c r="C8" i="1"/>
  <c r="G7" i="1"/>
  <c r="D7" i="1"/>
  <c r="C7" i="1"/>
  <c r="G6" i="1"/>
  <c r="D6" i="1"/>
  <c r="C6" i="1"/>
  <c r="G5" i="1"/>
  <c r="D5" i="1"/>
  <c r="C5" i="1"/>
  <c r="G4" i="1"/>
  <c r="D4" i="1"/>
  <c r="C4" i="1"/>
  <c r="L3" i="1"/>
  <c r="G3" i="1"/>
  <c r="D3" i="1"/>
  <c r="C3" i="1"/>
  <c r="G2" i="1"/>
  <c r="D2" i="1"/>
  <c r="C2" i="1"/>
</calcChain>
</file>

<file path=xl/sharedStrings.xml><?xml version="1.0" encoding="utf-8"?>
<sst xmlns="http://schemas.openxmlformats.org/spreadsheetml/2006/main" count="31045" uniqueCount="11329">
  <si>
    <t>Member ID</t>
  </si>
  <si>
    <t>LIC</t>
  </si>
  <si>
    <t>GLN</t>
  </si>
  <si>
    <t>HIN</t>
  </si>
  <si>
    <t>Member Date</t>
  </si>
  <si>
    <t>Member Name</t>
  </si>
  <si>
    <t>Stibo Parent ID</t>
  </si>
  <si>
    <t>Address1</t>
  </si>
  <si>
    <t>Address2</t>
  </si>
  <si>
    <t>City</t>
  </si>
  <si>
    <t>State</t>
  </si>
  <si>
    <t>Zip Code</t>
  </si>
  <si>
    <t>Member Phone</t>
  </si>
  <si>
    <t>System ID</t>
  </si>
  <si>
    <t>System Name</t>
  </si>
  <si>
    <t>Parent ID</t>
  </si>
  <si>
    <t>Parent Name</t>
  </si>
  <si>
    <t>Account Manager</t>
  </si>
  <si>
    <t>Account Manager Email</t>
  </si>
  <si>
    <t>Facility Category</t>
  </si>
  <si>
    <t>Facility Type</t>
  </si>
  <si>
    <t>Provista Member</t>
  </si>
  <si>
    <t>MedAssets Member</t>
  </si>
  <si>
    <t>CHA Member</t>
  </si>
  <si>
    <t>Excelerate Member</t>
  </si>
  <si>
    <t>Excelerate Date</t>
  </si>
  <si>
    <t>Vizient Group 1</t>
  </si>
  <si>
    <t>Vizient Group 2</t>
  </si>
  <si>
    <t>Vizient Group 3</t>
  </si>
  <si>
    <t>Supply Program</t>
  </si>
  <si>
    <t>Rx Group</t>
  </si>
  <si>
    <t>Provista Group</t>
  </si>
  <si>
    <t>AMC Tier Pricing</t>
  </si>
  <si>
    <t>Q447</t>
  </si>
  <si>
    <t>Cleveland Clinic - Akron General Hospital</t>
  </si>
  <si>
    <t>1 Akron General Ave</t>
  </si>
  <si>
    <t>Akron</t>
  </si>
  <si>
    <t>OH</t>
  </si>
  <si>
    <t>44307-2432</t>
  </si>
  <si>
    <t>(330) 344-6000</t>
  </si>
  <si>
    <t>Cleveland Clinic</t>
  </si>
  <si>
    <t>Akron General Health System</t>
  </si>
  <si>
    <t>Shelly Boarman</t>
  </si>
  <si>
    <t>shelly.boarman@vizientinc.com</t>
  </si>
  <si>
    <t>Acute Care</t>
  </si>
  <si>
    <t>General Medical and Surgical</t>
  </si>
  <si>
    <t>Excelerate</t>
  </si>
  <si>
    <t>Excelerate - Rx</t>
  </si>
  <si>
    <t>Academic Medical Center Tier Pricing</t>
  </si>
  <si>
    <t>S222</t>
  </si>
  <si>
    <t>Alice Peck Day Memorial Hospital</t>
  </si>
  <si>
    <t>10 Alice Peck Day Dr</t>
  </si>
  <si>
    <t>Lebanon</t>
  </si>
  <si>
    <t>NH</t>
  </si>
  <si>
    <t>(603) 448-3121</t>
  </si>
  <si>
    <t>Dartmouth Hitchcock Medical Center</t>
  </si>
  <si>
    <t>Lauren Todaro</t>
  </si>
  <si>
    <t>lauren.todaro@vizientinc.com</t>
  </si>
  <si>
    <t>Northeast Purchasing Coalition, LLC</t>
  </si>
  <si>
    <t>NSpire</t>
  </si>
  <si>
    <t>NPC - RX</t>
  </si>
  <si>
    <t>R646</t>
  </si>
  <si>
    <t>Allegheny General Hospital</t>
  </si>
  <si>
    <t>320 E North Ave</t>
  </si>
  <si>
    <t>Pittsburgh</t>
  </si>
  <si>
    <t>PA</t>
  </si>
  <si>
    <t>15212-4756</t>
  </si>
  <si>
    <t>(412) 359-3131</t>
  </si>
  <si>
    <t>Allegheny Health Network</t>
  </si>
  <si>
    <t>Megan Kelley</t>
  </si>
  <si>
    <t>megan.kelley@vizientinc.com</t>
  </si>
  <si>
    <t>Provider PPI LLC</t>
  </si>
  <si>
    <t>RxCommit - RX</t>
  </si>
  <si>
    <t>P004</t>
  </si>
  <si>
    <t>Sentara Health</t>
  </si>
  <si>
    <t>1300 Sentara Park 4th Flr</t>
  </si>
  <si>
    <t>Virginia Beach</t>
  </si>
  <si>
    <t>VA</t>
  </si>
  <si>
    <t>(757) 455-7000</t>
  </si>
  <si>
    <t>Susan Reagor</t>
  </si>
  <si>
    <t>susan.reagor@vizientinc.com</t>
  </si>
  <si>
    <t>Holding Company</t>
  </si>
  <si>
    <t>MNS Supply Chain Network LLC</t>
  </si>
  <si>
    <t>MNS - RX</t>
  </si>
  <si>
    <t>W535</t>
  </si>
  <si>
    <t>Alta Bates Summit Medical Center</t>
  </si>
  <si>
    <t>350 Hawthorne Ave</t>
  </si>
  <si>
    <t>Oakland</t>
  </si>
  <si>
    <t>CA</t>
  </si>
  <si>
    <t>(510) 655-4000</t>
  </si>
  <si>
    <t>Sutter Health</t>
  </si>
  <si>
    <t>Michele Hausman</t>
  </si>
  <si>
    <t>michele.hausman@vizientinc.com</t>
  </si>
  <si>
    <t>S3P dba ampiezza</t>
  </si>
  <si>
    <t>MedSurg Commit</t>
  </si>
  <si>
    <t>V149</t>
  </si>
  <si>
    <t>Phoebe Sumter Medical Center</t>
  </si>
  <si>
    <t>126 Hwy 280 W</t>
  </si>
  <si>
    <t>Americus</t>
  </si>
  <si>
    <t>GA</t>
  </si>
  <si>
    <t>(229) 924-6011</t>
  </si>
  <si>
    <t>Phoebe Putney Health System Inc</t>
  </si>
  <si>
    <t>Bronson Smith</t>
  </si>
  <si>
    <t>bronson.smith@vizientinc.com</t>
  </si>
  <si>
    <t>Excelerate - Specialty</t>
  </si>
  <si>
    <t>Partners Cooperative, Inc</t>
  </si>
  <si>
    <t>Partners Cooperative - RX</t>
  </si>
  <si>
    <t>Q982</t>
  </si>
  <si>
    <t>Baptist Health Rehabilitation Institute</t>
  </si>
  <si>
    <t>9501 Baptist Health Dr</t>
  </si>
  <si>
    <t>Little Rock</t>
  </si>
  <si>
    <t>AR</t>
  </si>
  <si>
    <t>72205-6320</t>
  </si>
  <si>
    <t>(501) 202-1964</t>
  </si>
  <si>
    <t>Baptist Health</t>
  </si>
  <si>
    <t>Gina Allen</t>
  </si>
  <si>
    <t>gina.allen@vizientinc.com</t>
  </si>
  <si>
    <t>Ambulatory Care</t>
  </si>
  <si>
    <t>Rehabilitation</t>
  </si>
  <si>
    <t>Captis</t>
  </si>
  <si>
    <t>Captis - RX</t>
  </si>
  <si>
    <t>P295</t>
  </si>
  <si>
    <t>Baptist Health Princeton Hospital</t>
  </si>
  <si>
    <t>701 Princeton Ave Sw</t>
  </si>
  <si>
    <t>Birmingham</t>
  </si>
  <si>
    <t>AL</t>
  </si>
  <si>
    <t>35211-1399</t>
  </si>
  <si>
    <t>(321) 843-2345</t>
  </si>
  <si>
    <t>Orlando Health</t>
  </si>
  <si>
    <t>Tommy Saxon</t>
  </si>
  <si>
    <t>tommy.saxon@vizientinc.com</t>
  </si>
  <si>
    <t>W178</t>
  </si>
  <si>
    <t>9601 Baptist Health Dr</t>
  </si>
  <si>
    <t>72205-6321</t>
  </si>
  <si>
    <t>(501) 202-2000</t>
  </si>
  <si>
    <t>R797</t>
  </si>
  <si>
    <t>Baptist Memorial Health Care Corporation</t>
  </si>
  <si>
    <t>350 N Humphreys Blvd</t>
  </si>
  <si>
    <t>Memphis</t>
  </si>
  <si>
    <t>TN</t>
  </si>
  <si>
    <t>38120-2177</t>
  </si>
  <si>
    <t>(901) 227-5117</t>
  </si>
  <si>
    <t>Tosha Thomas</t>
  </si>
  <si>
    <t>tosha.thomas@vizientinc.com</t>
  </si>
  <si>
    <t>Mountain States - RX</t>
  </si>
  <si>
    <t>V368</t>
  </si>
  <si>
    <t>Baptist Memorial Hospital - Booneville</t>
  </si>
  <si>
    <t>100 Hospital St</t>
  </si>
  <si>
    <t>Booneville</t>
  </si>
  <si>
    <t>MS</t>
  </si>
  <si>
    <t>38829-3354</t>
  </si>
  <si>
    <t>(662) 720-5000</t>
  </si>
  <si>
    <t>R862</t>
  </si>
  <si>
    <t>Baptist Memorial Hospital - Tipton</t>
  </si>
  <si>
    <t>1995 Hwy 51 S</t>
  </si>
  <si>
    <t>Covington</t>
  </si>
  <si>
    <t>38019-3635</t>
  </si>
  <si>
    <t>(901) 476-2621</t>
  </si>
  <si>
    <t>R729</t>
  </si>
  <si>
    <t>Baptist Memorial Hospital - Union City</t>
  </si>
  <si>
    <t>1201 Bishop St</t>
  </si>
  <si>
    <t>Union City</t>
  </si>
  <si>
    <t>(731) 885-2410</t>
  </si>
  <si>
    <t>P016</t>
  </si>
  <si>
    <t>Baptist Hospital Inc</t>
  </si>
  <si>
    <t>123 Baptist Way Fl 1</t>
  </si>
  <si>
    <t>Pensacola</t>
  </si>
  <si>
    <t>FL</t>
  </si>
  <si>
    <t>32503-2254</t>
  </si>
  <si>
    <t>(850) 434-4011</t>
  </si>
  <si>
    <t>Baptist Health Care Corporation</t>
  </si>
  <si>
    <t>Townshend Fonville</t>
  </si>
  <si>
    <t>townshend.fonville@vizientinc.com</t>
  </si>
  <si>
    <t>T658</t>
  </si>
  <si>
    <t>Barnes Jewish Hospital</t>
  </si>
  <si>
    <t>1 Barnes Jewish Hospital Plz</t>
  </si>
  <si>
    <t>Saint Louis</t>
  </si>
  <si>
    <t>MO</t>
  </si>
  <si>
    <t>63110-1003</t>
  </si>
  <si>
    <t>(314) 362-5000</t>
  </si>
  <si>
    <t>BJC Health System</t>
  </si>
  <si>
    <t>BJC HealthCare</t>
  </si>
  <si>
    <t>Ryan Hibbard</t>
  </si>
  <si>
    <t>ryan.hibbard@vizientinc.com</t>
  </si>
  <si>
    <t>Ship To Location/Acute</t>
  </si>
  <si>
    <t>BJC Amici LLC</t>
  </si>
  <si>
    <t>TS3 - RX</t>
  </si>
  <si>
    <t>T438</t>
  </si>
  <si>
    <t>Sanford Medical Center Bismarck</t>
  </si>
  <si>
    <t>300 N 7th St</t>
  </si>
  <si>
    <t>Bismarck</t>
  </si>
  <si>
    <t>ND</t>
  </si>
  <si>
    <t>58501-4400</t>
  </si>
  <si>
    <t>(701) 323-6000</t>
  </si>
  <si>
    <t>Sanford</t>
  </si>
  <si>
    <t>Sanford Bismarck Market</t>
  </si>
  <si>
    <t>Danielle Bonaventura</t>
  </si>
  <si>
    <t>danielle.bonaventura@vizientinc.com</t>
  </si>
  <si>
    <t>U900</t>
  </si>
  <si>
    <t>Bay Medical</t>
  </si>
  <si>
    <t>615 N Bonita Ave</t>
  </si>
  <si>
    <t>Panama City</t>
  </si>
  <si>
    <t>(850) 769-1511</t>
  </si>
  <si>
    <t>Southeast Supply Solutions, LLC</t>
  </si>
  <si>
    <t>V304</t>
  </si>
  <si>
    <t>Marshfield Medical Center Beaver Dam</t>
  </si>
  <si>
    <t>707 S University Ave</t>
  </si>
  <si>
    <t>Beaver Dam</t>
  </si>
  <si>
    <t>WI</t>
  </si>
  <si>
    <t>(920) 887-7181</t>
  </si>
  <si>
    <t>Marshfield Clinic Health System</t>
  </si>
  <si>
    <t>Vizient Alliance</t>
  </si>
  <si>
    <t>P292</t>
  </si>
  <si>
    <t>North Baldwin Infirmary</t>
  </si>
  <si>
    <t>1815 Hand Ave</t>
  </si>
  <si>
    <t>Bay Minette</t>
  </si>
  <si>
    <t>36507-4110</t>
  </si>
  <si>
    <t>(251) 937-5521</t>
  </si>
  <si>
    <t>Infirmary Health System Inc</t>
  </si>
  <si>
    <t>Southeast Collaborative</t>
  </si>
  <si>
    <t>S3P Rx dba ampiezza Rx</t>
  </si>
  <si>
    <t>Q123</t>
  </si>
  <si>
    <t>Boulder Community Health</t>
  </si>
  <si>
    <t>4747 Arapahoe Ave</t>
  </si>
  <si>
    <t>Boulder</t>
  </si>
  <si>
    <t>CO</t>
  </si>
  <si>
    <t>80303-1131</t>
  </si>
  <si>
    <t>(303) 415-7000</t>
  </si>
  <si>
    <t>Mike Meng</t>
  </si>
  <si>
    <t>mike.meng@vizientinc.com</t>
  </si>
  <si>
    <t>Mountain States Purchasing Group</t>
  </si>
  <si>
    <t>T224</t>
  </si>
  <si>
    <t>Braxton County Memorial Hospital</t>
  </si>
  <si>
    <t>100 Hoylman Dr</t>
  </si>
  <si>
    <t>Gassaway</t>
  </si>
  <si>
    <t>WV</t>
  </si>
  <si>
    <t>(304) 364-5156</t>
  </si>
  <si>
    <t>Anita Smith</t>
  </si>
  <si>
    <t>anita.smith@wvha.org</t>
  </si>
  <si>
    <t>Q560</t>
  </si>
  <si>
    <t>Southwest Regional Medical Center</t>
  </si>
  <si>
    <t>425 Home St</t>
  </si>
  <si>
    <t>Georgetown</t>
  </si>
  <si>
    <t>45121-1407</t>
  </si>
  <si>
    <t>(937) 378-7800</t>
  </si>
  <si>
    <t>Not Covered</t>
  </si>
  <si>
    <t>inactive96@gmail.com</t>
  </si>
  <si>
    <t>S745</t>
  </si>
  <si>
    <t>Virtua Memorial</t>
  </si>
  <si>
    <t>175 Madison Ave</t>
  </si>
  <si>
    <t>Mount Holly</t>
  </si>
  <si>
    <t>NJ</t>
  </si>
  <si>
    <t>(609) 267-0700</t>
  </si>
  <si>
    <t>Virtua Health</t>
  </si>
  <si>
    <t>Sandra Ramos</t>
  </si>
  <si>
    <t>sandra.ramos@vizientinc.com</t>
  </si>
  <si>
    <t>Q302</t>
  </si>
  <si>
    <t>Corewell Health Butterworth Hospital</t>
  </si>
  <si>
    <t>100 Michigan St Ne</t>
  </si>
  <si>
    <t>General Medical &amp; Surgical</t>
  </si>
  <si>
    <t>Grand Rapids</t>
  </si>
  <si>
    <t>MI</t>
  </si>
  <si>
    <t>49503-2560</t>
  </si>
  <si>
    <t>(616) 391-1774</t>
  </si>
  <si>
    <t>Corewell Health</t>
  </si>
  <si>
    <t>Corewell Health West</t>
  </si>
  <si>
    <t>Patrick Burton</t>
  </si>
  <si>
    <t>patrick.burton@vizientinc.com</t>
  </si>
  <si>
    <t>Great Lakes Healthcare Purchasing Network</t>
  </si>
  <si>
    <t>MWPC - RX</t>
  </si>
  <si>
    <t>R561</t>
  </si>
  <si>
    <t>The Chester County Hospital and Health System</t>
  </si>
  <si>
    <t>701 E Marshall St</t>
  </si>
  <si>
    <t>West Chester</t>
  </si>
  <si>
    <t>19380-4412</t>
  </si>
  <si>
    <t>(610) 431-5000</t>
  </si>
  <si>
    <t>University of Pennsylvania Health System</t>
  </si>
  <si>
    <t>Lori Helm</t>
  </si>
  <si>
    <t>lori.helm@vizientinc.com</t>
  </si>
  <si>
    <t>U534</t>
  </si>
  <si>
    <t>Childrens Minnesota</t>
  </si>
  <si>
    <t>2525 Chicago Ave S</t>
  </si>
  <si>
    <t>Minneapolis</t>
  </si>
  <si>
    <t>MN</t>
  </si>
  <si>
    <t>55404-4518</t>
  </si>
  <si>
    <t>(612) 813-6000</t>
  </si>
  <si>
    <t>Lisa Barefield</t>
  </si>
  <si>
    <t>lisa.barefield@vizientinc.com</t>
  </si>
  <si>
    <t>Childrens General Medical &amp; Surgical</t>
  </si>
  <si>
    <t>CHA</t>
  </si>
  <si>
    <t>Pediatric Alliance - PA</t>
  </si>
  <si>
    <t>R715</t>
  </si>
  <si>
    <t>Allegheny Valley Hospital</t>
  </si>
  <si>
    <t>1301 Carlisle St</t>
  </si>
  <si>
    <t>Natrona Heights</t>
  </si>
  <si>
    <t>15065-1152</t>
  </si>
  <si>
    <t>(724) 224-5100</t>
  </si>
  <si>
    <t>V014</t>
  </si>
  <si>
    <t>Colquitt Regional Medical Center</t>
  </si>
  <si>
    <t>3131 S Main St</t>
  </si>
  <si>
    <t>Moultrie</t>
  </si>
  <si>
    <t>31768-6925</t>
  </si>
  <si>
    <t>(229) 985-3420</t>
  </si>
  <si>
    <t>VHF5</t>
  </si>
  <si>
    <t>Community Health Network Inc</t>
  </si>
  <si>
    <t>7330 Shadeland Station Ste 200</t>
  </si>
  <si>
    <t>Indianapolis</t>
  </si>
  <si>
    <t>IN</t>
  </si>
  <si>
    <t>46256-3985</t>
  </si>
  <si>
    <t>(317) 355-1411</t>
  </si>
  <si>
    <t>Christopher Perry</t>
  </si>
  <si>
    <t>christopher.perry@vizientinc.com</t>
  </si>
  <si>
    <t>Q838</t>
  </si>
  <si>
    <t>Memorial Medical Center</t>
  </si>
  <si>
    <t>1086 Franklin St</t>
  </si>
  <si>
    <t>Johnstown</t>
  </si>
  <si>
    <t>15905-4305</t>
  </si>
  <si>
    <t>(814) 534-9000</t>
  </si>
  <si>
    <t>Conemaugh Health System</t>
  </si>
  <si>
    <t>Q165</t>
  </si>
  <si>
    <t>Craig Hospital</t>
  </si>
  <si>
    <t>3425 S Clarkson St</t>
  </si>
  <si>
    <t>Englewood</t>
  </si>
  <si>
    <t>80113-2812</t>
  </si>
  <si>
    <t>(303) 789-8000</t>
  </si>
  <si>
    <t>Brett Axe</t>
  </si>
  <si>
    <t>brett.axe@vizientinc.com</t>
  </si>
  <si>
    <t>Mid-America Service Solutions, LLC (MSS)</t>
  </si>
  <si>
    <t>Vanderbilt Health Purchasing Collaborative</t>
  </si>
  <si>
    <t>W511</t>
  </si>
  <si>
    <t>Deaconess Health System</t>
  </si>
  <si>
    <t>600 Mary St</t>
  </si>
  <si>
    <t>Evansville</t>
  </si>
  <si>
    <t>47710-1658</t>
  </si>
  <si>
    <t>(812) 450-5000</t>
  </si>
  <si>
    <t>Lindsay Barton</t>
  </si>
  <si>
    <t>lindsay.barton@vizientinc.com</t>
  </si>
  <si>
    <t>IHN Sourcing Group</t>
  </si>
  <si>
    <t>S056</t>
  </si>
  <si>
    <t>Decatur Memorial Hospital</t>
  </si>
  <si>
    <t>2300 N Edward St</t>
  </si>
  <si>
    <t>Decatur</t>
  </si>
  <si>
    <t>IL</t>
  </si>
  <si>
    <t>62526-4193</t>
  </si>
  <si>
    <t>(217) 876-8121</t>
  </si>
  <si>
    <t>Memorial Health</t>
  </si>
  <si>
    <t>Robert McKay</t>
  </si>
  <si>
    <t>robert.mckay@vizientinc.com</t>
  </si>
  <si>
    <t>MSS - Owners - RX</t>
  </si>
  <si>
    <t>T760</t>
  </si>
  <si>
    <t>DeSoto Regional Health System</t>
  </si>
  <si>
    <t>207 Jefferson St</t>
  </si>
  <si>
    <t>Mansfield</t>
  </si>
  <si>
    <t>LA</t>
  </si>
  <si>
    <t>(318) 872-4610</t>
  </si>
  <si>
    <t>Healthtech Management Services Inc (HTMS)</t>
  </si>
  <si>
    <t>Casey Cook</t>
  </si>
  <si>
    <t>casey.cook@vizientinc.com</t>
  </si>
  <si>
    <t>Healthtech Management Services, Inc. (HTMS)</t>
  </si>
  <si>
    <t>U890</t>
  </si>
  <si>
    <t>Doctors Memorial Hospital</t>
  </si>
  <si>
    <t>333 N Byron Butler Pkwy</t>
  </si>
  <si>
    <t>Perry</t>
  </si>
  <si>
    <t>32347-2300</t>
  </si>
  <si>
    <t>(850) 584-0800</t>
  </si>
  <si>
    <t>David Bates</t>
  </si>
  <si>
    <t>david.bates@vizientinc.com</t>
  </si>
  <si>
    <t>Healthcare Service Center Inc</t>
  </si>
  <si>
    <t>V443</t>
  </si>
  <si>
    <t>Shands Jacksonville - 580</t>
  </si>
  <si>
    <t>580 W 8th St</t>
  </si>
  <si>
    <t>Jacksonville</t>
  </si>
  <si>
    <t>32209-6599</t>
  </si>
  <si>
    <t>(904) 244-0411</t>
  </si>
  <si>
    <t>Shands Teaching Hospital and Clinics Inc</t>
  </si>
  <si>
    <t>Shands Jacksonville Medical Center, Inc</t>
  </si>
  <si>
    <t>Ronaldo Castillo</t>
  </si>
  <si>
    <t>ronaldo.castillo@vizientinc.com</t>
  </si>
  <si>
    <t>Cooperative Services of Florida</t>
  </si>
  <si>
    <t>CSF - RX</t>
  </si>
  <si>
    <t>P015</t>
  </si>
  <si>
    <t>NH Forsyth Medical Center</t>
  </si>
  <si>
    <t>3333 Silas Creek Pkwy</t>
  </si>
  <si>
    <t>Winston Salem</t>
  </si>
  <si>
    <t>NC</t>
  </si>
  <si>
    <t>27103-3013</t>
  </si>
  <si>
    <t>(336) 718-5000</t>
  </si>
  <si>
    <t>Novant Health</t>
  </si>
  <si>
    <t>David SaNogueira</t>
  </si>
  <si>
    <t>david.sanogueira@vizientinc.com</t>
  </si>
  <si>
    <t>S038</t>
  </si>
  <si>
    <t>Endeavor Health</t>
  </si>
  <si>
    <t>1301 Central St</t>
  </si>
  <si>
    <t>Evanston</t>
  </si>
  <si>
    <t>60201-1613</t>
  </si>
  <si>
    <t>(847) 570-2000</t>
  </si>
  <si>
    <t>Paige Boersma</t>
  </si>
  <si>
    <t>paige.boersma@vizientinc.com</t>
  </si>
  <si>
    <t>Q703</t>
  </si>
  <si>
    <t>Reid Health Connersville</t>
  </si>
  <si>
    <t>1941 Virginia Ave</t>
  </si>
  <si>
    <t>Connersville</t>
  </si>
  <si>
    <t>(765) 827-7713</t>
  </si>
  <si>
    <t>Reid Health</t>
  </si>
  <si>
    <t>IHN - RX</t>
  </si>
  <si>
    <t>W558</t>
  </si>
  <si>
    <t>Clara Maass Health System Inc</t>
  </si>
  <si>
    <t>1 Clara Maass Dr</t>
  </si>
  <si>
    <t>Belleville</t>
  </si>
  <si>
    <t>(973) 450-2000</t>
  </si>
  <si>
    <t>RWJ Barnabas Health Inc</t>
  </si>
  <si>
    <t>Troy Schlappich</t>
  </si>
  <si>
    <t>troy.schlappich@vizientinc.com</t>
  </si>
  <si>
    <t>S030</t>
  </si>
  <si>
    <t>FHN Memorial Hospital</t>
  </si>
  <si>
    <t>1045 W Stephenson St</t>
  </si>
  <si>
    <t>Freeport</t>
  </si>
  <si>
    <t>61032-4864</t>
  </si>
  <si>
    <t>(815) 599-6000</t>
  </si>
  <si>
    <t>Wendy Feran</t>
  </si>
  <si>
    <t>wendy.feran@vizientinc.com</t>
  </si>
  <si>
    <t>S174</t>
  </si>
  <si>
    <t>Gifford Medical Center</t>
  </si>
  <si>
    <t>44 S Main St</t>
  </si>
  <si>
    <t>Randolph</t>
  </si>
  <si>
    <t>VT</t>
  </si>
  <si>
    <t>(802) 728-7000</t>
  </si>
  <si>
    <t>R824</t>
  </si>
  <si>
    <t>Fort Sanders Regional Medical Center</t>
  </si>
  <si>
    <t>1901 W Clinch Ave</t>
  </si>
  <si>
    <t>Knoxville</t>
  </si>
  <si>
    <t>37916-2307</t>
  </si>
  <si>
    <t>(865) 541-1111</t>
  </si>
  <si>
    <t>Covenant Health</t>
  </si>
  <si>
    <t>Jordan Giager</t>
  </si>
  <si>
    <t>jordan.giager@vizientinc.com</t>
  </si>
  <si>
    <t>P200</t>
  </si>
  <si>
    <t>Endeavor Health - Glenbrook Hospital</t>
  </si>
  <si>
    <t>2100 Pfingsten Rd</t>
  </si>
  <si>
    <t>Glenview</t>
  </si>
  <si>
    <t>60026-1301</t>
  </si>
  <si>
    <t>(847) 657-5620</t>
  </si>
  <si>
    <t>Endeavor Health - Northshore University Health System</t>
  </si>
  <si>
    <t>V358</t>
  </si>
  <si>
    <t>Baptist Memorial Hospital - Golden Triangle</t>
  </si>
  <si>
    <t>2520 5th St N</t>
  </si>
  <si>
    <t>Columbus</t>
  </si>
  <si>
    <t>39705-2008</t>
  </si>
  <si>
    <t>(662) 244-1000</t>
  </si>
  <si>
    <t>W433</t>
  </si>
  <si>
    <t>Southern Illinois Healthcare</t>
  </si>
  <si>
    <t>1239 E Main St</t>
  </si>
  <si>
    <t>Carbondale</t>
  </si>
  <si>
    <t>62901-3114</t>
  </si>
  <si>
    <t>(618) 457-5200</t>
  </si>
  <si>
    <t>P033</t>
  </si>
  <si>
    <t>Gulf Breeze Hospital</t>
  </si>
  <si>
    <t>1110 Gulf Breeze Pkwy</t>
  </si>
  <si>
    <t>Gulf Breeze</t>
  </si>
  <si>
    <t>(850) 934-2000</t>
  </si>
  <si>
    <t>Q728</t>
  </si>
  <si>
    <t>Hancock Regional Hospital</t>
  </si>
  <si>
    <t>801 N State St</t>
  </si>
  <si>
    <t>Greenfield</t>
  </si>
  <si>
    <t>(317) 462-5544</t>
  </si>
  <si>
    <t>Dale Culver</t>
  </si>
  <si>
    <t>dale.culver@vizientinc.com</t>
  </si>
  <si>
    <t>S053</t>
  </si>
  <si>
    <t>OSF Saint Katharine Medical Center</t>
  </si>
  <si>
    <t>403 E 1st St</t>
  </si>
  <si>
    <t>Ksb Hospital</t>
  </si>
  <si>
    <t>Dixon</t>
  </si>
  <si>
    <t>61021-3116</t>
  </si>
  <si>
    <t>(815) 285-5531</t>
  </si>
  <si>
    <t>Q704</t>
  </si>
  <si>
    <t>Harrison County Hospital</t>
  </si>
  <si>
    <t>1141 Hospital Dr Nw</t>
  </si>
  <si>
    <t>Corydon</t>
  </si>
  <si>
    <t>47112-2164</t>
  </si>
  <si>
    <t>(812) 738-4251</t>
  </si>
  <si>
    <t>Q707</t>
  </si>
  <si>
    <t>Hendricks Regional Health</t>
  </si>
  <si>
    <t>1000 E Main St</t>
  </si>
  <si>
    <t>Danville</t>
  </si>
  <si>
    <t>(317) 745-3500</t>
  </si>
  <si>
    <t>Q774</t>
  </si>
  <si>
    <t>Henry Community Health</t>
  </si>
  <si>
    <t>1000 N 16th St</t>
  </si>
  <si>
    <t>New Castle</t>
  </si>
  <si>
    <t>47362-4395</t>
  </si>
  <si>
    <t>(765) 521-0890</t>
  </si>
  <si>
    <t>Parkview Health</t>
  </si>
  <si>
    <t>Stacey Fiddes</t>
  </si>
  <si>
    <t>stacey.fiddes@vizientinc.com</t>
  </si>
  <si>
    <t>P039</t>
  </si>
  <si>
    <t>Hoag Memorial Hospital</t>
  </si>
  <si>
    <t>1 Hoag Dr</t>
  </si>
  <si>
    <t>Newport Beach</t>
  </si>
  <si>
    <t>(949) 764-4624</t>
  </si>
  <si>
    <t>Amelia Rabine</t>
  </si>
  <si>
    <t>amelia.rabine@vizientinc.com</t>
  </si>
  <si>
    <t>T809</t>
  </si>
  <si>
    <t>Beauregard Health System</t>
  </si>
  <si>
    <t>600 S Pine St</t>
  </si>
  <si>
    <t>Deridder</t>
  </si>
  <si>
    <t>70634-4942</t>
  </si>
  <si>
    <t>(337) 462-7100</t>
  </si>
  <si>
    <t>V433</t>
  </si>
  <si>
    <t>Jay Hospital</t>
  </si>
  <si>
    <t>14114 Alabama St</t>
  </si>
  <si>
    <t>Jay</t>
  </si>
  <si>
    <t>32565-1219</t>
  </si>
  <si>
    <t>(850) 675-8000</t>
  </si>
  <si>
    <t>Q601</t>
  </si>
  <si>
    <t>Pomerene Hospital</t>
  </si>
  <si>
    <t>981 Wooster Rd</t>
  </si>
  <si>
    <t>Millersburg</t>
  </si>
  <si>
    <t>44654-1536</t>
  </si>
  <si>
    <t>(330) 674-1015</t>
  </si>
  <si>
    <t>Aultman Hospital</t>
  </si>
  <si>
    <t>Marla Modesitt</t>
  </si>
  <si>
    <t>marla.modesitt@vizientinc.com</t>
  </si>
  <si>
    <t>V390</t>
  </si>
  <si>
    <t>John D Archbold Memorial Hospital</t>
  </si>
  <si>
    <t>915 Gordon Ave</t>
  </si>
  <si>
    <t>Thomasville</t>
  </si>
  <si>
    <t>31792-6699</t>
  </si>
  <si>
    <t>(229) 228-2000</t>
  </si>
  <si>
    <t>Archbold Medical Center Inc</t>
  </si>
  <si>
    <t>U250</t>
  </si>
  <si>
    <t>Kootenai Health</t>
  </si>
  <si>
    <t>2003 Kootenai Health Way</t>
  </si>
  <si>
    <t>Coeur D Alene</t>
  </si>
  <si>
    <t>ID</t>
  </si>
  <si>
    <t>83814-2677</t>
  </si>
  <si>
    <t>(208) 666-2000</t>
  </si>
  <si>
    <t>Mike Barron</t>
  </si>
  <si>
    <t>mike.barron@vizientinc.com</t>
  </si>
  <si>
    <t>Myriadd Supply Network</t>
  </si>
  <si>
    <t>NPN - RX</t>
  </si>
  <si>
    <t>P196</t>
  </si>
  <si>
    <t>Montgomery General Hospital</t>
  </si>
  <si>
    <t>401 6th Ave</t>
  </si>
  <si>
    <t>Montgomery</t>
  </si>
  <si>
    <t>25136-2116</t>
  </si>
  <si>
    <t>(304) 442-5151</t>
  </si>
  <si>
    <t>Montgomery General Healthcare System</t>
  </si>
  <si>
    <t>West Virginia Health Services WVHS</t>
  </si>
  <si>
    <t>S010</t>
  </si>
  <si>
    <t>Endeavor Health - Highland Park Hospital</t>
  </si>
  <si>
    <t>777 Park Ave W</t>
  </si>
  <si>
    <t>Highland Park</t>
  </si>
  <si>
    <t>60035-2433</t>
  </si>
  <si>
    <t>(847) 432-8000</t>
  </si>
  <si>
    <t>Q826</t>
  </si>
  <si>
    <t>Excela Latrobe Area Hospital</t>
  </si>
  <si>
    <t>1 Mellon Way</t>
  </si>
  <si>
    <t>Latrobe</t>
  </si>
  <si>
    <t>15650-1197</t>
  </si>
  <si>
    <t>(724) 537-1000</t>
  </si>
  <si>
    <t>Independence Health System</t>
  </si>
  <si>
    <t>Excela Health</t>
  </si>
  <si>
    <t>Jeanine DeFeo</t>
  </si>
  <si>
    <t>jeanine.defeo@vizientinc.com</t>
  </si>
  <si>
    <t>MAPC - RX</t>
  </si>
  <si>
    <t>V420</t>
  </si>
  <si>
    <t>Lakeland Regional Health Medical Center</t>
  </si>
  <si>
    <t>1324 Lakeland Hills Blvd</t>
  </si>
  <si>
    <t>Lakeland</t>
  </si>
  <si>
    <t>(863) 687-1100</t>
  </si>
  <si>
    <t>Lakeland Regional Health Systems Inc.</t>
  </si>
  <si>
    <t>Juan Ugalde</t>
  </si>
  <si>
    <t>juan.ugalde@vizientinc.com</t>
  </si>
  <si>
    <t>P489</t>
  </si>
  <si>
    <t>John C Lincoln Health Network</t>
  </si>
  <si>
    <t>2500 W Utopia Rd</t>
  </si>
  <si>
    <t>Phoenix</t>
  </si>
  <si>
    <t>AZ</t>
  </si>
  <si>
    <t>85027-4171</t>
  </si>
  <si>
    <t>(602) 870-6304</t>
  </si>
  <si>
    <t>HonorHealth</t>
  </si>
  <si>
    <t>S625</t>
  </si>
  <si>
    <t>Lynchburg General Hospital</t>
  </si>
  <si>
    <t>1901 Tate Springs Rd</t>
  </si>
  <si>
    <t>Lynchburg</t>
  </si>
  <si>
    <t>24501-1167</t>
  </si>
  <si>
    <t>(434) 947-3000</t>
  </si>
  <si>
    <t>Centra Health Inc</t>
  </si>
  <si>
    <t>Zach Eggers</t>
  </si>
  <si>
    <t>zach.eggers@vizientinc.com</t>
  </si>
  <si>
    <t>Central Atlantic Health Network, LLC</t>
  </si>
  <si>
    <t>CAPP - RX</t>
  </si>
  <si>
    <t>R946</t>
  </si>
  <si>
    <t>Advocate Lutheran General Hospital</t>
  </si>
  <si>
    <t>1775 Dempster St</t>
  </si>
  <si>
    <t>Park Ridge</t>
  </si>
  <si>
    <t>60068-1143</t>
  </si>
  <si>
    <t>(847) 723-2210</t>
  </si>
  <si>
    <t>Advocate Health Care</t>
  </si>
  <si>
    <t>S662</t>
  </si>
  <si>
    <t>Sentara Martha Jefferson Hospital</t>
  </si>
  <si>
    <t>500 Martha Jefferson Dr</t>
  </si>
  <si>
    <t>Charlottesville</t>
  </si>
  <si>
    <t>(434) 654-7000</t>
  </si>
  <si>
    <t>W512</t>
  </si>
  <si>
    <t>Meriter Hospital</t>
  </si>
  <si>
    <t>202 S Park St</t>
  </si>
  <si>
    <t>Madison</t>
  </si>
  <si>
    <t>53715-1507</t>
  </si>
  <si>
    <t>(608) 267-6000</t>
  </si>
  <si>
    <t>Univ of Wisconsin Hosp &amp; Clinics Authority</t>
  </si>
  <si>
    <t>Brent Jehle</t>
  </si>
  <si>
    <t>brent.jehle@vizientinc.com</t>
  </si>
  <si>
    <t>Q792</t>
  </si>
  <si>
    <t>Major Hospital</t>
  </si>
  <si>
    <t>2451 Intelliplex Dr</t>
  </si>
  <si>
    <t>Shelbyville</t>
  </si>
  <si>
    <t>46176-8580</t>
  </si>
  <si>
    <t>(317) 392-3211</t>
  </si>
  <si>
    <t>S646</t>
  </si>
  <si>
    <t>Mary Washington Hospital Inc</t>
  </si>
  <si>
    <t>1001 Sam Perry Blvd</t>
  </si>
  <si>
    <t>Fredericksburg</t>
  </si>
  <si>
    <t>22401-3354</t>
  </si>
  <si>
    <t>(540) 741-1100</t>
  </si>
  <si>
    <t>Mary Washington Healthcare</t>
  </si>
  <si>
    <t>S226</t>
  </si>
  <si>
    <t>1 Medical Center Dr</t>
  </si>
  <si>
    <t>(603) 650-5000</t>
  </si>
  <si>
    <t>W516</t>
  </si>
  <si>
    <t>MedAmerica Health Systems Corporation</t>
  </si>
  <si>
    <t>1 Wyoming St</t>
  </si>
  <si>
    <t>Dayton</t>
  </si>
  <si>
    <t>45409-2722</t>
  </si>
  <si>
    <t>(937) 223-6192</t>
  </si>
  <si>
    <t>Premier Health</t>
  </si>
  <si>
    <t>Q746</t>
  </si>
  <si>
    <t>Memorial Hospital and Health Care Center</t>
  </si>
  <si>
    <t>800 W 9th St</t>
  </si>
  <si>
    <t>Jasper</t>
  </si>
  <si>
    <t>47546-2514</t>
  </si>
  <si>
    <t>(812) 996-2345</t>
  </si>
  <si>
    <t>V242</t>
  </si>
  <si>
    <t>Aspirus Medford Hospital &amp; Clinics Inc</t>
  </si>
  <si>
    <t>135 S Gibson St</t>
  </si>
  <si>
    <t>Medford</t>
  </si>
  <si>
    <t>54451-1696</t>
  </si>
  <si>
    <t>(715) 748-8100</t>
  </si>
  <si>
    <t>Aspirus Inc</t>
  </si>
  <si>
    <t>Fernando Ramirez</t>
  </si>
  <si>
    <t>fernando.ramirez@vizientinc.com</t>
  </si>
  <si>
    <t>S217</t>
  </si>
  <si>
    <t>Southern New Hampshire Medical Center</t>
  </si>
  <si>
    <t>8 Prospect St</t>
  </si>
  <si>
    <t>Nashua</t>
  </si>
  <si>
    <t>(603) 577-2000</t>
  </si>
  <si>
    <t>SolutionHealth</t>
  </si>
  <si>
    <t>Southern New Hampshire Health System</t>
  </si>
  <si>
    <t>Christian Arnold</t>
  </si>
  <si>
    <t>christian.arnold@vizientinc.com</t>
  </si>
  <si>
    <t>Q961</t>
  </si>
  <si>
    <t>Baptist Health Medical Center - North Little Rock</t>
  </si>
  <si>
    <t>3333 Springhill Dr</t>
  </si>
  <si>
    <t>North Little Rock</t>
  </si>
  <si>
    <t>72117-2922</t>
  </si>
  <si>
    <t>(501) 202-3000</t>
  </si>
  <si>
    <t>T774</t>
  </si>
  <si>
    <t>Our Lady of Lourdes Regional Medical Center</t>
  </si>
  <si>
    <t>4801 Ambassador Caffery Pkwy</t>
  </si>
  <si>
    <t>Lafayette</t>
  </si>
  <si>
    <t>(337) 289-2000</t>
  </si>
  <si>
    <t>Franciscan Missionaries of Our Lady Health System</t>
  </si>
  <si>
    <t>W514</t>
  </si>
  <si>
    <t>Memorial Hermann Health System</t>
  </si>
  <si>
    <t>929 Gessner Rd Ste 2700</t>
  </si>
  <si>
    <t>Houston</t>
  </si>
  <si>
    <t>TX</t>
  </si>
  <si>
    <t>77024-2593</t>
  </si>
  <si>
    <t>(713) 242-2700</t>
  </si>
  <si>
    <t>Anu Mathew</t>
  </si>
  <si>
    <t>anu.mathew@vizientinc.com</t>
  </si>
  <si>
    <t>Q237</t>
  </si>
  <si>
    <t>Corewell Health Lakeland Hospital</t>
  </si>
  <si>
    <t>1234 Napier Ave</t>
  </si>
  <si>
    <t>Saint Joseph</t>
  </si>
  <si>
    <t>49085-2112</t>
  </si>
  <si>
    <t>(269) 983-8300</t>
  </si>
  <si>
    <t>Corewell Health South</t>
  </si>
  <si>
    <t>P028</t>
  </si>
  <si>
    <t>Memorial Hermann Southeast Hospital</t>
  </si>
  <si>
    <t>11800 Astoria Blvd</t>
  </si>
  <si>
    <t>77089-6041</t>
  </si>
  <si>
    <t>(281) 929-6100</t>
  </si>
  <si>
    <t>Q986</t>
  </si>
  <si>
    <t>St Bernards Medical Center</t>
  </si>
  <si>
    <t>225 E Washington Ave</t>
  </si>
  <si>
    <t>Jonesboro</t>
  </si>
  <si>
    <t>(870) 972-4100</t>
  </si>
  <si>
    <t>P391</t>
  </si>
  <si>
    <t>Mizell Memorial Hospital Inc</t>
  </si>
  <si>
    <t>702 N Main St</t>
  </si>
  <si>
    <t>Opp</t>
  </si>
  <si>
    <t>36467-1626</t>
  </si>
  <si>
    <t>(334) 493-3541</t>
  </si>
  <si>
    <t>Q765</t>
  </si>
  <si>
    <t>Indiana University Health Morgan Hospital</t>
  </si>
  <si>
    <t>2209 John R Wooden Dr</t>
  </si>
  <si>
    <t>Martinsville</t>
  </si>
  <si>
    <t>46151-1840</t>
  </si>
  <si>
    <t>(765) 349-6400</t>
  </si>
  <si>
    <t>Indiana University Health</t>
  </si>
  <si>
    <t>Brenda Evans</t>
  </si>
  <si>
    <t>brenda.evans@vizientinc.com</t>
  </si>
  <si>
    <t>P025</t>
  </si>
  <si>
    <t>Virtua Health &amp; Rehab Center at Mt Holly</t>
  </si>
  <si>
    <t>62 Richmond Ave</t>
  </si>
  <si>
    <t>(609) 267-8800</t>
  </si>
  <si>
    <t>Rehabilitation Hospital</t>
  </si>
  <si>
    <t>S166</t>
  </si>
  <si>
    <t>Mt Ascutney Hospital and Health Center</t>
  </si>
  <si>
    <t>289 County Rd</t>
  </si>
  <si>
    <t>Windsor</t>
  </si>
  <si>
    <t>(802) 674-6711</t>
  </si>
  <si>
    <t>T540</t>
  </si>
  <si>
    <t>Nebraska Methodist Hospital</t>
  </si>
  <si>
    <t>8303 Dodge St</t>
  </si>
  <si>
    <t>Omaha</t>
  </si>
  <si>
    <t>NE</t>
  </si>
  <si>
    <t>68114-4199</t>
  </si>
  <si>
    <t>(402) 354-4000</t>
  </si>
  <si>
    <t>Nebraska Methodist Health System</t>
  </si>
  <si>
    <t>V212</t>
  </si>
  <si>
    <t>ThedaCare Medical Center-New London</t>
  </si>
  <si>
    <t>1405 Mill St</t>
  </si>
  <si>
    <t>New London</t>
  </si>
  <si>
    <t>54961-2155</t>
  </si>
  <si>
    <t>(920) 531-2030</t>
  </si>
  <si>
    <t>Froedtert ThedaCare Health Inc</t>
  </si>
  <si>
    <t>ThedaCare Inc</t>
  </si>
  <si>
    <t>Q380</t>
  </si>
  <si>
    <t>Northern Michigan Regional Hospital</t>
  </si>
  <si>
    <t>416 Connable Ave</t>
  </si>
  <si>
    <t>Petoskey</t>
  </si>
  <si>
    <t>49770-2212</t>
  </si>
  <si>
    <t>(231) 487-4000</t>
  </si>
  <si>
    <t>McLaren Health</t>
  </si>
  <si>
    <t>R757</t>
  </si>
  <si>
    <t>Methodist Medical Center of Oak Ridge</t>
  </si>
  <si>
    <t>990 Oak Ridge Tpke</t>
  </si>
  <si>
    <t>Oak Ridge</t>
  </si>
  <si>
    <t>37830-6976</t>
  </si>
  <si>
    <t>(865) 481-1000</t>
  </si>
  <si>
    <t>Q253</t>
  </si>
  <si>
    <t>Oakwood Healthcare Inc</t>
  </si>
  <si>
    <t>15500 Lundy Pkwy</t>
  </si>
  <si>
    <t>Dearborn</t>
  </si>
  <si>
    <t>48126-2778</t>
  </si>
  <si>
    <t>(313) 593-7000</t>
  </si>
  <si>
    <t>Corewell Health East</t>
  </si>
  <si>
    <t>Q038</t>
  </si>
  <si>
    <t>INTEGRIS Health Inc</t>
  </si>
  <si>
    <t>3001 Quail Springs Pkwy</t>
  </si>
  <si>
    <t>Oklahoma City</t>
  </si>
  <si>
    <t>OK</t>
  </si>
  <si>
    <t>73134-2640</t>
  </si>
  <si>
    <t>(405) 949-6066</t>
  </si>
  <si>
    <t>HP3 - Rx</t>
  </si>
  <si>
    <t>U906</t>
  </si>
  <si>
    <t>Orlando Regional Medical Center</t>
  </si>
  <si>
    <t>52 W Underwood St</t>
  </si>
  <si>
    <t>Orlando</t>
  </si>
  <si>
    <t>(321) 841-5111</t>
  </si>
  <si>
    <t>W533</t>
  </si>
  <si>
    <t>Ochsner Clinic Foundation</t>
  </si>
  <si>
    <t>1514 Jefferson Hwy</t>
  </si>
  <si>
    <t>New Orleans</t>
  </si>
  <si>
    <t>70121-2429</t>
  </si>
  <si>
    <t>(504) 842-3000</t>
  </si>
  <si>
    <t>T829</t>
  </si>
  <si>
    <t>Our Lady of the Lake Regional Medical Center</t>
  </si>
  <si>
    <t>5000 Hennessy Blvd</t>
  </si>
  <si>
    <t>Baton Rouge</t>
  </si>
  <si>
    <t>(225) 765-6565</t>
  </si>
  <si>
    <t>R665</t>
  </si>
  <si>
    <t>Pennsylvania Hospital</t>
  </si>
  <si>
    <t>800 Spruce St</t>
  </si>
  <si>
    <t>Philadelphia</t>
  </si>
  <si>
    <t>19107-6192</t>
  </si>
  <si>
    <t>(215) 829-3000</t>
  </si>
  <si>
    <t>V151</t>
  </si>
  <si>
    <t>Phoebe Putney Memorial Hospital</t>
  </si>
  <si>
    <t>417 W 3rd Ave</t>
  </si>
  <si>
    <t>Albany</t>
  </si>
  <si>
    <t>31701-1943</t>
  </si>
  <si>
    <t>(229) 312-1000</t>
  </si>
  <si>
    <t>T957</t>
  </si>
  <si>
    <t>OakBend Medical Center</t>
  </si>
  <si>
    <t>1705 Jackson St</t>
  </si>
  <si>
    <t>Richmond</t>
  </si>
  <si>
    <t>77469-3246</t>
  </si>
  <si>
    <t>(281) 341-3000</t>
  </si>
  <si>
    <t>Q389</t>
  </si>
  <si>
    <t>McLaren Port Huron</t>
  </si>
  <si>
    <t>1221 Pine Grove Ave</t>
  </si>
  <si>
    <t>Port Huron</t>
  </si>
  <si>
    <t>48060-3568</t>
  </si>
  <si>
    <t>(810) 987-5000</t>
  </si>
  <si>
    <t>Q171</t>
  </si>
  <si>
    <t>UCHealth Poudre Valley Hospital</t>
  </si>
  <si>
    <t>1024 S Lemay Ave</t>
  </si>
  <si>
    <t>Fort Collins</t>
  </si>
  <si>
    <t>80524-3929</t>
  </si>
  <si>
    <t>(970) 495-7000</t>
  </si>
  <si>
    <t>University of Colorado Health</t>
  </si>
  <si>
    <t>Poudre Valley Health Care Inc</t>
  </si>
  <si>
    <t>P019</t>
  </si>
  <si>
    <t>Southwestern Vermont Medical Center</t>
  </si>
  <si>
    <t>100 Hospital Dr</t>
  </si>
  <si>
    <t>Bennington</t>
  </si>
  <si>
    <t>(802) 442-6361</t>
  </si>
  <si>
    <t>Southwestern Vermont Health Care Corporation</t>
  </si>
  <si>
    <t>P281</t>
  </si>
  <si>
    <t>Northeast Alabama Regional Medical Center</t>
  </si>
  <si>
    <t>400 E 10th St</t>
  </si>
  <si>
    <t>Anniston</t>
  </si>
  <si>
    <t>36207-4716</t>
  </si>
  <si>
    <t>(256) 235-5121</t>
  </si>
  <si>
    <t>Q785</t>
  </si>
  <si>
    <t>1100 Reid Pkwy</t>
  </si>
  <si>
    <t>47374-1157</t>
  </si>
  <si>
    <t>(765) 983-3000</t>
  </si>
  <si>
    <t>V783</t>
  </si>
  <si>
    <t>Hiawatha Hospital Association Inc</t>
  </si>
  <si>
    <t>300 Utah St</t>
  </si>
  <si>
    <t>Hiawatha</t>
  </si>
  <si>
    <t>KS</t>
  </si>
  <si>
    <t>66434-2314</t>
  </si>
  <si>
    <t>(785) 742-2131</t>
  </si>
  <si>
    <t>University of Kansas Hospital</t>
  </si>
  <si>
    <t>W471</t>
  </si>
  <si>
    <t>OhioHealth</t>
  </si>
  <si>
    <t>3430 Ohio Health Pkwy</t>
  </si>
  <si>
    <t>43202-1575</t>
  </si>
  <si>
    <t>(614) 544-4455</t>
  </si>
  <si>
    <t>Brent Zaremski</t>
  </si>
  <si>
    <t>brent.zaremski@vizientinc.com</t>
  </si>
  <si>
    <t>OhioHealth Network</t>
  </si>
  <si>
    <t>Q207</t>
  </si>
  <si>
    <t>UCHealth Yampa Valley Medical Center</t>
  </si>
  <si>
    <t>1024 Central Park Dr</t>
  </si>
  <si>
    <t>Steamboat Springs</t>
  </si>
  <si>
    <t>80487-8813</t>
  </si>
  <si>
    <t>(970) 879-1322</t>
  </si>
  <si>
    <t>V660</t>
  </si>
  <si>
    <t>Mercy Hospital Ardmore</t>
  </si>
  <si>
    <t>1011 14th Ave Nw</t>
  </si>
  <si>
    <t>Ardmore</t>
  </si>
  <si>
    <t>73401-1828</t>
  </si>
  <si>
    <t>(405) 223-5400</t>
  </si>
  <si>
    <t>Q398</t>
  </si>
  <si>
    <t>Covenant Medical Center-Harrison Campus</t>
  </si>
  <si>
    <t>1447 N Harrison St</t>
  </si>
  <si>
    <t>Saginaw</t>
  </si>
  <si>
    <t>48602-4727</t>
  </si>
  <si>
    <t>(989) 771-4000</t>
  </si>
  <si>
    <t>Covenant HealthCare System</t>
  </si>
  <si>
    <t>W429</t>
  </si>
  <si>
    <t>Scripps Health</t>
  </si>
  <si>
    <t>4275 Campus Point Ct</t>
  </si>
  <si>
    <t>San Diego</t>
  </si>
  <si>
    <t>92121-1513</t>
  </si>
  <si>
    <t>(858) 678-7200</t>
  </si>
  <si>
    <t>P021</t>
  </si>
  <si>
    <t>LeConte Medical Center</t>
  </si>
  <si>
    <t>742 Middle Creek Rd</t>
  </si>
  <si>
    <t>Sevierville</t>
  </si>
  <si>
    <t>37862-5019</t>
  </si>
  <si>
    <t>(865) 429-6100</t>
  </si>
  <si>
    <t>R578</t>
  </si>
  <si>
    <t>Guthrie Troy Community Hospital</t>
  </si>
  <si>
    <t>275 Guthrie Dr</t>
  </si>
  <si>
    <t>Troy</t>
  </si>
  <si>
    <t>(570) 297-2121</t>
  </si>
  <si>
    <t>The Guthrie Clinic</t>
  </si>
  <si>
    <t>Ashley Nairn</t>
  </si>
  <si>
    <t>ashley.nairn@vizientinc.com</t>
  </si>
  <si>
    <t>P007</t>
  </si>
  <si>
    <t>Singing River Hospital</t>
  </si>
  <si>
    <t>2809 Denny Ave</t>
  </si>
  <si>
    <t>Pascagoula</t>
  </si>
  <si>
    <t>39581-5300</t>
  </si>
  <si>
    <t>(228) 809-5000</t>
  </si>
  <si>
    <t>Singing River Health System</t>
  </si>
  <si>
    <t>Hunt Graham</t>
  </si>
  <si>
    <t>hunt.graham@vizientinc.com</t>
  </si>
  <si>
    <t>T457</t>
  </si>
  <si>
    <t>Sanford USD Medical Center</t>
  </si>
  <si>
    <t>1305 W 18th St</t>
  </si>
  <si>
    <t>Sioux Falls</t>
  </si>
  <si>
    <t>SD</t>
  </si>
  <si>
    <t>57105-0401</t>
  </si>
  <si>
    <t>(605) 333-1000</t>
  </si>
  <si>
    <t>Sanford Sioux Falls Market</t>
  </si>
  <si>
    <t>S764</t>
  </si>
  <si>
    <t>Hudson Hospital Opco LLC d/b/a/ CarePoint Health - Christ Hospital</t>
  </si>
  <si>
    <t>176 Palisade Ave</t>
  </si>
  <si>
    <t>Jersey City</t>
  </si>
  <si>
    <t>(201) 795-8200</t>
  </si>
  <si>
    <t>CarePoint Health Management Associates LLC</t>
  </si>
  <si>
    <t>Joan Cardile</t>
  </si>
  <si>
    <t>joan.cardile@vizientinc.com</t>
  </si>
  <si>
    <t>V385</t>
  </si>
  <si>
    <t>SGMC Health</t>
  </si>
  <si>
    <t>2501 N Patterson St</t>
  </si>
  <si>
    <t>Valdosta</t>
  </si>
  <si>
    <t>31602-1785</t>
  </si>
  <si>
    <t>(229) 259-4165</t>
  </si>
  <si>
    <t>Karlyn Dauplaise</t>
  </si>
  <si>
    <t>karlyn.dauplaise@vizientinc.com</t>
  </si>
  <si>
    <t>P020</t>
  </si>
  <si>
    <t>Willis-Knighton South</t>
  </si>
  <si>
    <t>2510 Bert Kouns Loop</t>
  </si>
  <si>
    <t>Shreveport</t>
  </si>
  <si>
    <t>71118-3180</t>
  </si>
  <si>
    <t>(318) 212-5100</t>
  </si>
  <si>
    <t>Willis-Knighton Medical Center</t>
  </si>
  <si>
    <t>S752</t>
  </si>
  <si>
    <t>Southern Ocean Medical Center</t>
  </si>
  <si>
    <t>1140 Rt 72 W</t>
  </si>
  <si>
    <t>Manahawkin</t>
  </si>
  <si>
    <t>(609) 597-6011</t>
  </si>
  <si>
    <t>Hackensack Meridian Health System Inc</t>
  </si>
  <si>
    <t>R596</t>
  </si>
  <si>
    <t>Heritage Valley Sewickley</t>
  </si>
  <si>
    <t>720 Blackburn Rd</t>
  </si>
  <si>
    <t>Sewickley</t>
  </si>
  <si>
    <t>15143-1498</t>
  </si>
  <si>
    <t>(412) 741-6600</t>
  </si>
  <si>
    <t>Consolidated Supply Chain Services</t>
  </si>
  <si>
    <t>Heritage Valley Health System</t>
  </si>
  <si>
    <t>Joe Sanders</t>
  </si>
  <si>
    <t>joe.sanders@vizientinc.com</t>
  </si>
  <si>
    <t>T670</t>
  </si>
  <si>
    <t>Saint Lukes North Hospital - Smithville</t>
  </si>
  <si>
    <t>601 S 169 Hwy</t>
  </si>
  <si>
    <t>Smithville</t>
  </si>
  <si>
    <t>(816) 532-3700</t>
  </si>
  <si>
    <t>Saint Lukes North Hospital - Barry Rd</t>
  </si>
  <si>
    <t>T100</t>
  </si>
  <si>
    <t>Saint Lukes Hospital</t>
  </si>
  <si>
    <t>4401 Wornall Rd</t>
  </si>
  <si>
    <t>Kansas City</t>
  </si>
  <si>
    <t>64111-3238</t>
  </si>
  <si>
    <t>(913) 317-7000</t>
  </si>
  <si>
    <t>Saint Lukes Health System</t>
  </si>
  <si>
    <t>T750</t>
  </si>
  <si>
    <t>St Francis Medical Center Inc</t>
  </si>
  <si>
    <t>309 Jackson St</t>
  </si>
  <si>
    <t>Monroe</t>
  </si>
  <si>
    <t>71201-7407</t>
  </si>
  <si>
    <t>(318) 327-4000</t>
  </si>
  <si>
    <t>V687</t>
  </si>
  <si>
    <t>Stormont Vail Health</t>
  </si>
  <si>
    <t>1500 Sw 10th Ave</t>
  </si>
  <si>
    <t>Topeka</t>
  </si>
  <si>
    <t>66604-1301</t>
  </si>
  <si>
    <t>(785) 354-6000</t>
  </si>
  <si>
    <t>P904</t>
  </si>
  <si>
    <t>2200 River Plaza Dr</t>
  </si>
  <si>
    <t>Sacramento</t>
  </si>
  <si>
    <t>95833-4134</t>
  </si>
  <si>
    <t>(916) 733-8800</t>
  </si>
  <si>
    <t>U851</t>
  </si>
  <si>
    <t>Tallahassee Memorial HealthCare Inc</t>
  </si>
  <si>
    <t>1300 Miccosukee Rd</t>
  </si>
  <si>
    <t>Tallahassee</t>
  </si>
  <si>
    <t>32308-5054</t>
  </si>
  <si>
    <t>(850) 431-1155</t>
  </si>
  <si>
    <t>R487</t>
  </si>
  <si>
    <t>UM Shore Medical Center at Easton</t>
  </si>
  <si>
    <t>219 S Washington St</t>
  </si>
  <si>
    <t>Easton</t>
  </si>
  <si>
    <t>MD</t>
  </si>
  <si>
    <t>21601-2996</t>
  </si>
  <si>
    <t>(410) 822-1000</t>
  </si>
  <si>
    <t>University of Maryland Medical System</t>
  </si>
  <si>
    <t>Kristin Burton</t>
  </si>
  <si>
    <t>kristin.burton@vizientinc.com</t>
  </si>
  <si>
    <t>Q481</t>
  </si>
  <si>
    <t>The Christ Hospital</t>
  </si>
  <si>
    <t>2139 Auburn Ave</t>
  </si>
  <si>
    <t>Cincinnati</t>
  </si>
  <si>
    <t>45219-2989</t>
  </si>
  <si>
    <t>(513) 585-2000</t>
  </si>
  <si>
    <t>R968</t>
  </si>
  <si>
    <t>Kirby Medical Center</t>
  </si>
  <si>
    <t>1000 Medical Center Dr</t>
  </si>
  <si>
    <t>Monticello</t>
  </si>
  <si>
    <t>(217) 762-2115</t>
  </si>
  <si>
    <t>W510</t>
  </si>
  <si>
    <t>The Johns Hopkins Hospital</t>
  </si>
  <si>
    <t>600 N Wolfe St</t>
  </si>
  <si>
    <t>Baltimore</t>
  </si>
  <si>
    <t>21287-0005</t>
  </si>
  <si>
    <t>(410) 955-5000</t>
  </si>
  <si>
    <t>Johns Hopkins Health System</t>
  </si>
  <si>
    <t>Brian Wallace</t>
  </si>
  <si>
    <t>brian.wallace@vizientinc.com</t>
  </si>
  <si>
    <t>P336</t>
  </si>
  <si>
    <t>Thomas Hospital</t>
  </si>
  <si>
    <t>750 Morphy Ave</t>
  </si>
  <si>
    <t>Fairhope</t>
  </si>
  <si>
    <t>36532-1899</t>
  </si>
  <si>
    <t>(251) 928-2375</t>
  </si>
  <si>
    <t>U486</t>
  </si>
  <si>
    <t>Mayo Clinic Health System in St James</t>
  </si>
  <si>
    <t>1101 Moulton And Parsons Dr</t>
  </si>
  <si>
    <t>Saint James</t>
  </si>
  <si>
    <t>56081-5550</t>
  </si>
  <si>
    <t>(507) 375-3391</t>
  </si>
  <si>
    <t>Mayo Clinic</t>
  </si>
  <si>
    <t>Misty Eicher</t>
  </si>
  <si>
    <t>misty.eicher@vizientinc.com</t>
  </si>
  <si>
    <t>W499</t>
  </si>
  <si>
    <t>TMC HealthCare</t>
  </si>
  <si>
    <t>5301 E Grant Rd</t>
  </si>
  <si>
    <t>Tucson</t>
  </si>
  <si>
    <t>85712-2805</t>
  </si>
  <si>
    <t>(520) 327-5461</t>
  </si>
  <si>
    <t>Mike Jordan</t>
  </si>
  <si>
    <t>mike.jordan@vizientinc.com</t>
  </si>
  <si>
    <t>ProvSource Aggregation</t>
  </si>
  <si>
    <t>West Coast Purchasing Coalition (WCPC)</t>
  </si>
  <si>
    <t>WCPC - RX</t>
  </si>
  <si>
    <t>P536</t>
  </si>
  <si>
    <t>Baptist Health Medical Center - Arkadelphia</t>
  </si>
  <si>
    <t>3050 Twin Rivers Dr</t>
  </si>
  <si>
    <t>Arkadelphia</t>
  </si>
  <si>
    <t>71923-0098</t>
  </si>
  <si>
    <t>(870) 245-2622</t>
  </si>
  <si>
    <t>Q802</t>
  </si>
  <si>
    <t>Union Hospital-IN</t>
  </si>
  <si>
    <t>1606 N 7th St</t>
  </si>
  <si>
    <t>Terre Haute</t>
  </si>
  <si>
    <t>47804-2780</t>
  </si>
  <si>
    <t>(812) 238-7000</t>
  </si>
  <si>
    <t>Nancy Schultz</t>
  </si>
  <si>
    <t>nancy.schultz@vizientinc.com</t>
  </si>
  <si>
    <t>Q312</t>
  </si>
  <si>
    <t>Corewell Health Greenville Hospital</t>
  </si>
  <si>
    <t>615 S Bower St</t>
  </si>
  <si>
    <t>Greenville</t>
  </si>
  <si>
    <t>48838-2614</t>
  </si>
  <si>
    <t>(616) 754-4691</t>
  </si>
  <si>
    <t>Q700</t>
  </si>
  <si>
    <t>Union Hospital Clinton</t>
  </si>
  <si>
    <t>801 S Main St</t>
  </si>
  <si>
    <t>Clinton</t>
  </si>
  <si>
    <t>47842-2261</t>
  </si>
  <si>
    <t>(765) 832-1234</t>
  </si>
  <si>
    <t>Q333</t>
  </si>
  <si>
    <t>Bronson Healthcare Group Inc</t>
  </si>
  <si>
    <t>601 John St</t>
  </si>
  <si>
    <t>Kalamazoo</t>
  </si>
  <si>
    <t>49007-5341</t>
  </si>
  <si>
    <t>(269) 341-6000</t>
  </si>
  <si>
    <t>Hospital Network Healthcare Services, LLC</t>
  </si>
  <si>
    <t>Q503</t>
  </si>
  <si>
    <t>Cleveland Clinic - Fairview Hospital</t>
  </si>
  <si>
    <t>18101 Lorain Ave</t>
  </si>
  <si>
    <t>Cleveland</t>
  </si>
  <si>
    <t>(216) 476-7000</t>
  </si>
  <si>
    <t>P539</t>
  </si>
  <si>
    <t>White River Medical Center</t>
  </si>
  <si>
    <t>1710 Harrison St</t>
  </si>
  <si>
    <t>Batesville</t>
  </si>
  <si>
    <t>72501-7303</t>
  </si>
  <si>
    <t>(501) 793-1200</t>
  </si>
  <si>
    <t>Matt Sullivan</t>
  </si>
  <si>
    <t>matt.sullivan@vizientinc.com</t>
  </si>
  <si>
    <t>Arkansas Hospital Association</t>
  </si>
  <si>
    <t>Q396</t>
  </si>
  <si>
    <t>3601 W 13 Mile Rd</t>
  </si>
  <si>
    <t>Royal Oak</t>
  </si>
  <si>
    <t>48073-6769</t>
  </si>
  <si>
    <t>(248) 551-5000</t>
  </si>
  <si>
    <t>R851</t>
  </si>
  <si>
    <t>Williamson Health</t>
  </si>
  <si>
    <t>4321 Carothers Pkwy</t>
  </si>
  <si>
    <t>Franklin</t>
  </si>
  <si>
    <t>37067-8542</t>
  </si>
  <si>
    <t>(615) 791-0500</t>
  </si>
  <si>
    <t>Kevin Strong</t>
  </si>
  <si>
    <t>kevin.strong@vizientinc.com</t>
  </si>
  <si>
    <t>T821</t>
  </si>
  <si>
    <t>Bunkie General Hospital</t>
  </si>
  <si>
    <t>427 Evergreen St</t>
  </si>
  <si>
    <t>Bunkie</t>
  </si>
  <si>
    <t>71322-3901</t>
  </si>
  <si>
    <t>(318) 346-6681</t>
  </si>
  <si>
    <t>Louisiana Hospital Association</t>
  </si>
  <si>
    <t>T700</t>
  </si>
  <si>
    <t>2600 Greenwood Rd</t>
  </si>
  <si>
    <t>71103-3908</t>
  </si>
  <si>
    <t>(318) 212-4000</t>
  </si>
  <si>
    <t>W508</t>
  </si>
  <si>
    <t>Yale New Haven Health</t>
  </si>
  <si>
    <t>20 York St</t>
  </si>
  <si>
    <t>New Haven</t>
  </si>
  <si>
    <t>CT</t>
  </si>
  <si>
    <t>(203) 688-4608</t>
  </si>
  <si>
    <t>U622</t>
  </si>
  <si>
    <t>Ridgeview Sibley Medical Center</t>
  </si>
  <si>
    <t>601 W Chandler St</t>
  </si>
  <si>
    <t>Arlington</t>
  </si>
  <si>
    <t>55307-2127</t>
  </si>
  <si>
    <t>(507) 964-2271</t>
  </si>
  <si>
    <t>Ridgeview Medical Center</t>
  </si>
  <si>
    <t>Q348</t>
  </si>
  <si>
    <t>Corewell Health Ludington Hospital</t>
  </si>
  <si>
    <t>1 N Atkinson Dr</t>
  </si>
  <si>
    <t>DBA Memorial Medical Center</t>
  </si>
  <si>
    <t>Ludington</t>
  </si>
  <si>
    <t>49431-1906</t>
  </si>
  <si>
    <t>(231) 845-2254</t>
  </si>
  <si>
    <t>U546</t>
  </si>
  <si>
    <t>Mayo Clinic Health System in Mankato</t>
  </si>
  <si>
    <t>1025 Marsh St</t>
  </si>
  <si>
    <t>Mankato</t>
  </si>
  <si>
    <t>56001-4752</t>
  </si>
  <si>
    <t>(507) 625-4031</t>
  </si>
  <si>
    <t>V319</t>
  </si>
  <si>
    <t>Windom Area Health</t>
  </si>
  <si>
    <t>2150 Hospital Dr</t>
  </si>
  <si>
    <t>Windom</t>
  </si>
  <si>
    <t>56101-1287</t>
  </si>
  <si>
    <t>(507) 831-2400</t>
  </si>
  <si>
    <t>Sanford Connect Partners</t>
  </si>
  <si>
    <t>Q517</t>
  </si>
  <si>
    <t>UH Cleveland Medical Center</t>
  </si>
  <si>
    <t>11100 Euclid Ave</t>
  </si>
  <si>
    <t>44106-2602</t>
  </si>
  <si>
    <t>(216) 844-1000</t>
  </si>
  <si>
    <t>Q558</t>
  </si>
  <si>
    <t>Cleveland Clinic - Marymount Hospital</t>
  </si>
  <si>
    <t>12300 Mccracken Rd</t>
  </si>
  <si>
    <t>Garfield Heights</t>
  </si>
  <si>
    <t>44125-2914</t>
  </si>
  <si>
    <t>(216) 581-0500</t>
  </si>
  <si>
    <t>U504</t>
  </si>
  <si>
    <t>CentraCare Redwood Hospital</t>
  </si>
  <si>
    <t>101 Caring Way</t>
  </si>
  <si>
    <t>Redwood Falls</t>
  </si>
  <si>
    <t>56283-2624</t>
  </si>
  <si>
    <t>(507) 637-4500</t>
  </si>
  <si>
    <t>CentraCare Health</t>
  </si>
  <si>
    <t>Dawn Hilde</t>
  </si>
  <si>
    <t>dawn.hilde@vizientinc.com</t>
  </si>
  <si>
    <t>Q910</t>
  </si>
  <si>
    <t>Butler Health System</t>
  </si>
  <si>
    <t>1 Hospital Way</t>
  </si>
  <si>
    <t>Butler</t>
  </si>
  <si>
    <t>16001-4670</t>
  </si>
  <si>
    <t>(724) 283-6666</t>
  </si>
  <si>
    <t>S040</t>
  </si>
  <si>
    <t>Endeavor Health - Elmhurst Hospital</t>
  </si>
  <si>
    <t>155 E Brush Hill Rd</t>
  </si>
  <si>
    <t>Elmhurst</t>
  </si>
  <si>
    <t>(630) 833-1400</t>
  </si>
  <si>
    <t>Endeavor Health - Edward Elmhurst Healthcare</t>
  </si>
  <si>
    <t>R475</t>
  </si>
  <si>
    <t>Harford Memorial Hospital</t>
  </si>
  <si>
    <t>501 S Union Ave</t>
  </si>
  <si>
    <t>Havre De Grace</t>
  </si>
  <si>
    <t>21078-3493</t>
  </si>
  <si>
    <t>(443) 843-5000</t>
  </si>
  <si>
    <t>Q194</t>
  </si>
  <si>
    <t>Longmont United Hospital</t>
  </si>
  <si>
    <t>1950 W Mountain View Ave</t>
  </si>
  <si>
    <t>Longmont</t>
  </si>
  <si>
    <t>(303) 651-5111</t>
  </si>
  <si>
    <t>CommonSpirit Health</t>
  </si>
  <si>
    <t>R628</t>
  </si>
  <si>
    <t>St Clair Memorial Hospital</t>
  </si>
  <si>
    <t>1000 Bower Hill Rd</t>
  </si>
  <si>
    <t>15243-1899</t>
  </si>
  <si>
    <t>(412) 561-4900</t>
  </si>
  <si>
    <t>St Clair Health Corporation</t>
  </si>
  <si>
    <t>S647</t>
  </si>
  <si>
    <t>Southampton Memorial Hospital</t>
  </si>
  <si>
    <t>100 Fairview Dr</t>
  </si>
  <si>
    <t>(757) 569-6100</t>
  </si>
  <si>
    <t>Community Health Systems Inc</t>
  </si>
  <si>
    <t>Bill Borgstrom</t>
  </si>
  <si>
    <t>william.borgstrom@vizientinc.com</t>
  </si>
  <si>
    <t>T190</t>
  </si>
  <si>
    <t>Princeton Community Hospital</t>
  </si>
  <si>
    <t>122 12th St Ext</t>
  </si>
  <si>
    <t>Princeton</t>
  </si>
  <si>
    <t>24740-2352</t>
  </si>
  <si>
    <t>(304) 487-7000</t>
  </si>
  <si>
    <t>S677</t>
  </si>
  <si>
    <t>Inova-Alexandria Hospital</t>
  </si>
  <si>
    <t>4320 Seminary Rd</t>
  </si>
  <si>
    <t>Alexandria</t>
  </si>
  <si>
    <t>22304-1535</t>
  </si>
  <si>
    <t>(703) 504-3000</t>
  </si>
  <si>
    <t>Inova Health System</t>
  </si>
  <si>
    <t>U087</t>
  </si>
  <si>
    <t>Memorial Hermann Northeast Hospital</t>
  </si>
  <si>
    <t>18951 N Memorial Dr</t>
  </si>
  <si>
    <t>Humble</t>
  </si>
  <si>
    <t>77338-4217</t>
  </si>
  <si>
    <t>(281) 540-7700</t>
  </si>
  <si>
    <t>R990</t>
  </si>
  <si>
    <t>Northwestern Medicine Lake Forest Hospital</t>
  </si>
  <si>
    <t>1000 N Westmoreland Rd</t>
  </si>
  <si>
    <t>Lake Forest</t>
  </si>
  <si>
    <t>60045-1658</t>
  </si>
  <si>
    <t>(847) 234-5600</t>
  </si>
  <si>
    <t>Northwestern Memorial HealthCare</t>
  </si>
  <si>
    <t>Tiffany Cloeter</t>
  </si>
  <si>
    <t>tiffany.cloeter@vizientinc.com</t>
  </si>
  <si>
    <t>Q234</t>
  </si>
  <si>
    <t>McLaren - Bay Regional</t>
  </si>
  <si>
    <t>1900 Columbus Ave</t>
  </si>
  <si>
    <t>Bay City</t>
  </si>
  <si>
    <t>48708-6831</t>
  </si>
  <si>
    <t>(989) 894-3000</t>
  </si>
  <si>
    <t>P505</t>
  </si>
  <si>
    <t>Mt Graham Regional Medical Center</t>
  </si>
  <si>
    <t>1600 S 20th Ave</t>
  </si>
  <si>
    <t>Safford</t>
  </si>
  <si>
    <t>85546-4011</t>
  </si>
  <si>
    <t>(928) 348-4000</t>
  </si>
  <si>
    <t>S609</t>
  </si>
  <si>
    <t>Sentara Leigh Hospital</t>
  </si>
  <si>
    <t>830 Kempsville Rd</t>
  </si>
  <si>
    <t>Norfolk</t>
  </si>
  <si>
    <t>23502-3920</t>
  </si>
  <si>
    <t>(757) 261-6700</t>
  </si>
  <si>
    <t>S607</t>
  </si>
  <si>
    <t>Sentara Norfolk General Hospital</t>
  </si>
  <si>
    <t>600 Gresham Dr</t>
  </si>
  <si>
    <t>23507-1904</t>
  </si>
  <si>
    <t>(757) 388-3000</t>
  </si>
  <si>
    <t>W540</t>
  </si>
  <si>
    <t>701 N 1st St</t>
  </si>
  <si>
    <t>Springfield</t>
  </si>
  <si>
    <t>62781-0001</t>
  </si>
  <si>
    <t>(217) 788-3000</t>
  </si>
  <si>
    <t>R959</t>
  </si>
  <si>
    <t>Carle BroMenn Medical Center</t>
  </si>
  <si>
    <t>1304 Franklin Ave</t>
  </si>
  <si>
    <t>Normal</t>
  </si>
  <si>
    <t>61761-3558</t>
  </si>
  <si>
    <t>(309) 454-1400</t>
  </si>
  <si>
    <t>U221</t>
  </si>
  <si>
    <t>Bonner General Hospital</t>
  </si>
  <si>
    <t>520 N 3rd Ave</t>
  </si>
  <si>
    <t>Sandpoint</t>
  </si>
  <si>
    <t>83864-1507</t>
  </si>
  <si>
    <t>(208) 263-1441</t>
  </si>
  <si>
    <t>James Hanley</t>
  </si>
  <si>
    <t>james.hanley@vizientinc.com</t>
  </si>
  <si>
    <t>Idaho Community Health Network</t>
  </si>
  <si>
    <t>S000</t>
  </si>
  <si>
    <t>Jacksonville Memorial Hospital</t>
  </si>
  <si>
    <t>1600 W Walnut St</t>
  </si>
  <si>
    <t>62650-1199</t>
  </si>
  <si>
    <t>(217) 245-9541</t>
  </si>
  <si>
    <t>U142</t>
  </si>
  <si>
    <t>Cheyenne Regional Medical Center</t>
  </si>
  <si>
    <t>214 E 23rd St</t>
  </si>
  <si>
    <t>Cheyenne</t>
  </si>
  <si>
    <t>WY</t>
  </si>
  <si>
    <t>(307) 634-2273</t>
  </si>
  <si>
    <t>S178</t>
  </si>
  <si>
    <t>Medical Center Hospital of Vermont Campus</t>
  </si>
  <si>
    <t>111 Colchester Avenue</t>
  </si>
  <si>
    <t>Burlington</t>
  </si>
  <si>
    <t>(802) 656-2345</t>
  </si>
  <si>
    <t>The University of Vermont Medical Center Inc</t>
  </si>
  <si>
    <t>Lina Keogh</t>
  </si>
  <si>
    <t>lina.keogh@vizientinc.com</t>
  </si>
  <si>
    <t>S181</t>
  </si>
  <si>
    <t>Central Vermont Medical Center Inc</t>
  </si>
  <si>
    <t>130 Fisher Rd</t>
  </si>
  <si>
    <t>Berlin</t>
  </si>
  <si>
    <t>(802) 371-4100</t>
  </si>
  <si>
    <t>S219</t>
  </si>
  <si>
    <t>Elliot Hospital</t>
  </si>
  <si>
    <t>1 Elliot Way</t>
  </si>
  <si>
    <t>Manchester</t>
  </si>
  <si>
    <t>(603) 669-5300</t>
  </si>
  <si>
    <t>S173</t>
  </si>
  <si>
    <t>Rutland Regional Medical Center</t>
  </si>
  <si>
    <t>160 Allen St</t>
  </si>
  <si>
    <t>Rutland</t>
  </si>
  <si>
    <t>(802) 775-7111</t>
  </si>
  <si>
    <t>Rutland Regional Health Services Inc</t>
  </si>
  <si>
    <t>Kevin Fitzgerald</t>
  </si>
  <si>
    <t>kevin.fitzgerald@vizientinc.com</t>
  </si>
  <si>
    <t>V637</t>
  </si>
  <si>
    <t>Duncan Regional Hospital Inc</t>
  </si>
  <si>
    <t>2621 Whisenant Dr</t>
  </si>
  <si>
    <t>Duncan</t>
  </si>
  <si>
    <t>73533-1698</t>
  </si>
  <si>
    <t>(580) 252-5300</t>
  </si>
  <si>
    <t>Sonya Klein</t>
  </si>
  <si>
    <t>sonya.klein@vizientinc.com</t>
  </si>
  <si>
    <t>Q565</t>
  </si>
  <si>
    <t>Kettering Health Hamilton</t>
  </si>
  <si>
    <t>630 E Eaton Ave</t>
  </si>
  <si>
    <t>Hamilton</t>
  </si>
  <si>
    <t>(513) 867-2000</t>
  </si>
  <si>
    <t>Kettering Health</t>
  </si>
  <si>
    <t>Excelerate – PPI</t>
  </si>
  <si>
    <t>Adventist West Collaborative</t>
  </si>
  <si>
    <t>Q674</t>
  </si>
  <si>
    <t>Kettering Health Greene Memorial Hospital</t>
  </si>
  <si>
    <t>1141 N Monroe Dr</t>
  </si>
  <si>
    <t>Xenia</t>
  </si>
  <si>
    <t>45385-1619</t>
  </si>
  <si>
    <t>(937) 372-8011</t>
  </si>
  <si>
    <t>Q470</t>
  </si>
  <si>
    <t>OhioHealth Southeastern Medical Center</t>
  </si>
  <si>
    <t>1341 Clark St</t>
  </si>
  <si>
    <t>Cambridge</t>
  </si>
  <si>
    <t>43725-9614</t>
  </si>
  <si>
    <t>(740) 439-3561</t>
  </si>
  <si>
    <t>Q584</t>
  </si>
  <si>
    <t>OhioHealth Mansfield Hospital</t>
  </si>
  <si>
    <t>335 Glessner Ave</t>
  </si>
  <si>
    <t>44903-2269</t>
  </si>
  <si>
    <t>(419) 526-8000</t>
  </si>
  <si>
    <t>OhioHealth MedCentral Mansfield Hospital Holding Company</t>
  </si>
  <si>
    <t>Q627</t>
  </si>
  <si>
    <t>Southern Ohio Medical Center</t>
  </si>
  <si>
    <t>1805 27th St</t>
  </si>
  <si>
    <t>Portsmouth</t>
  </si>
  <si>
    <t>45662-2640</t>
  </si>
  <si>
    <t>(740) 356-5000</t>
  </si>
  <si>
    <t>Q548</t>
  </si>
  <si>
    <t>Cleveland Clinic - Union Hospital</t>
  </si>
  <si>
    <t>659 Boulevard St</t>
  </si>
  <si>
    <t>Dover</t>
  </si>
  <si>
    <t>44622-2077</t>
  </si>
  <si>
    <t>(330) 343-3311</t>
  </si>
  <si>
    <t>Q603</t>
  </si>
  <si>
    <t>OhioHealth Morrow County Hospital</t>
  </si>
  <si>
    <t>651 W Marion Rd</t>
  </si>
  <si>
    <t>Mount Gilead</t>
  </si>
  <si>
    <t>43338-1027</t>
  </si>
  <si>
    <t>(419) 946-5015</t>
  </si>
  <si>
    <t>Q570</t>
  </si>
  <si>
    <t>OhioHealth Hardin Memorial Hospital</t>
  </si>
  <si>
    <t>921 E Franklin St</t>
  </si>
  <si>
    <t>Kenton</t>
  </si>
  <si>
    <t>43326-2020</t>
  </si>
  <si>
    <t>(419) 673-0761</t>
  </si>
  <si>
    <t>R000</t>
  </si>
  <si>
    <t>Baptist Health-Fort Smith</t>
  </si>
  <si>
    <t>1001 Towson Ave</t>
  </si>
  <si>
    <t>Fort Smith</t>
  </si>
  <si>
    <t>72901-4921</t>
  </si>
  <si>
    <t>(479) 441-4000</t>
  </si>
  <si>
    <t>P029</t>
  </si>
  <si>
    <t>Memorial Hermann Greater Heights Hospital</t>
  </si>
  <si>
    <t>1635 N Loop W</t>
  </si>
  <si>
    <t>77008-1532</t>
  </si>
  <si>
    <t>(713) 867-2000</t>
  </si>
  <si>
    <t>V666</t>
  </si>
  <si>
    <t>Jackson County Memorial Hospital</t>
  </si>
  <si>
    <t>1200 E Pecan St</t>
  </si>
  <si>
    <t>Altus</t>
  </si>
  <si>
    <t>73521-6192</t>
  </si>
  <si>
    <t>(580) 379-5000</t>
  </si>
  <si>
    <t>Q000</t>
  </si>
  <si>
    <t>St Josephs Medical Center of Stockton</t>
  </si>
  <si>
    <t>1800 N California St</t>
  </si>
  <si>
    <t>Stockton</t>
  </si>
  <si>
    <t>95204-6019</t>
  </si>
  <si>
    <t>(209) 943-2000</t>
  </si>
  <si>
    <t>W148</t>
  </si>
  <si>
    <t>Baptist Memorial Hospital - Carroll County</t>
  </si>
  <si>
    <t>631 Rb Wilson Dr</t>
  </si>
  <si>
    <t>Huntingdon</t>
  </si>
  <si>
    <t>38344-1727</t>
  </si>
  <si>
    <t>(731) 986-4461</t>
  </si>
  <si>
    <t>R998</t>
  </si>
  <si>
    <t>Silver Cross Hospital Corp</t>
  </si>
  <si>
    <t>1900 Silver Cross Blvd</t>
  </si>
  <si>
    <t>New Lenox</t>
  </si>
  <si>
    <t>(815) 300-1100</t>
  </si>
  <si>
    <t>V571</t>
  </si>
  <si>
    <t>Eastern Oklahoma Medical Center</t>
  </si>
  <si>
    <t>105 Wall Street</t>
  </si>
  <si>
    <t>Poteau</t>
  </si>
  <si>
    <t>(918) 647-8161</t>
  </si>
  <si>
    <t>Northeastern Health System-Tahlequah</t>
  </si>
  <si>
    <t>Joe Hill</t>
  </si>
  <si>
    <t>joe.hill@vizientinc.com</t>
  </si>
  <si>
    <t>T321</t>
  </si>
  <si>
    <t>Jennie Stuart Medical Center</t>
  </si>
  <si>
    <t>320 W 18th St</t>
  </si>
  <si>
    <t>Hopkinsville</t>
  </si>
  <si>
    <t>KY</t>
  </si>
  <si>
    <t>(502) 887-0100</t>
  </si>
  <si>
    <t>P456</t>
  </si>
  <si>
    <t>Copper Queen Community Hospital</t>
  </si>
  <si>
    <t>101 Cole Ave</t>
  </si>
  <si>
    <t>Bisbee</t>
  </si>
  <si>
    <t>85603-1327</t>
  </si>
  <si>
    <t>(520) 432-5383</t>
  </si>
  <si>
    <t>T771</t>
  </si>
  <si>
    <t>Lake Charles Memorial Hospital</t>
  </si>
  <si>
    <t>1701 Oak Park Blvd</t>
  </si>
  <si>
    <t>Lake Charles</t>
  </si>
  <si>
    <t>(337) 494-3000</t>
  </si>
  <si>
    <t>V356</t>
  </si>
  <si>
    <t>Magnolia Regional Health Center</t>
  </si>
  <si>
    <t>611 Alcorn Dr</t>
  </si>
  <si>
    <t>Corinth</t>
  </si>
  <si>
    <t>38834-9321</t>
  </si>
  <si>
    <t>(662) 293-1000</t>
  </si>
  <si>
    <t>U959</t>
  </si>
  <si>
    <t>Baptist Memorial Hospital - North Mississippi</t>
  </si>
  <si>
    <t>1100 Belk Blvd</t>
  </si>
  <si>
    <t>Oxford</t>
  </si>
  <si>
    <t>38655-5242</t>
  </si>
  <si>
    <t>(662) 232-8100</t>
  </si>
  <si>
    <t>U962</t>
  </si>
  <si>
    <t>Baptist Memorial Hospital - Union County</t>
  </si>
  <si>
    <t>200 State St</t>
  </si>
  <si>
    <t>New Albany</t>
  </si>
  <si>
    <t>(662) 538-7631</t>
  </si>
  <si>
    <t>P115</t>
  </si>
  <si>
    <t>Washington Regional Medical Center</t>
  </si>
  <si>
    <t>3215 N Northhills Blvd</t>
  </si>
  <si>
    <t>Fayetteville</t>
  </si>
  <si>
    <t>72703-4424</t>
  </si>
  <si>
    <t>(479) 463-1000</t>
  </si>
  <si>
    <t>Washington Regional Medical System</t>
  </si>
  <si>
    <t>R605</t>
  </si>
  <si>
    <t>Guthrie Robert Packer Hospital</t>
  </si>
  <si>
    <t>1 Guthrie Sq</t>
  </si>
  <si>
    <t>Sayre</t>
  </si>
  <si>
    <t>18840-1625</t>
  </si>
  <si>
    <t>(570) 888-6666</t>
  </si>
  <si>
    <t>U789</t>
  </si>
  <si>
    <t>The Queens Medical Center-Manamana</t>
  </si>
  <si>
    <t>1301 Punchbowl St</t>
  </si>
  <si>
    <t>Honolulu</t>
  </si>
  <si>
    <t>HI</t>
  </si>
  <si>
    <t>96813-2499</t>
  </si>
  <si>
    <t>(808) 538-9011</t>
  </si>
  <si>
    <t>The Queens Health Systems</t>
  </si>
  <si>
    <t>Kevin Jong</t>
  </si>
  <si>
    <t>kevin.jong@vizientinc.com</t>
  </si>
  <si>
    <t>U035</t>
  </si>
  <si>
    <t>Covenant Medical Center</t>
  </si>
  <si>
    <t>3615 19th St</t>
  </si>
  <si>
    <t>Lubbock</t>
  </si>
  <si>
    <t>(806) 725-1011</t>
  </si>
  <si>
    <t>Providence</t>
  </si>
  <si>
    <t>St Joseph Health System</t>
  </si>
  <si>
    <t>Chris Phan</t>
  </si>
  <si>
    <t>chris.phan@vizientinc.com</t>
  </si>
  <si>
    <t>R016</t>
  </si>
  <si>
    <t>Conway Regional Medical Center</t>
  </si>
  <si>
    <t>2302 College Ave</t>
  </si>
  <si>
    <t>Conway</t>
  </si>
  <si>
    <t>72034-6297</t>
  </si>
  <si>
    <t>(501) 329-3831</t>
  </si>
  <si>
    <t>Q772</t>
  </si>
  <si>
    <t>Indiana University Health Ball Memorial Hospital</t>
  </si>
  <si>
    <t>2401 W University Ave</t>
  </si>
  <si>
    <t>Muncie</t>
  </si>
  <si>
    <t>47303-3499</t>
  </si>
  <si>
    <t>(765) 747-3111</t>
  </si>
  <si>
    <t>U130</t>
  </si>
  <si>
    <t>Ivinson Memorial Hospital</t>
  </si>
  <si>
    <t>255 N 30th St</t>
  </si>
  <si>
    <t>Laramie</t>
  </si>
  <si>
    <t>82072-5195</t>
  </si>
  <si>
    <t>(307) 742-2141</t>
  </si>
  <si>
    <t>W430</t>
  </si>
  <si>
    <t>ProHealth Care Inc</t>
  </si>
  <si>
    <t>N17w24100 Riverwood Dr Ste Ll10</t>
  </si>
  <si>
    <t>Waukesha</t>
  </si>
  <si>
    <t>53188-1177</t>
  </si>
  <si>
    <t>(262) 544-2011</t>
  </si>
  <si>
    <t>AboutHealth</t>
  </si>
  <si>
    <t>W539</t>
  </si>
  <si>
    <t>Halifax Health</t>
  </si>
  <si>
    <t>303 N Clyde Morris Blvd</t>
  </si>
  <si>
    <t>Daytona Beach</t>
  </si>
  <si>
    <t>32114-2709</t>
  </si>
  <si>
    <t>(386) 425-4771</t>
  </si>
  <si>
    <t>R038</t>
  </si>
  <si>
    <t>Thayer Center for Health</t>
  </si>
  <si>
    <t>149 N St</t>
  </si>
  <si>
    <t>Waterville</t>
  </si>
  <si>
    <t>ME</t>
  </si>
  <si>
    <t>(207) 872-1000</t>
  </si>
  <si>
    <t>MaineGeneral Health</t>
  </si>
  <si>
    <t>V126</t>
  </si>
  <si>
    <t>Piedmont Atlanta Hospital</t>
  </si>
  <si>
    <t>1968 Peachtree Rd Nw</t>
  </si>
  <si>
    <t>Atlanta</t>
  </si>
  <si>
    <t>30309-1285</t>
  </si>
  <si>
    <t>(404) 605-5000</t>
  </si>
  <si>
    <t>Piedmont Healthcare</t>
  </si>
  <si>
    <t>Tim Murray</t>
  </si>
  <si>
    <t>tim.murray@vizientinc.com</t>
  </si>
  <si>
    <t>R984</t>
  </si>
  <si>
    <t>McDonough District Hospital</t>
  </si>
  <si>
    <t>525 E Grant St</t>
  </si>
  <si>
    <t>Macomb</t>
  </si>
  <si>
    <t>61455-3318</t>
  </si>
  <si>
    <t>(309) 833-4101</t>
  </si>
  <si>
    <t>MSS - Non-Owners - RX</t>
  </si>
  <si>
    <t>T148</t>
  </si>
  <si>
    <t>Boone Hospital Center</t>
  </si>
  <si>
    <t>1600 E Broadway</t>
  </si>
  <si>
    <t>Columbia</t>
  </si>
  <si>
    <t>65201-5897</t>
  </si>
  <si>
    <t>(573) 815-8000</t>
  </si>
  <si>
    <t>Inspirity Health Partners</t>
  </si>
  <si>
    <t>P550</t>
  </si>
  <si>
    <t>Anaheim Regional Medical Center</t>
  </si>
  <si>
    <t>1111 W La Palma Ave</t>
  </si>
  <si>
    <t>Anaheim</t>
  </si>
  <si>
    <t>92801-2881</t>
  </si>
  <si>
    <t>(714) 774-1450</t>
  </si>
  <si>
    <t>AHMC Healthcare Inc</t>
  </si>
  <si>
    <t>P717</t>
  </si>
  <si>
    <t>Antelope Valley Medical Center</t>
  </si>
  <si>
    <t>1600 W Ave J</t>
  </si>
  <si>
    <t>Lancaster</t>
  </si>
  <si>
    <t>93534-2894</t>
  </si>
  <si>
    <t>(661) 949-5000</t>
  </si>
  <si>
    <t>P876</t>
  </si>
  <si>
    <t>Pomona Valley Hospital Medical Center</t>
  </si>
  <si>
    <t>1798 N Garey Ave</t>
  </si>
  <si>
    <t>Pomona</t>
  </si>
  <si>
    <t>91767-2918</t>
  </si>
  <si>
    <t>(909) 865-9500</t>
  </si>
  <si>
    <t>Gretchen Smith</t>
  </si>
  <si>
    <t>gretchen.smith@vizientinc.com</t>
  </si>
  <si>
    <t>Q053</t>
  </si>
  <si>
    <t>PIH Health Whittier Hospital</t>
  </si>
  <si>
    <t>12401 Washington Blvd</t>
  </si>
  <si>
    <t>Whittier</t>
  </si>
  <si>
    <t>90602-1006</t>
  </si>
  <si>
    <t>(562) 698-0811</t>
  </si>
  <si>
    <t>PIH Health</t>
  </si>
  <si>
    <t>P112</t>
  </si>
  <si>
    <t>Memorial Medical Center Modesto</t>
  </si>
  <si>
    <t>1700 Coffee Rd</t>
  </si>
  <si>
    <t>Modesto</t>
  </si>
  <si>
    <t>95355-2869</t>
  </si>
  <si>
    <t>(209) 526-4500</t>
  </si>
  <si>
    <t>Q050</t>
  </si>
  <si>
    <t>Emanate Health Queen of the Valley Hospital</t>
  </si>
  <si>
    <t>1115 S Sunset Ave</t>
  </si>
  <si>
    <t>West Covina</t>
  </si>
  <si>
    <t>91790-3940</t>
  </si>
  <si>
    <t>(626) 962-4011</t>
  </si>
  <si>
    <t>Emanate Health</t>
  </si>
  <si>
    <t>Lara Ewoniuk</t>
  </si>
  <si>
    <t>lara.ewoniuk@vizientinc.com</t>
  </si>
  <si>
    <t>P953</t>
  </si>
  <si>
    <t>Little Company of Mary - San Pedro Hospital</t>
  </si>
  <si>
    <t>1300 W 7th St</t>
  </si>
  <si>
    <t>San Pedro</t>
  </si>
  <si>
    <t>90732-3505</t>
  </si>
  <si>
    <t>(310) 832-3311</t>
  </si>
  <si>
    <t>PH&amp;S California Region</t>
  </si>
  <si>
    <t>P035</t>
  </si>
  <si>
    <t>Forrest General Hospital</t>
  </si>
  <si>
    <t>6051 U S Hwy 49</t>
  </si>
  <si>
    <t>Hattiesburg</t>
  </si>
  <si>
    <t>39401-7201</t>
  </si>
  <si>
    <t>(601) 288-7000</t>
  </si>
  <si>
    <t>P128</t>
  </si>
  <si>
    <t>Beatrice Community Hospital and Health Center</t>
  </si>
  <si>
    <t>4800 Hospital Pkwy</t>
  </si>
  <si>
    <t>Beatrice</t>
  </si>
  <si>
    <t>(402) 228-3344</t>
  </si>
  <si>
    <t>Bryan Health</t>
  </si>
  <si>
    <t>T544</t>
  </si>
  <si>
    <t>Childrens Hospital and Medical Center</t>
  </si>
  <si>
    <t>8200 Dodge St</t>
  </si>
  <si>
    <t>68114-4113</t>
  </si>
  <si>
    <t>(402) 955-5400</t>
  </si>
  <si>
    <t>Kristin Duren</t>
  </si>
  <si>
    <t>kristin.duren@vizientinc.com</t>
  </si>
  <si>
    <t>U763</t>
  </si>
  <si>
    <t>Cass County Memorial Hospital</t>
  </si>
  <si>
    <t>1501 E 10th St</t>
  </si>
  <si>
    <t>Atlantic</t>
  </si>
  <si>
    <t>IA</t>
  </si>
  <si>
    <t>50022-1936</t>
  </si>
  <si>
    <t>(712) 243-3250</t>
  </si>
  <si>
    <t>U741</t>
  </si>
  <si>
    <t>Methodist Jennie Edmundson Hospital</t>
  </si>
  <si>
    <t>933 E Pierce St</t>
  </si>
  <si>
    <t>Council Bluffs</t>
  </si>
  <si>
    <t>51503-4626</t>
  </si>
  <si>
    <t>(712) 396-6000</t>
  </si>
  <si>
    <t>T569</t>
  </si>
  <si>
    <t>Bryan Medical Center - East Campus</t>
  </si>
  <si>
    <t>1600 S 48th St</t>
  </si>
  <si>
    <t>Lincoln</t>
  </si>
  <si>
    <t>68506-1283</t>
  </si>
  <si>
    <t>(402) 489-0200</t>
  </si>
  <si>
    <t>P010</t>
  </si>
  <si>
    <t>John Muir-Walnut Creek Campus</t>
  </si>
  <si>
    <t>1601 Ygnacio Valley Rd</t>
  </si>
  <si>
    <t>Walnut Creek</t>
  </si>
  <si>
    <t>94598-3194</t>
  </si>
  <si>
    <t>(925) 939-3000</t>
  </si>
  <si>
    <t>John Muir Health</t>
  </si>
  <si>
    <t>Alysia Kool</t>
  </si>
  <si>
    <t>alysia.kool@vizientinc.com</t>
  </si>
  <si>
    <t>T578</t>
  </si>
  <si>
    <t>Mary Lanning Memorial HealthCare</t>
  </si>
  <si>
    <t>715 N St Joseph Ave</t>
  </si>
  <si>
    <t>Hastings</t>
  </si>
  <si>
    <t>68901-4451</t>
  </si>
  <si>
    <t>(402) 463-4521</t>
  </si>
  <si>
    <t>P753</t>
  </si>
  <si>
    <t>Cedars-Sinai Medical Center</t>
  </si>
  <si>
    <t>8700 Beverly Blvd Rm A845</t>
  </si>
  <si>
    <t>West Hollywood</t>
  </si>
  <si>
    <t>90048-1804</t>
  </si>
  <si>
    <t>(310) 423-5000</t>
  </si>
  <si>
    <t>Cedars-Sinai Health System</t>
  </si>
  <si>
    <t>DKZH</t>
  </si>
  <si>
    <t>Sanford Fargo Market</t>
  </si>
  <si>
    <t>801 Broadway N</t>
  </si>
  <si>
    <t>Fargo</t>
  </si>
  <si>
    <t>58102-3641</t>
  </si>
  <si>
    <t>(701) 234-6000</t>
  </si>
  <si>
    <t>T417</t>
  </si>
  <si>
    <t>Altru Hospital</t>
  </si>
  <si>
    <t>1200 S Columbia Rd</t>
  </si>
  <si>
    <t>Grand Forks</t>
  </si>
  <si>
    <t>58201-4044</t>
  </si>
  <si>
    <t>(701) 780-5000</t>
  </si>
  <si>
    <t>Altru Health System</t>
  </si>
  <si>
    <t>U579</t>
  </si>
  <si>
    <t>Lake Region Healthcare</t>
  </si>
  <si>
    <t>712 S Cascade St</t>
  </si>
  <si>
    <t>Fergus Falls</t>
  </si>
  <si>
    <t>56537-2913</t>
  </si>
  <si>
    <t>(218) 736-8000</t>
  </si>
  <si>
    <t>Lake Region Healthcare Corporation</t>
  </si>
  <si>
    <t>P950</t>
  </si>
  <si>
    <t>MPHS - Mills Hospital</t>
  </si>
  <si>
    <t>100 S San Mateo Dr</t>
  </si>
  <si>
    <t>San Mateo</t>
  </si>
  <si>
    <t>94401-3805</t>
  </si>
  <si>
    <t>(650) 696-4400</t>
  </si>
  <si>
    <t>S146</t>
  </si>
  <si>
    <t>MacNeal Hospital</t>
  </si>
  <si>
    <t>3249 Oak Park Ave</t>
  </si>
  <si>
    <t>Berwyn</t>
  </si>
  <si>
    <t>60402-3429</t>
  </si>
  <si>
    <t>(743) 795-9100</t>
  </si>
  <si>
    <t>U617</t>
  </si>
  <si>
    <t>Sanford Medical Center Bemidji</t>
  </si>
  <si>
    <t>1300 Anne St Nw</t>
  </si>
  <si>
    <t>Bemidji</t>
  </si>
  <si>
    <t>56601-5103</t>
  </si>
  <si>
    <t>(218) 751-5430</t>
  </si>
  <si>
    <t>Sanford Bemidji Market</t>
  </si>
  <si>
    <t>T411</t>
  </si>
  <si>
    <t>Jamestown Regional Medical Center</t>
  </si>
  <si>
    <t>2422 20th St Sw</t>
  </si>
  <si>
    <t>Jamestown</t>
  </si>
  <si>
    <t>58401-6201</t>
  </si>
  <si>
    <t>(701) 252-1050</t>
  </si>
  <si>
    <t>U590</t>
  </si>
  <si>
    <t>Aspirus St. Luke's Hospital</t>
  </si>
  <si>
    <t>915 E 1st St</t>
  </si>
  <si>
    <t>Duluth</t>
  </si>
  <si>
    <t>55805-2193</t>
  </si>
  <si>
    <t>(218) 249-5555</t>
  </si>
  <si>
    <t>P005</t>
  </si>
  <si>
    <t>Saint Cloud Hospital</t>
  </si>
  <si>
    <t>1406 6th Ave N</t>
  </si>
  <si>
    <t>Saint Cloud</t>
  </si>
  <si>
    <t>56303-1901</t>
  </si>
  <si>
    <t>(320) 251-2700</t>
  </si>
  <si>
    <t>Q590</t>
  </si>
  <si>
    <t>Marion General Hospital</t>
  </si>
  <si>
    <t>441 N Wabash Ave</t>
  </si>
  <si>
    <t>Marion</t>
  </si>
  <si>
    <t>46952-2690</t>
  </si>
  <si>
    <t>(765) 662-1441</t>
  </si>
  <si>
    <t>Q683</t>
  </si>
  <si>
    <t>Community Hospital Anderson</t>
  </si>
  <si>
    <t>1515 N Madison Ave</t>
  </si>
  <si>
    <t>Anderson</t>
  </si>
  <si>
    <t>46011-3457</t>
  </si>
  <si>
    <t>(765) 298-4242</t>
  </si>
  <si>
    <t>Q711</t>
  </si>
  <si>
    <t>Elkhart General Hospital</t>
  </si>
  <si>
    <t>600 East Blvd # 1329</t>
  </si>
  <si>
    <t>Elkhart</t>
  </si>
  <si>
    <t>46514-2499</t>
  </si>
  <si>
    <t>(574) 294-2621</t>
  </si>
  <si>
    <t>Q702</t>
  </si>
  <si>
    <t>Columbus Regional Hospital</t>
  </si>
  <si>
    <t>2400 17th St</t>
  </si>
  <si>
    <t>47201-5351</t>
  </si>
  <si>
    <t>(812) 379-4441</t>
  </si>
  <si>
    <t>Q691</t>
  </si>
  <si>
    <t>IUH Bloomington Regional Academic Health Center</t>
  </si>
  <si>
    <t>2651 E Discovery Pkwy</t>
  </si>
  <si>
    <t>Bloomington</t>
  </si>
  <si>
    <t>47408-9059</t>
  </si>
  <si>
    <t>(812) 353-5252</t>
  </si>
  <si>
    <t>Q119</t>
  </si>
  <si>
    <t>San Luis Valley Regional Medical Ctr Inc</t>
  </si>
  <si>
    <t>106 Blanca Ave</t>
  </si>
  <si>
    <t>Alamosa</t>
  </si>
  <si>
    <t>81101-2340</t>
  </si>
  <si>
    <t>(719) 589-2511</t>
  </si>
  <si>
    <t>Q688</t>
  </si>
  <si>
    <t>Margaret Mary Health</t>
  </si>
  <si>
    <t>321 Mitchell Ave</t>
  </si>
  <si>
    <t>47006-8909</t>
  </si>
  <si>
    <t>(812) 934-6624</t>
  </si>
  <si>
    <t>P585</t>
  </si>
  <si>
    <t>Alta Bates Summit Medical Ctr-Herrick Campus</t>
  </si>
  <si>
    <t>2001 Dwight Way</t>
  </si>
  <si>
    <t>Berkeley</t>
  </si>
  <si>
    <t>(510) 204-4444</t>
  </si>
  <si>
    <t>V321</t>
  </si>
  <si>
    <t>CentraCare Rice Memorial Hospital</t>
  </si>
  <si>
    <t>301 Becker Ave Sw</t>
  </si>
  <si>
    <t>Willmar</t>
  </si>
  <si>
    <t>(320) 235-4543</t>
  </si>
  <si>
    <t>R696</t>
  </si>
  <si>
    <t>Temple Health Chestnut Hill Hospital</t>
  </si>
  <si>
    <t>8835 Germantown Ave</t>
  </si>
  <si>
    <t>19118-2718</t>
  </si>
  <si>
    <t>(215) 248-8200</t>
  </si>
  <si>
    <t>Temple University Health System</t>
  </si>
  <si>
    <t>P. Mary Young</t>
  </si>
  <si>
    <t>pmary.young@vizientinc.com</t>
  </si>
  <si>
    <t>R693</t>
  </si>
  <si>
    <t>Temple University Hospital - Episcopal Campus</t>
  </si>
  <si>
    <t>Front St &amp; Lehigh Ave</t>
  </si>
  <si>
    <t>19125-1098</t>
  </si>
  <si>
    <t>(215) 427-7000</t>
  </si>
  <si>
    <t>Temple University Hospital</t>
  </si>
  <si>
    <t>Q899</t>
  </si>
  <si>
    <t>Crozer-Chester Medical Center</t>
  </si>
  <si>
    <t>1 Medical Center Blvd</t>
  </si>
  <si>
    <t>Chester</t>
  </si>
  <si>
    <t>19013-3902</t>
  </si>
  <si>
    <t>(610) 447-2000</t>
  </si>
  <si>
    <t>Prospect Medical Holdings Inc</t>
  </si>
  <si>
    <t>Crozer-Keystone Health System</t>
  </si>
  <si>
    <t>T134</t>
  </si>
  <si>
    <t>Parkland Health Center - Farmington</t>
  </si>
  <si>
    <t>1101 W Liberty St</t>
  </si>
  <si>
    <t>Farmington</t>
  </si>
  <si>
    <t>63640-1921</t>
  </si>
  <si>
    <t>(573) 756-6451</t>
  </si>
  <si>
    <t>W133</t>
  </si>
  <si>
    <t>5 Mobile Infirmary Circle</t>
  </si>
  <si>
    <t>Mobile</t>
  </si>
  <si>
    <t>(251) 435-5500</t>
  </si>
  <si>
    <t>P381</t>
  </si>
  <si>
    <t>Baptist Medical Center South</t>
  </si>
  <si>
    <t>2105 E South Blvd</t>
  </si>
  <si>
    <t>36116-2498</t>
  </si>
  <si>
    <t>(334) 288-2100</t>
  </si>
  <si>
    <t>UAB Medicine Enterprise</t>
  </si>
  <si>
    <t>P363</t>
  </si>
  <si>
    <t>Huntsville Hospital</t>
  </si>
  <si>
    <t>101 Sivley Rd Sw</t>
  </si>
  <si>
    <t>Huntsville</t>
  </si>
  <si>
    <t>35801-4470</t>
  </si>
  <si>
    <t>(256) 265-1000</t>
  </si>
  <si>
    <t>The Health Care Auth of City of Huntsville</t>
  </si>
  <si>
    <t>V024</t>
  </si>
  <si>
    <t>Wellstar Kennestone Hospital</t>
  </si>
  <si>
    <t>677 Church St Ne</t>
  </si>
  <si>
    <t>Marietta</t>
  </si>
  <si>
    <t>30060-1101</t>
  </si>
  <si>
    <t>(770) 793-5000</t>
  </si>
  <si>
    <t>Wellstar Health System</t>
  </si>
  <si>
    <t>Tracey Wilson</t>
  </si>
  <si>
    <t>tracey.wilson@vizientinc.com</t>
  </si>
  <si>
    <t>V514</t>
  </si>
  <si>
    <t>Bethesda Hospital East</t>
  </si>
  <si>
    <t>2815 S Seacrest Blvd</t>
  </si>
  <si>
    <t>Boynton Beach</t>
  </si>
  <si>
    <t>33435-7995</t>
  </si>
  <si>
    <t>(561) 737-7733</t>
  </si>
  <si>
    <t>Baptist Health South Florida</t>
  </si>
  <si>
    <t>U853</t>
  </si>
  <si>
    <t>Cleveland Clinic - Martin North Hospital</t>
  </si>
  <si>
    <t>200 Se Hospital Ave</t>
  </si>
  <si>
    <t>Stuart</t>
  </si>
  <si>
    <t>34994-2346</t>
  </si>
  <si>
    <t>(772) 287-5200</t>
  </si>
  <si>
    <t>Martin Memorial Health Systems</t>
  </si>
  <si>
    <t>R442</t>
  </si>
  <si>
    <t>Inspira Health Center Bridgeton</t>
  </si>
  <si>
    <t>333 Irving Ave</t>
  </si>
  <si>
    <t>Bridgeton</t>
  </si>
  <si>
    <t>(856) 575-4500</t>
  </si>
  <si>
    <t>Inspira Health Network Inc</t>
  </si>
  <si>
    <t>Brooke Beltran</t>
  </si>
  <si>
    <t>brooke.beltran@vizientinc.com</t>
  </si>
  <si>
    <t>Psychiatric Hospital</t>
  </si>
  <si>
    <t>VZN</t>
  </si>
  <si>
    <t>S697</t>
  </si>
  <si>
    <t>Community Medical Center</t>
  </si>
  <si>
    <t>99 Hwy 37 W</t>
  </si>
  <si>
    <t>Toms River</t>
  </si>
  <si>
    <t>(732) 240-8000</t>
  </si>
  <si>
    <t>V075</t>
  </si>
  <si>
    <t>Emory Decatur Hospital</t>
  </si>
  <si>
    <t>2701 N Decatur Rd</t>
  </si>
  <si>
    <t>30033-5918</t>
  </si>
  <si>
    <t>(404) 501-1000</t>
  </si>
  <si>
    <t>Emory Healthcare</t>
  </si>
  <si>
    <t>U321</t>
  </si>
  <si>
    <t>Hillsboro Medical Center</t>
  </si>
  <si>
    <t>335 Se 8th Ave</t>
  </si>
  <si>
    <t>Hillsboro</t>
  </si>
  <si>
    <t>OR</t>
  </si>
  <si>
    <t>97123-4248</t>
  </si>
  <si>
    <t>(503) 681-1111</t>
  </si>
  <si>
    <t>OHSU Health Hillsboro Medical Center</t>
  </si>
  <si>
    <t>Andrew Ryan</t>
  </si>
  <si>
    <t>andrew.ryan@vizientinc.com</t>
  </si>
  <si>
    <t>R681</t>
  </si>
  <si>
    <t>Temple University Hospital - Jeanes Campus</t>
  </si>
  <si>
    <t>7600 Central Ave</t>
  </si>
  <si>
    <t>19111-2402</t>
  </si>
  <si>
    <t>(215) 707-9770</t>
  </si>
  <si>
    <t>T114</t>
  </si>
  <si>
    <t>Freeman West Campus</t>
  </si>
  <si>
    <t>1102 W 32nd St</t>
  </si>
  <si>
    <t>Joplin</t>
  </si>
  <si>
    <t>64804-3503</t>
  </si>
  <si>
    <t>(417) 347-2801</t>
  </si>
  <si>
    <t>Freeman Health System</t>
  </si>
  <si>
    <t>V516</t>
  </si>
  <si>
    <t>Boca Raton Regional Hospital</t>
  </si>
  <si>
    <t>800 Meadows Rd</t>
  </si>
  <si>
    <t>Boca Raton</t>
  </si>
  <si>
    <t>33486-2368</t>
  </si>
  <si>
    <t>(561) 955-7100</t>
  </si>
  <si>
    <t>V697</t>
  </si>
  <si>
    <t>Cheyenne County Hospital</t>
  </si>
  <si>
    <t>210 W 1st St</t>
  </si>
  <si>
    <t>Saint Francis</t>
  </si>
  <si>
    <t>67756-3540</t>
  </si>
  <si>
    <t>(785) 332-2104</t>
  </si>
  <si>
    <t>Salina Regional Health Center</t>
  </si>
  <si>
    <t>Great Plains Health Alliance</t>
  </si>
  <si>
    <t>V804</t>
  </si>
  <si>
    <t>Ellinwood District Hospital</t>
  </si>
  <si>
    <t>300 N Park Ave</t>
  </si>
  <si>
    <t>Ellinwood</t>
  </si>
  <si>
    <t>67526-1440</t>
  </si>
  <si>
    <t>(620) 564-2548</t>
  </si>
  <si>
    <t>U772</t>
  </si>
  <si>
    <t>The Queens Medical Center – Wahiawa</t>
  </si>
  <si>
    <t>128 Lehua St</t>
  </si>
  <si>
    <t>Wahiawa</t>
  </si>
  <si>
    <t>(808) 621-8411</t>
  </si>
  <si>
    <t>V800</t>
  </si>
  <si>
    <t>Greenwood County Hospital</t>
  </si>
  <si>
    <t>100 W 16th St</t>
  </si>
  <si>
    <t>Eureka</t>
  </si>
  <si>
    <t>67045-1064</t>
  </si>
  <si>
    <t>(620) 583-7451</t>
  </si>
  <si>
    <t>T374</t>
  </si>
  <si>
    <t>Mitchell County Hospital</t>
  </si>
  <si>
    <t>400 W 8th St</t>
  </si>
  <si>
    <t>Beloit</t>
  </si>
  <si>
    <t>67420-1605</t>
  </si>
  <si>
    <t>(785) 738-2266</t>
  </si>
  <si>
    <t>Bruce Frerking</t>
  </si>
  <si>
    <t>bruce.frerking@apskc.org</t>
  </si>
  <si>
    <t>P323</t>
  </si>
  <si>
    <t>Decatur Morgan Hospital - Decatur General Cam</t>
  </si>
  <si>
    <t>1201 7th St Se</t>
  </si>
  <si>
    <t>(256) 341-2000</t>
  </si>
  <si>
    <t>V706</t>
  </si>
  <si>
    <t>Sabetha Community Hospital</t>
  </si>
  <si>
    <t>14th &amp; Oregon St</t>
  </si>
  <si>
    <t>Sabetha</t>
  </si>
  <si>
    <t>(785) 284-2121</t>
  </si>
  <si>
    <t>V703</t>
  </si>
  <si>
    <t>Scott County Hospital</t>
  </si>
  <si>
    <t>201 Albert Ave</t>
  </si>
  <si>
    <t>Scott City</t>
  </si>
  <si>
    <t>(620) 872-5811</t>
  </si>
  <si>
    <t>V699</t>
  </si>
  <si>
    <t>Smith County Memorial Hospital</t>
  </si>
  <si>
    <t>921 E Highway 36</t>
  </si>
  <si>
    <t>Smith Center</t>
  </si>
  <si>
    <t>66967-9582</t>
  </si>
  <si>
    <t>(785) 282-6845</t>
  </si>
  <si>
    <t>V683</t>
  </si>
  <si>
    <t>Trego County Lemke Memorial Hospital</t>
  </si>
  <si>
    <t>320 N 13th St</t>
  </si>
  <si>
    <t>Wakeeney</t>
  </si>
  <si>
    <t>67672-2002</t>
  </si>
  <si>
    <t>(785) 743-2182</t>
  </si>
  <si>
    <t>S092</t>
  </si>
  <si>
    <t>Northwestern Memorial Hospital</t>
  </si>
  <si>
    <t>251 East Huron</t>
  </si>
  <si>
    <t>Chicago</t>
  </si>
  <si>
    <t>(312) 926-2000</t>
  </si>
  <si>
    <t>V592</t>
  </si>
  <si>
    <t>Norman Regional Health System</t>
  </si>
  <si>
    <t>901 N Porter St</t>
  </si>
  <si>
    <t>Norman</t>
  </si>
  <si>
    <t>73071-6404</t>
  </si>
  <si>
    <t>(405) 307-1000</t>
  </si>
  <si>
    <t>Alex Erazo</t>
  </si>
  <si>
    <t>alex.erazo@vizientinc.com</t>
  </si>
  <si>
    <t>P309</t>
  </si>
  <si>
    <t>Marshall Medical Center South</t>
  </si>
  <si>
    <t>2505 Us Hwy 431</t>
  </si>
  <si>
    <t>Boaz</t>
  </si>
  <si>
    <t>35957-5908</t>
  </si>
  <si>
    <t>(256) 593-8310</t>
  </si>
  <si>
    <t>Marshall County Health Care Authority</t>
  </si>
  <si>
    <t>P357</t>
  </si>
  <si>
    <t>Marshall Medical Center North</t>
  </si>
  <si>
    <t>8000 Al Hwy 69</t>
  </si>
  <si>
    <t>Guntersville</t>
  </si>
  <si>
    <t>35976-7140</t>
  </si>
  <si>
    <t>(256) 753-8000</t>
  </si>
  <si>
    <t>P078</t>
  </si>
  <si>
    <t>Jefferson Frankford Hospital</t>
  </si>
  <si>
    <t>4900 Frankford Ave</t>
  </si>
  <si>
    <t>(215) 831-2000</t>
  </si>
  <si>
    <t>Jefferson Health System</t>
  </si>
  <si>
    <t>Thomas Jefferson University Hospital</t>
  </si>
  <si>
    <t>S288</t>
  </si>
  <si>
    <t>Prospect Manchester Hospital</t>
  </si>
  <si>
    <t>71 Haynes St</t>
  </si>
  <si>
    <t>(860) 646-1222</t>
  </si>
  <si>
    <t>Eastern Connecticut Health Network</t>
  </si>
  <si>
    <t>S296</t>
  </si>
  <si>
    <t>The Greenwich Hospital Association</t>
  </si>
  <si>
    <t>5 Perryridge Rd</t>
  </si>
  <si>
    <t>Greenwich</t>
  </si>
  <si>
    <t>(203) 863-3000</t>
  </si>
  <si>
    <t>S243</t>
  </si>
  <si>
    <t>Greater Waterbury Health Network Inc</t>
  </si>
  <si>
    <t>64 Robbins St</t>
  </si>
  <si>
    <t>Waterbury</t>
  </si>
  <si>
    <t>(203) 573-6000</t>
  </si>
  <si>
    <t>S259</t>
  </si>
  <si>
    <t>Day Kimball Hospital</t>
  </si>
  <si>
    <t>320 Pomfret St</t>
  </si>
  <si>
    <t>Putnam</t>
  </si>
  <si>
    <t>(860) 928-6541</t>
  </si>
  <si>
    <t>iFS - Yale New Haven Affiliates</t>
  </si>
  <si>
    <t>S272</t>
  </si>
  <si>
    <t>Lawrence Memorial Hospital</t>
  </si>
  <si>
    <t>365 Montauk Ave</t>
  </si>
  <si>
    <t>(860) 442-0711</t>
  </si>
  <si>
    <t>Lawrence Memorial Corporation</t>
  </si>
  <si>
    <t>S299</t>
  </si>
  <si>
    <t>The Danbury Hospital</t>
  </si>
  <si>
    <t>24 Hospital Ave</t>
  </si>
  <si>
    <t>Danbury</t>
  </si>
  <si>
    <t>(203) 739-7000</t>
  </si>
  <si>
    <t>Nuvance Health</t>
  </si>
  <si>
    <t>Western Connecticut Health Network Inc</t>
  </si>
  <si>
    <t>S283</t>
  </si>
  <si>
    <t>Middlesex Hospital</t>
  </si>
  <si>
    <t>28 Crescent St</t>
  </si>
  <si>
    <t>Middletown</t>
  </si>
  <si>
    <t>(860) 358-2599</t>
  </si>
  <si>
    <t>Middlesex Health System Inc</t>
  </si>
  <si>
    <t>Q831</t>
  </si>
  <si>
    <t>Lancaster General Hospital</t>
  </si>
  <si>
    <t>555 N Duke St</t>
  </si>
  <si>
    <t>17602-2207</t>
  </si>
  <si>
    <t>(717) 544-5511</t>
  </si>
  <si>
    <t>Lancaster General Health</t>
  </si>
  <si>
    <t>S360</t>
  </si>
  <si>
    <t>Norwood Hospital A Caritas Family Hospital</t>
  </si>
  <si>
    <t>800 Washington St</t>
  </si>
  <si>
    <t>Norwood</t>
  </si>
  <si>
    <t>MA</t>
  </si>
  <si>
    <t>(617) 769-2950</t>
  </si>
  <si>
    <t>Steward Health Care System</t>
  </si>
  <si>
    <t>W401</t>
  </si>
  <si>
    <t>Norwood Hospital</t>
  </si>
  <si>
    <t>(781) 769-2950</t>
  </si>
  <si>
    <t>V602</t>
  </si>
  <si>
    <t>McAlester Regional Health Center</t>
  </si>
  <si>
    <t>1 E Clark Bass Blvd</t>
  </si>
  <si>
    <t>Mcalester</t>
  </si>
  <si>
    <t>74501-4209</t>
  </si>
  <si>
    <t>(918) 426-1800</t>
  </si>
  <si>
    <t>S381</t>
  </si>
  <si>
    <t>Lawrence Memorial Hospital of Medford</t>
  </si>
  <si>
    <t>170 Governors Ave</t>
  </si>
  <si>
    <t>(781) 306-6000</t>
  </si>
  <si>
    <t>Hallmark Health Corporation</t>
  </si>
  <si>
    <t>Hallmark Health System Inc</t>
  </si>
  <si>
    <t>V078</t>
  </si>
  <si>
    <t>Hamilton Medical Center Inc</t>
  </si>
  <si>
    <t>1200 Memorial Dr</t>
  </si>
  <si>
    <t>Dalton</t>
  </si>
  <si>
    <t>30720-2529</t>
  </si>
  <si>
    <t>(706) 272-6000</t>
  </si>
  <si>
    <t>S303</t>
  </si>
  <si>
    <t>Bridgeport Hospital</t>
  </si>
  <si>
    <t>267 Grant St</t>
  </si>
  <si>
    <t>Bridgeport</t>
  </si>
  <si>
    <t>(203) 384-3000</t>
  </si>
  <si>
    <t>Bridgeport Hospital &amp; Healthcare Services In</t>
  </si>
  <si>
    <t>V601</t>
  </si>
  <si>
    <t>INTEGRIS Miami Hospital</t>
  </si>
  <si>
    <t>200 2nd Ave Sw</t>
  </si>
  <si>
    <t>Miami</t>
  </si>
  <si>
    <t>74354-6830</t>
  </si>
  <si>
    <t>(918) 542-6611</t>
  </si>
  <si>
    <t>W500</t>
  </si>
  <si>
    <t>Allina Health</t>
  </si>
  <si>
    <t>2925 Chicago Ave</t>
  </si>
  <si>
    <t>55407-1321</t>
  </si>
  <si>
    <t>(612) 262-5000</t>
  </si>
  <si>
    <t>V050</t>
  </si>
  <si>
    <t>Northeast Georgia Medical Center</t>
  </si>
  <si>
    <t>743 Spring St Ne</t>
  </si>
  <si>
    <t>Gainesville</t>
  </si>
  <si>
    <t>30501-3741</t>
  </si>
  <si>
    <t>(770) 535-3553</t>
  </si>
  <si>
    <t>V113</t>
  </si>
  <si>
    <t>Wellstar Cobb Hospital</t>
  </si>
  <si>
    <t>3950 Austell Rd</t>
  </si>
  <si>
    <t>Austell</t>
  </si>
  <si>
    <t>30106-1121</t>
  </si>
  <si>
    <t>(770) 732-4000</t>
  </si>
  <si>
    <t>S342</t>
  </si>
  <si>
    <t>South Shore Health System Inc</t>
  </si>
  <si>
    <t>55 Fogg Rd</t>
  </si>
  <si>
    <t>South Weymouth</t>
  </si>
  <si>
    <t>(781) 624-8000</t>
  </si>
  <si>
    <t>P266</t>
  </si>
  <si>
    <t>Wellstar Windy Hill Hospital</t>
  </si>
  <si>
    <t>2540 Windy Hill Rd Se</t>
  </si>
  <si>
    <t>30067-8605</t>
  </si>
  <si>
    <t>(770) 644-1000</t>
  </si>
  <si>
    <t>T691</t>
  </si>
  <si>
    <t>North Caddo Medical Center</t>
  </si>
  <si>
    <t>1000 S Pine St</t>
  </si>
  <si>
    <t>Vivian</t>
  </si>
  <si>
    <t>(318) 375-3235</t>
  </si>
  <si>
    <t>P930</t>
  </si>
  <si>
    <t>California Pacific Medical Center - Mission Bernal Campus</t>
  </si>
  <si>
    <t>3555 Cesar Chavez</t>
  </si>
  <si>
    <t>San Francisco</t>
  </si>
  <si>
    <t>94110-4403</t>
  </si>
  <si>
    <t>(415) 647-8600</t>
  </si>
  <si>
    <t>P892</t>
  </si>
  <si>
    <t>Adventist Health Reedley</t>
  </si>
  <si>
    <t>372 W Cypress Ave</t>
  </si>
  <si>
    <t>Reedley</t>
  </si>
  <si>
    <t>(559) 638-8155</t>
  </si>
  <si>
    <t>Adventist Health System West</t>
  </si>
  <si>
    <t>U208</t>
  </si>
  <si>
    <t>Billings Clinic Hospital</t>
  </si>
  <si>
    <t>2800 10th Ave N</t>
  </si>
  <si>
    <t>Billings</t>
  </si>
  <si>
    <t>MT</t>
  </si>
  <si>
    <t>59101-0703</t>
  </si>
  <si>
    <t>(406) 238-2500</t>
  </si>
  <si>
    <t>S392</t>
  </si>
  <si>
    <t>Lowell General Hospital</t>
  </si>
  <si>
    <t>295 Varnum Ave</t>
  </si>
  <si>
    <t>Lowell</t>
  </si>
  <si>
    <t>(978) 937-6000</t>
  </si>
  <si>
    <t>Circle Health Inc</t>
  </si>
  <si>
    <t>V146</t>
  </si>
  <si>
    <t>Piedmont Athens Regional Medical Center</t>
  </si>
  <si>
    <t>1199 Prince Ave</t>
  </si>
  <si>
    <t>Athens</t>
  </si>
  <si>
    <t>30606-2767</t>
  </si>
  <si>
    <t>(706) 475-7000</t>
  </si>
  <si>
    <t>V032</t>
  </si>
  <si>
    <t>Northside Hospital Gwinnett</t>
  </si>
  <si>
    <t>1000 Medical Center Blvd</t>
  </si>
  <si>
    <t>Lawrenceville</t>
  </si>
  <si>
    <t>30046-7694</t>
  </si>
  <si>
    <t>(678) 312-4308</t>
  </si>
  <si>
    <t>Northside Hospital Inc</t>
  </si>
  <si>
    <t>Gwinnett Health System</t>
  </si>
  <si>
    <t>S623</t>
  </si>
  <si>
    <t>UVA Prince William Med Ctr</t>
  </si>
  <si>
    <t>8700 Sudley Rd</t>
  </si>
  <si>
    <t>Manassas</t>
  </si>
  <si>
    <t>(703) 369-8000</t>
  </si>
  <si>
    <t>University of Virginia Health System</t>
  </si>
  <si>
    <t>S163</t>
  </si>
  <si>
    <t>Alton Memorial Hospital</t>
  </si>
  <si>
    <t>1 Memorial Dr</t>
  </si>
  <si>
    <t>Alton</t>
  </si>
  <si>
    <t>62002-6755</t>
  </si>
  <si>
    <t>(618) 463-7311</t>
  </si>
  <si>
    <t>W498</t>
  </si>
  <si>
    <t>MultiCare Medical Center</t>
  </si>
  <si>
    <t>315 Martin Luther King Jr Way</t>
  </si>
  <si>
    <t>Tacoma</t>
  </si>
  <si>
    <t>WA</t>
  </si>
  <si>
    <t>98405-0986</t>
  </si>
  <si>
    <t>(253) 403-1000</t>
  </si>
  <si>
    <t>MultiCare Health System</t>
  </si>
  <si>
    <t>W507</t>
  </si>
  <si>
    <t>General Hospital Corp Outpatient Pharmacy</t>
  </si>
  <si>
    <t>55 Fruit St</t>
  </si>
  <si>
    <t>Boston</t>
  </si>
  <si>
    <t>(617) 724-6514</t>
  </si>
  <si>
    <t>Mass General Brigham</t>
  </si>
  <si>
    <t>Massachusetts General Hospital</t>
  </si>
  <si>
    <t>Colleen Martin</t>
  </si>
  <si>
    <t>colleen.martin@vizientinc.com</t>
  </si>
  <si>
    <t>Retail Pharmacy</t>
  </si>
  <si>
    <t>Pharmacy - Retail</t>
  </si>
  <si>
    <t>R568</t>
  </si>
  <si>
    <t>UPMC Washington</t>
  </si>
  <si>
    <t>155 Wilson Ave</t>
  </si>
  <si>
    <t>Washington</t>
  </si>
  <si>
    <t>15301-9986</t>
  </si>
  <si>
    <t>(724) 223-3591</t>
  </si>
  <si>
    <t>V631</t>
  </si>
  <si>
    <t>INTEGRIS Health Enid Hospital</t>
  </si>
  <si>
    <t>600 S Monroe</t>
  </si>
  <si>
    <t>Enid</t>
  </si>
  <si>
    <t>73701-7238</t>
  </si>
  <si>
    <t>(580) 233-2300</t>
  </si>
  <si>
    <t>S719</t>
  </si>
  <si>
    <t>Muhlenberg Regional Medical Center</t>
  </si>
  <si>
    <t>Park Ave &amp; Randolph Rd</t>
  </si>
  <si>
    <t>Plainfield</t>
  </si>
  <si>
    <t>(908) 668-2000</t>
  </si>
  <si>
    <t>JFK Health System Inc</t>
  </si>
  <si>
    <t>R451</t>
  </si>
  <si>
    <t>AtlantiCare Regional Medical Center City Divi</t>
  </si>
  <si>
    <t>1925 Pacific Ave</t>
  </si>
  <si>
    <t>Atlantic City</t>
  </si>
  <si>
    <t>(609) 344-4081</t>
  </si>
  <si>
    <t>AtlantiCare</t>
  </si>
  <si>
    <t>S680</t>
  </si>
  <si>
    <t>Inspira Medical Center Mullica Hill</t>
  </si>
  <si>
    <t>700 Mullica Hill Rd</t>
  </si>
  <si>
    <t>Mullica Hill</t>
  </si>
  <si>
    <t>(856) 845-0100</t>
  </si>
  <si>
    <t>R865</t>
  </si>
  <si>
    <t>Maury Regional Hospital and Affiliates</t>
  </si>
  <si>
    <t>1224 Trotwood Ave</t>
  </si>
  <si>
    <t>(931) 381-1111</t>
  </si>
  <si>
    <t>R846</t>
  </si>
  <si>
    <t>Roane Medical Center</t>
  </si>
  <si>
    <t>8045 Roane Medical Center Dr</t>
  </si>
  <si>
    <t>Harriman</t>
  </si>
  <si>
    <t>(865) 882-1323</t>
  </si>
  <si>
    <t>S415</t>
  </si>
  <si>
    <t>UMass HealthAlliance Clinton Hospital - Burbank Campus</t>
  </si>
  <si>
    <t>275 Nichols Road</t>
  </si>
  <si>
    <t>Fitchburg</t>
  </si>
  <si>
    <t>(978) 343-5000</t>
  </si>
  <si>
    <t>UMass Memorial Health Care Inc</t>
  </si>
  <si>
    <t>UMASS Memorial Hospitals Inc</t>
  </si>
  <si>
    <t>S249</t>
  </si>
  <si>
    <t>The Charlotte Hungerford Hospital</t>
  </si>
  <si>
    <t>540 Litchfield St</t>
  </si>
  <si>
    <t>Torrington</t>
  </si>
  <si>
    <t>(860) 496-6666</t>
  </si>
  <si>
    <t>V260</t>
  </si>
  <si>
    <t>Gundersen Lutheran Medical Center Inc</t>
  </si>
  <si>
    <t>1910 South Ave</t>
  </si>
  <si>
    <t>La Crosse</t>
  </si>
  <si>
    <t>54601-9980</t>
  </si>
  <si>
    <t>(608) 782-7300</t>
  </si>
  <si>
    <t>Emplify Health</t>
  </si>
  <si>
    <t>Gundersen Lutheran Administrative Srvs Inc</t>
  </si>
  <si>
    <t>R076</t>
  </si>
  <si>
    <t>Saint Joseph Hospital</t>
  </si>
  <si>
    <t>360 Broadway</t>
  </si>
  <si>
    <t>Bangor</t>
  </si>
  <si>
    <t>(207) 262-1000</t>
  </si>
  <si>
    <t>Saint Joseph Hospital (Nashua)</t>
  </si>
  <si>
    <t>Q793</t>
  </si>
  <si>
    <t>St Clair Darden Health System Inc dba Healthwin</t>
  </si>
  <si>
    <t>20531 Darden Rd</t>
  </si>
  <si>
    <t>South Bend</t>
  </si>
  <si>
    <t>46637-2999</t>
  </si>
  <si>
    <t>(574) 272-0100</t>
  </si>
  <si>
    <t>Sarah LaPlante</t>
  </si>
  <si>
    <t>sarah.laplante@provista.com</t>
  </si>
  <si>
    <t>Long Term Care</t>
  </si>
  <si>
    <t>PRV</t>
  </si>
  <si>
    <t>Q555</t>
  </si>
  <si>
    <t>ProMedica Memorial Hospital</t>
  </si>
  <si>
    <t>715 S Taft Ave</t>
  </si>
  <si>
    <t>Fremont</t>
  </si>
  <si>
    <t>43420-3237</t>
  </si>
  <si>
    <t>(419) 332-7321</t>
  </si>
  <si>
    <t>ProMedica Health System Inc</t>
  </si>
  <si>
    <t>Q574</t>
  </si>
  <si>
    <t>Lima Memorial Health System</t>
  </si>
  <si>
    <t>1001 Bellefontaine Ave</t>
  </si>
  <si>
    <t>Lima</t>
  </si>
  <si>
    <t>45804-2800</t>
  </si>
  <si>
    <t>(419) 228-3335</t>
  </si>
  <si>
    <t>Q454</t>
  </si>
  <si>
    <t>Ashtabula County Medical Center</t>
  </si>
  <si>
    <t>2420 Lake Ave</t>
  </si>
  <si>
    <t>Ashtabula</t>
  </si>
  <si>
    <t>(440) 997-2262</t>
  </si>
  <si>
    <t>W267</t>
  </si>
  <si>
    <t>Southwest Mississippi Regional Medical Center</t>
  </si>
  <si>
    <t>215 Marion Ave</t>
  </si>
  <si>
    <t>Mccomb</t>
  </si>
  <si>
    <t>39648-2705</t>
  </si>
  <si>
    <t>(601) 249-5500</t>
  </si>
  <si>
    <t>R323</t>
  </si>
  <si>
    <t>United Health Services Inc</t>
  </si>
  <si>
    <t>10-42 Mitchell Ave</t>
  </si>
  <si>
    <t>Binghamton</t>
  </si>
  <si>
    <t>NY</t>
  </si>
  <si>
    <t>13903-1678</t>
  </si>
  <si>
    <t>(607) 762-2200</t>
  </si>
  <si>
    <t>S939</t>
  </si>
  <si>
    <t>Childrens Medical Center of Dallas</t>
  </si>
  <si>
    <t>1935 Medical District Dr</t>
  </si>
  <si>
    <t>Dallas</t>
  </si>
  <si>
    <t>75235-7701</t>
  </si>
  <si>
    <t>(214) 456-7000</t>
  </si>
  <si>
    <t>Childrens Health System of Texas</t>
  </si>
  <si>
    <t>Amy Gilfillan</t>
  </si>
  <si>
    <t>amy.gilfillan@vizientinc.com</t>
  </si>
  <si>
    <t>V241</t>
  </si>
  <si>
    <t>Froedtert Menomonee Falls Hospital</t>
  </si>
  <si>
    <t>W180n8085 Town Hall Rd</t>
  </si>
  <si>
    <t>Menomonee Falls</t>
  </si>
  <si>
    <t>53051-3558</t>
  </si>
  <si>
    <t>(262) 251-1000</t>
  </si>
  <si>
    <t>U328</t>
  </si>
  <si>
    <t>Tuality Forest Grove Hospital</t>
  </si>
  <si>
    <t>1809 Maple St</t>
  </si>
  <si>
    <t>Forest Grove</t>
  </si>
  <si>
    <t>97116-1939</t>
  </si>
  <si>
    <t>(503) 357-2173</t>
  </si>
  <si>
    <t>R864</t>
  </si>
  <si>
    <t>Cookeville Regional Medical Group</t>
  </si>
  <si>
    <t>Cookeville</t>
  </si>
  <si>
    <t>38501-4294</t>
  </si>
  <si>
    <t>(931) 528-2541</t>
  </si>
  <si>
    <t>Cookeville Regional Medical Center Authority</t>
  </si>
  <si>
    <t>Cookeville Regional Medical Center</t>
  </si>
  <si>
    <t>Ashley Lemons</t>
  </si>
  <si>
    <t>ashley.lemons@vizientinc.com</t>
  </si>
  <si>
    <t>Clinic</t>
  </si>
  <si>
    <t>Clinic/Medical Group</t>
  </si>
  <si>
    <t>U969</t>
  </si>
  <si>
    <t>Baptist Anderson Regional Medical Center</t>
  </si>
  <si>
    <t>2124 14th St</t>
  </si>
  <si>
    <t>Anderson Regional Medical Center</t>
  </si>
  <si>
    <t>Meridian</t>
  </si>
  <si>
    <t>39301-4040</t>
  </si>
  <si>
    <t>(601) 483-8811</t>
  </si>
  <si>
    <t>W061</t>
  </si>
  <si>
    <t>ECU Health Roanoke-Chowan Hospital</t>
  </si>
  <si>
    <t>500 Academy St S</t>
  </si>
  <si>
    <t>Ahoskie</t>
  </si>
  <si>
    <t>27910-3261</t>
  </si>
  <si>
    <t>(252) 209-3000</t>
  </si>
  <si>
    <t>University Health Systems of Eastern Carolina Inc d/b/a ECU Health</t>
  </si>
  <si>
    <t>Kelsey Adams</t>
  </si>
  <si>
    <t>kadams@ncha.org</t>
  </si>
  <si>
    <t>R158</t>
  </si>
  <si>
    <t>Highland Hospital</t>
  </si>
  <si>
    <t>1000 South Ave</t>
  </si>
  <si>
    <t>Rochester</t>
  </si>
  <si>
    <t>14620-2782</t>
  </si>
  <si>
    <t>(585) 473-2200</t>
  </si>
  <si>
    <t>University of Rochester Medical System</t>
  </si>
  <si>
    <t>R326</t>
  </si>
  <si>
    <t>Cayuga Medical Center at Ithaca</t>
  </si>
  <si>
    <t>101 Dates Dr</t>
  </si>
  <si>
    <t>Ithaca</t>
  </si>
  <si>
    <t>14850-1383</t>
  </si>
  <si>
    <t>(607) 274-4011</t>
  </si>
  <si>
    <t>Centralus Health</t>
  </si>
  <si>
    <t>Cayuga Health System Inc</t>
  </si>
  <si>
    <t>Empire Metro Sourcing Collaborative</t>
  </si>
  <si>
    <t>R156</t>
  </si>
  <si>
    <t>The Unity Hospital of Rochester</t>
  </si>
  <si>
    <t>1555 Long Pond Rd</t>
  </si>
  <si>
    <t>14626-4122</t>
  </si>
  <si>
    <t>(585) 723-7000</t>
  </si>
  <si>
    <t>Rochester Regional Health System</t>
  </si>
  <si>
    <t>Unity Health System</t>
  </si>
  <si>
    <t>R347</t>
  </si>
  <si>
    <t>Geneva General Hospital</t>
  </si>
  <si>
    <t>196 North St</t>
  </si>
  <si>
    <t>Geneva</t>
  </si>
  <si>
    <t>14456-1694</t>
  </si>
  <si>
    <t>(315) 787-4000</t>
  </si>
  <si>
    <t>Finger Lakes Health</t>
  </si>
  <si>
    <t>W035</t>
  </si>
  <si>
    <t>Carolinas Medical Center</t>
  </si>
  <si>
    <t>1000 Blythe Blvd</t>
  </si>
  <si>
    <t>Charlotte</t>
  </si>
  <si>
    <t>(704) 355-2000</t>
  </si>
  <si>
    <t>Atrium Health</t>
  </si>
  <si>
    <t>Irene Watts</t>
  </si>
  <si>
    <t>iwatts@ncha.org</t>
  </si>
  <si>
    <t>NCHA Strategic Partners</t>
  </si>
  <si>
    <t>V996</t>
  </si>
  <si>
    <t>Cone Health Wesley Long Hospital</t>
  </si>
  <si>
    <t>2400 W Friendly Ave</t>
  </si>
  <si>
    <t>Greensboro</t>
  </si>
  <si>
    <t>27403-1109</t>
  </si>
  <si>
    <t>(336) 832-1000</t>
  </si>
  <si>
    <t>Kaiser Permanente</t>
  </si>
  <si>
    <t>Cone Health</t>
  </si>
  <si>
    <t>Sara Jusseaume</t>
  </si>
  <si>
    <t>sara.jusseaume@vizientinc.com</t>
  </si>
  <si>
    <t>V950</t>
  </si>
  <si>
    <t>WakeMed Raleigh Campus</t>
  </si>
  <si>
    <t>3000 New Bern Ave</t>
  </si>
  <si>
    <t>Raleigh</t>
  </si>
  <si>
    <t>27610-1231</t>
  </si>
  <si>
    <t>(919) 350-8000</t>
  </si>
  <si>
    <t>WakeMed</t>
  </si>
  <si>
    <t>R124</t>
  </si>
  <si>
    <t>Crouse Hospital</t>
  </si>
  <si>
    <t>736 Irving Ave</t>
  </si>
  <si>
    <t>Syracuse</t>
  </si>
  <si>
    <t>13210-1690</t>
  </si>
  <si>
    <t>(315) 470-7111</t>
  </si>
  <si>
    <t>R366</t>
  </si>
  <si>
    <t>Bassett Medical Center</t>
  </si>
  <si>
    <t>1 Atwell Rd</t>
  </si>
  <si>
    <t>Cooperstown</t>
  </si>
  <si>
    <t>13326-1394</t>
  </si>
  <si>
    <t>(607) 547-3456</t>
  </si>
  <si>
    <t>Bassett Healthcare Network</t>
  </si>
  <si>
    <t>V889</t>
  </si>
  <si>
    <t>Roper Hospital</t>
  </si>
  <si>
    <t>316 Calhoun St</t>
  </si>
  <si>
    <t>Charleston</t>
  </si>
  <si>
    <t>SC</t>
  </si>
  <si>
    <t>(843) 724-2000</t>
  </si>
  <si>
    <t>Roper St Francis Healthcare</t>
  </si>
  <si>
    <t>S012</t>
  </si>
  <si>
    <t>Herrin Hospital</t>
  </si>
  <si>
    <t>201 S 14th St</t>
  </si>
  <si>
    <t>Herrin</t>
  </si>
  <si>
    <t>(618) 942-2171</t>
  </si>
  <si>
    <t>R861</t>
  </si>
  <si>
    <t>Cumberland Medical Center</t>
  </si>
  <si>
    <t>421 S Main St</t>
  </si>
  <si>
    <t>Crossville</t>
  </si>
  <si>
    <t>38555-5048</t>
  </si>
  <si>
    <t>(865) 374-6923</t>
  </si>
  <si>
    <t>S637</t>
  </si>
  <si>
    <t>Sentara RMH Medical Center</t>
  </si>
  <si>
    <t>2010 Health Campus Dr</t>
  </si>
  <si>
    <t>Harrisonburg</t>
  </si>
  <si>
    <t>22801-8679</t>
  </si>
  <si>
    <t>(540) 433-4100</t>
  </si>
  <si>
    <t>S085</t>
  </si>
  <si>
    <t>Rush University Medical Center</t>
  </si>
  <si>
    <t>1653 W Congress</t>
  </si>
  <si>
    <t>(312) 942-5000</t>
  </si>
  <si>
    <t>Rush System for Health</t>
  </si>
  <si>
    <t>Midwest AMC Collaborative (MAC)</t>
  </si>
  <si>
    <t>V088</t>
  </si>
  <si>
    <t>Piedmont Columbus Regional Health Admin</t>
  </si>
  <si>
    <t>707 Center St</t>
  </si>
  <si>
    <t>31901-1575</t>
  </si>
  <si>
    <t>(706) 660-6100</t>
  </si>
  <si>
    <t>Q533</t>
  </si>
  <si>
    <t>Blanchard Valley Hospital</t>
  </si>
  <si>
    <t>1900 S Main St</t>
  </si>
  <si>
    <t>Findlay</t>
  </si>
  <si>
    <t>(419) 423-4500</t>
  </si>
  <si>
    <t>Blanchard Valley Health System</t>
  </si>
  <si>
    <t>Q735</t>
  </si>
  <si>
    <t>Community Hospital North</t>
  </si>
  <si>
    <t>7150 Clearvista Dr</t>
  </si>
  <si>
    <t>46256-1695</t>
  </si>
  <si>
    <t>(317) 621-6262</t>
  </si>
  <si>
    <t>P063</t>
  </si>
  <si>
    <t>Reading Hospital</t>
  </si>
  <si>
    <t>420 South 5th Ave</t>
  </si>
  <si>
    <t>West Reading</t>
  </si>
  <si>
    <t>(610) 988-8000</t>
  </si>
  <si>
    <t>S740</t>
  </si>
  <si>
    <t>Saint Peters University Hospital and Medica</t>
  </si>
  <si>
    <t>254 Easton Ave</t>
  </si>
  <si>
    <t>New Brunswick</t>
  </si>
  <si>
    <t>(732) 745-8522</t>
  </si>
  <si>
    <t>Saint Peters Healthcare System</t>
  </si>
  <si>
    <t>S264</t>
  </si>
  <si>
    <t>Norwalk Hospital Association</t>
  </si>
  <si>
    <t>34 Maple St</t>
  </si>
  <si>
    <t>Norwalk</t>
  </si>
  <si>
    <t>(203) 852-2000</t>
  </si>
  <si>
    <t>Q016</t>
  </si>
  <si>
    <t>Torrance Memorial Medical Center</t>
  </si>
  <si>
    <t>3330 Lomita Blvd</t>
  </si>
  <si>
    <t>Torrance</t>
  </si>
  <si>
    <t>(310) 325-9110</t>
  </si>
  <si>
    <t>P837</t>
  </si>
  <si>
    <t>Novato Community Hospital</t>
  </si>
  <si>
    <t>180 Rowland Way</t>
  </si>
  <si>
    <t>Novato</t>
  </si>
  <si>
    <t>(415) 209-1300</t>
  </si>
  <si>
    <t>Q029</t>
  </si>
  <si>
    <t>Sutter Solano Medical Center</t>
  </si>
  <si>
    <t>300 Hospital Dr</t>
  </si>
  <si>
    <t>Vallejo</t>
  </si>
  <si>
    <t>94589-2594</t>
  </si>
  <si>
    <t>(707) 554-4444</t>
  </si>
  <si>
    <t>P632</t>
  </si>
  <si>
    <t>Sutter Davis Hospital</t>
  </si>
  <si>
    <t>2000 Sutter Pl</t>
  </si>
  <si>
    <t>Davis</t>
  </si>
  <si>
    <t>95616-6201</t>
  </si>
  <si>
    <t>(530) 756-6440</t>
  </si>
  <si>
    <t>VHE1</t>
  </si>
  <si>
    <t>MedStar Washington Hospital Center Corporation</t>
  </si>
  <si>
    <t>100 Irving St Nw</t>
  </si>
  <si>
    <t>DC</t>
  </si>
  <si>
    <t>(202) 877-7000</t>
  </si>
  <si>
    <t>MedStar Health Inc</t>
  </si>
  <si>
    <t>VH66</t>
  </si>
  <si>
    <t>123 Baptist Way</t>
  </si>
  <si>
    <t>(850) 469-2338</t>
  </si>
  <si>
    <t>W432</t>
  </si>
  <si>
    <t>2085 Frontis Plaza Blvd 4th Fl</t>
  </si>
  <si>
    <t>VHF6</t>
  </si>
  <si>
    <t>Willis-Knighton Health System</t>
  </si>
  <si>
    <t>(318) 212-4600</t>
  </si>
  <si>
    <t>W435</t>
  </si>
  <si>
    <t>VHB5</t>
  </si>
  <si>
    <t>39581-5301</t>
  </si>
  <si>
    <t>W176</t>
  </si>
  <si>
    <t>Ocean Springs Hospital</t>
  </si>
  <si>
    <t>3109 Bienville Blvd</t>
  </si>
  <si>
    <t>Ocean Springs</t>
  </si>
  <si>
    <t>39564-4361</t>
  </si>
  <si>
    <t>(228) 818-1111</t>
  </si>
  <si>
    <t>W393</t>
  </si>
  <si>
    <t>Novant Health Hawthorne Outpatient Surgery</t>
  </si>
  <si>
    <t>1999 S Hawthorne Rd</t>
  </si>
  <si>
    <t>27103-3916</t>
  </si>
  <si>
    <t>(336) 718-6800</t>
  </si>
  <si>
    <t>NH Surgery Center</t>
  </si>
  <si>
    <t>Vicky Story</t>
  </si>
  <si>
    <t>vicky.story@vizientinc.com</t>
  </si>
  <si>
    <t>Ambulatory Surgery Center</t>
  </si>
  <si>
    <t>Q135</t>
  </si>
  <si>
    <t>UCHealth Memorial Hospital Central</t>
  </si>
  <si>
    <t>1400 E Boulder St</t>
  </si>
  <si>
    <t>Colorado Springs</t>
  </si>
  <si>
    <t>80909-5533</t>
  </si>
  <si>
    <t>(719) 365-5000</t>
  </si>
  <si>
    <t>UCHealth University of Colorado Hospital</t>
  </si>
  <si>
    <t>S366</t>
  </si>
  <si>
    <t>Newton-Wellesley Hospital</t>
  </si>
  <si>
    <t>2014 Washington St</t>
  </si>
  <si>
    <t>Newton</t>
  </si>
  <si>
    <t>(617) 243-6000</t>
  </si>
  <si>
    <t>Joseph Cirillo</t>
  </si>
  <si>
    <t>joseph.cirillo@vizientinc.com</t>
  </si>
  <si>
    <t>S396</t>
  </si>
  <si>
    <t>Lawrence General Hospital</t>
  </si>
  <si>
    <t>1 General St</t>
  </si>
  <si>
    <t>Lawrence</t>
  </si>
  <si>
    <t>(978) 683-4000</t>
  </si>
  <si>
    <t>V065</t>
  </si>
  <si>
    <t>Wellstar Atlanta Medical Center South Campus</t>
  </si>
  <si>
    <t>1170 Cleveland Avenue</t>
  </si>
  <si>
    <t>East Point</t>
  </si>
  <si>
    <t>(404) 466-1170</t>
  </si>
  <si>
    <t>S194</t>
  </si>
  <si>
    <t>Rhode Island Hospital</t>
  </si>
  <si>
    <t>593 Eddy St</t>
  </si>
  <si>
    <t>RI</t>
  </si>
  <si>
    <t>(401) 444-4000</t>
  </si>
  <si>
    <t>Brown University Health</t>
  </si>
  <si>
    <t>U122</t>
  </si>
  <si>
    <t>Sheridan Memorial Hospital</t>
  </si>
  <si>
    <t>1401 W 5th St</t>
  </si>
  <si>
    <t>Sheridan</t>
  </si>
  <si>
    <t>82801-2705</t>
  </si>
  <si>
    <t>(307) 672-1000</t>
  </si>
  <si>
    <t>R603</t>
  </si>
  <si>
    <t>Geisinger Community Medical Center</t>
  </si>
  <si>
    <t>1800 Mulberry St</t>
  </si>
  <si>
    <t>Scranton</t>
  </si>
  <si>
    <t>18510-2369</t>
  </si>
  <si>
    <t>(570) 969-8000</t>
  </si>
  <si>
    <t>Geisinger System Services</t>
  </si>
  <si>
    <t>Sandra Hayter</t>
  </si>
  <si>
    <t>sandra.hayter@vizientinc.com</t>
  </si>
  <si>
    <t>Q960</t>
  </si>
  <si>
    <t>South Mississippi County Regional Medical Center</t>
  </si>
  <si>
    <t>611 W Lee Ave</t>
  </si>
  <si>
    <t>Osceola</t>
  </si>
  <si>
    <t>72370-3001</t>
  </si>
  <si>
    <t>(870) 563-7000</t>
  </si>
  <si>
    <t>U304</t>
  </si>
  <si>
    <t>Providence Willamette Falls Medical Center</t>
  </si>
  <si>
    <t>1500 Division St</t>
  </si>
  <si>
    <t>Oregon City</t>
  </si>
  <si>
    <t>97045-1597</t>
  </si>
  <si>
    <t>(503) 656-1631</t>
  </si>
  <si>
    <t>PH&amp;S Oregon Region</t>
  </si>
  <si>
    <t>V159</t>
  </si>
  <si>
    <t>Tri-County Memorial Hospital Inc</t>
  </si>
  <si>
    <t>18601 Lincoln St</t>
  </si>
  <si>
    <t>Whitehall</t>
  </si>
  <si>
    <t>54773-8605</t>
  </si>
  <si>
    <t>(715) 538-4361</t>
  </si>
  <si>
    <t>U491</t>
  </si>
  <si>
    <t>Tweeten/Lutheran Health Care Center Inc</t>
  </si>
  <si>
    <t>125 5th Ave Se</t>
  </si>
  <si>
    <t>Spring Grove</t>
  </si>
  <si>
    <t>55974-1318</t>
  </si>
  <si>
    <t>(507) 498-3211</t>
  </si>
  <si>
    <t>Aneta Greiner</t>
  </si>
  <si>
    <t>aneta.greiner@vizientinc.com</t>
  </si>
  <si>
    <t>Nursing Home</t>
  </si>
  <si>
    <t>R224</t>
  </si>
  <si>
    <t>NewYork-Presbyterian - Columbia University Irving Medical Center</t>
  </si>
  <si>
    <t>622 W 168th St</t>
  </si>
  <si>
    <t>New York</t>
  </si>
  <si>
    <t>10032-3784</t>
  </si>
  <si>
    <t>(212) 305-2500</t>
  </si>
  <si>
    <t>NewYork-Presbyterian Hospital</t>
  </si>
  <si>
    <t>Bergeth Guzman</t>
  </si>
  <si>
    <t>bergeth.guzman@vizientinc.com</t>
  </si>
  <si>
    <t>P247</t>
  </si>
  <si>
    <t>NewYork-Presbyterian - Weill Cornell Medical Center</t>
  </si>
  <si>
    <t>525 E 68th St</t>
  </si>
  <si>
    <t>10065-4870</t>
  </si>
  <si>
    <t>(212) 746-5454</t>
  </si>
  <si>
    <t>R115</t>
  </si>
  <si>
    <t>Samaritan Hospital</t>
  </si>
  <si>
    <t>2215 Burdett Ave</t>
  </si>
  <si>
    <t>(518) 271-3300</t>
  </si>
  <si>
    <t>Northeast Health System</t>
  </si>
  <si>
    <t>Q805</t>
  </si>
  <si>
    <t>Porter Health System</t>
  </si>
  <si>
    <t>85 E Us Highway 6</t>
  </si>
  <si>
    <t>Valparaiso</t>
  </si>
  <si>
    <t>46383-8947</t>
  </si>
  <si>
    <t>(219) 263-4600</t>
  </si>
  <si>
    <t>Q719</t>
  </si>
  <si>
    <t>Parkview Hospital</t>
  </si>
  <si>
    <t>2200 Randallia Dr</t>
  </si>
  <si>
    <t>Fort Wayne</t>
  </si>
  <si>
    <t>46805-4699</t>
  </si>
  <si>
    <t>(260) 373-4000</t>
  </si>
  <si>
    <t>S743</t>
  </si>
  <si>
    <t>Jersey Shore Medical Center</t>
  </si>
  <si>
    <t>1945 Rt 33</t>
  </si>
  <si>
    <t>Neptune</t>
  </si>
  <si>
    <t>(732) 775-7500</t>
  </si>
  <si>
    <t>R034</t>
  </si>
  <si>
    <t>Good Samaritan Hospital-IN</t>
  </si>
  <si>
    <t>520 S 7th St</t>
  </si>
  <si>
    <t>Vincennes</t>
  </si>
  <si>
    <t>47591-1038</t>
  </si>
  <si>
    <t>(812) 882-5220</t>
  </si>
  <si>
    <t>Q321</t>
  </si>
  <si>
    <t>Holland Hospital</t>
  </si>
  <si>
    <t>602 Michigan Ave</t>
  </si>
  <si>
    <t>Holland</t>
  </si>
  <si>
    <t>49423-4918</t>
  </si>
  <si>
    <t>(616) 392-5141</t>
  </si>
  <si>
    <t>Q946</t>
  </si>
  <si>
    <t>Baptist Health Medical Center-Stuttgart</t>
  </si>
  <si>
    <t>1703 N Buerkle St</t>
  </si>
  <si>
    <t>Stuttgart</t>
  </si>
  <si>
    <t>72160-3153</t>
  </si>
  <si>
    <t>(870) 673-3511</t>
  </si>
  <si>
    <t>H040</t>
  </si>
  <si>
    <t>Dr P Phillips Hospital</t>
  </si>
  <si>
    <t>9400 Turkey Lake Rd</t>
  </si>
  <si>
    <t>32819-8001</t>
  </si>
  <si>
    <t>(407) 351-8500</t>
  </si>
  <si>
    <t>VV07</t>
  </si>
  <si>
    <t>Empire Health Services</t>
  </si>
  <si>
    <t>800 W 5th Ave</t>
  </si>
  <si>
    <t>Spokane</t>
  </si>
  <si>
    <t>99204-2803</t>
  </si>
  <si>
    <t>(509) 458-7965</t>
  </si>
  <si>
    <t>S139</t>
  </si>
  <si>
    <t>Memorial Hospital of Carbondale</t>
  </si>
  <si>
    <t>405 W Jackson St</t>
  </si>
  <si>
    <t>62901-1467</t>
  </si>
  <si>
    <t>(618) 549-0721</t>
  </si>
  <si>
    <t>R282</t>
  </si>
  <si>
    <t>Bronx-Lebanon Hospital Center</t>
  </si>
  <si>
    <t>1276 Fulton Ave</t>
  </si>
  <si>
    <t>Bronx</t>
  </si>
  <si>
    <t>(718) 590-1800</t>
  </si>
  <si>
    <t>R151</t>
  </si>
  <si>
    <t>Mercy Hospital</t>
  </si>
  <si>
    <t>1000 N Village Ave</t>
  </si>
  <si>
    <t>Rockville Centre</t>
  </si>
  <si>
    <t>11570-1098</t>
  </si>
  <si>
    <t>(516) 255-0111</t>
  </si>
  <si>
    <t>Catholic Health System of Long Island Inc. dba Health</t>
  </si>
  <si>
    <t>R293</t>
  </si>
  <si>
    <t>Montefiore New Rochelle Hospital</t>
  </si>
  <si>
    <t>16 Guion Pl</t>
  </si>
  <si>
    <t>New Rochelle</t>
  </si>
  <si>
    <t>(914) 632-5000</t>
  </si>
  <si>
    <t>Montefiore Health System</t>
  </si>
  <si>
    <t>R132</t>
  </si>
  <si>
    <t>Stony Brook Southampton Hospital</t>
  </si>
  <si>
    <t>240 Meeting House Ln</t>
  </si>
  <si>
    <t>Southampton</t>
  </si>
  <si>
    <t>11968-5090</t>
  </si>
  <si>
    <t>(631) 726-8200</t>
  </si>
  <si>
    <t>Stony Brook University Hospital</t>
  </si>
  <si>
    <t>R215</t>
  </si>
  <si>
    <t>Saint Barnabas Hospital</t>
  </si>
  <si>
    <t>4422 3rd Ave</t>
  </si>
  <si>
    <t>10457-2545</t>
  </si>
  <si>
    <t>(212) 960-9000</t>
  </si>
  <si>
    <t>R213</t>
  </si>
  <si>
    <t>St Johns Episcopal Hospital</t>
  </si>
  <si>
    <t>327 Beach 19th St</t>
  </si>
  <si>
    <t>Far Rockaway</t>
  </si>
  <si>
    <t>(718) 869-7707</t>
  </si>
  <si>
    <t>V328</t>
  </si>
  <si>
    <t>500 S Maple St</t>
  </si>
  <si>
    <t>Waconia</t>
  </si>
  <si>
    <t>55387-1791</t>
  </si>
  <si>
    <t>(952) 442-2191</t>
  </si>
  <si>
    <t>S716</t>
  </si>
  <si>
    <t>Chilton Hospital</t>
  </si>
  <si>
    <t>97 W Pkwy</t>
  </si>
  <si>
    <t>Pompton Plains</t>
  </si>
  <si>
    <t>(973) 831-5000</t>
  </si>
  <si>
    <t>Atlantic Health</t>
  </si>
  <si>
    <t>U013</t>
  </si>
  <si>
    <t>Midland Memorial - Illinois Ave</t>
  </si>
  <si>
    <t>2200 W Illinois Ave</t>
  </si>
  <si>
    <t>Midland</t>
  </si>
  <si>
    <t>(432) 685-1111</t>
  </si>
  <si>
    <t>Midland Memorial Healthcare System</t>
  </si>
  <si>
    <t>Kim Aguilar</t>
  </si>
  <si>
    <t>kim.aguilar@vizientinc.com</t>
  </si>
  <si>
    <t>TPC Network</t>
  </si>
  <si>
    <t>TPC - RX</t>
  </si>
  <si>
    <t>V347</t>
  </si>
  <si>
    <t>Greenwood Leflore Hospital</t>
  </si>
  <si>
    <t>1401 River Rd</t>
  </si>
  <si>
    <t>Greenwood</t>
  </si>
  <si>
    <t>38930-4030</t>
  </si>
  <si>
    <t>(662) 459-7000</t>
  </si>
  <si>
    <t>R746</t>
  </si>
  <si>
    <t>Hardin Medical Center</t>
  </si>
  <si>
    <t>935 Wayne Rd</t>
  </si>
  <si>
    <t>Savannah</t>
  </si>
  <si>
    <t>(731) 926-8000</t>
  </si>
  <si>
    <t>U512</t>
  </si>
  <si>
    <t>CentraCare Paynesville Hospital</t>
  </si>
  <si>
    <t>200 W 1st St</t>
  </si>
  <si>
    <t>Paynesville</t>
  </si>
  <si>
    <t>56362-1445</t>
  </si>
  <si>
    <t>(320) 243-7710</t>
  </si>
  <si>
    <t>H042</t>
  </si>
  <si>
    <t>Acadia - St Landry Hospital</t>
  </si>
  <si>
    <t>810 S Broadway St</t>
  </si>
  <si>
    <t>Church Point</t>
  </si>
  <si>
    <t>70525-4497</t>
  </si>
  <si>
    <t>(337) 684-5435</t>
  </si>
  <si>
    <t>W327</t>
  </si>
  <si>
    <t>George Regional Health System</t>
  </si>
  <si>
    <t>859 Winter St</t>
  </si>
  <si>
    <t>Lucedale</t>
  </si>
  <si>
    <t>39452-6603</t>
  </si>
  <si>
    <t>(601) 947-9148</t>
  </si>
  <si>
    <t>P375</t>
  </si>
  <si>
    <t>Mobile Infirmary Medical Center</t>
  </si>
  <si>
    <t>5 Mobile Infirmary Cir</t>
  </si>
  <si>
    <t>36607-3513</t>
  </si>
  <si>
    <t>(251) 435-2400</t>
  </si>
  <si>
    <t>Q935</t>
  </si>
  <si>
    <t>Lehigh Valley Health Network</t>
  </si>
  <si>
    <t>1200 S Cedar Crest Blvd</t>
  </si>
  <si>
    <t>Allentown</t>
  </si>
  <si>
    <t>18103-6202</t>
  </si>
  <si>
    <t>(610) 402-8000</t>
  </si>
  <si>
    <t>Lehigh Valley Health Network Inc</t>
  </si>
  <si>
    <t>P239</t>
  </si>
  <si>
    <t>Lehigh Valley Hospital - Cedar Crest</t>
  </si>
  <si>
    <t>V168</t>
  </si>
  <si>
    <t>Waukesha Memorial Hospital Inc</t>
  </si>
  <si>
    <t>725 American Ave</t>
  </si>
  <si>
    <t>53188-5099</t>
  </si>
  <si>
    <t>(262) 928-1000</t>
  </si>
  <si>
    <t>T402</t>
  </si>
  <si>
    <t>Trinity Health</t>
  </si>
  <si>
    <t>2305 37th Ave Sw</t>
  </si>
  <si>
    <t>Minot</t>
  </si>
  <si>
    <t>58701-7669</t>
  </si>
  <si>
    <t>(701) 857-5000</t>
  </si>
  <si>
    <t>S417</t>
  </si>
  <si>
    <t>St Annes Hospital</t>
  </si>
  <si>
    <t>795 Middle St</t>
  </si>
  <si>
    <t>Fall River</t>
  </si>
  <si>
    <t>(508) 674-5600</t>
  </si>
  <si>
    <t>S421</t>
  </si>
  <si>
    <t>Emerson Hospital</t>
  </si>
  <si>
    <t>133 Old Rd Nine Acre Corner</t>
  </si>
  <si>
    <t>Concord</t>
  </si>
  <si>
    <t>(978) 369-1400</t>
  </si>
  <si>
    <t>Q820</t>
  </si>
  <si>
    <t>Gnaden Huetten Memorial Hospital</t>
  </si>
  <si>
    <t>211 N 12th St</t>
  </si>
  <si>
    <t>Lehighton</t>
  </si>
  <si>
    <t>18235-1138</t>
  </si>
  <si>
    <t>(610) 377-1300</t>
  </si>
  <si>
    <t>St Lukes Hospital - Bethlehem Campus</t>
  </si>
  <si>
    <t>Blue Mountain Health System</t>
  </si>
  <si>
    <t>S720</t>
  </si>
  <si>
    <t>St Lukes Warren Hospital</t>
  </si>
  <si>
    <t>185 Roseberry St</t>
  </si>
  <si>
    <t>Phillipsburg</t>
  </si>
  <si>
    <t>(908) 859-6700</t>
  </si>
  <si>
    <t>R710</t>
  </si>
  <si>
    <t>Montgomery Hospital</t>
  </si>
  <si>
    <t>1301 Powell St</t>
  </si>
  <si>
    <t>Norristown</t>
  </si>
  <si>
    <t>19401-3377</t>
  </si>
  <si>
    <t>(610) 270-2000</t>
  </si>
  <si>
    <t>P594</t>
  </si>
  <si>
    <t>Sutter Mills Peninsula Medical Center</t>
  </si>
  <si>
    <t>1501 Trousdale Dr</t>
  </si>
  <si>
    <t>Burlingame</t>
  </si>
  <si>
    <t>94010-4506</t>
  </si>
  <si>
    <t>(650) 696-5400</t>
  </si>
  <si>
    <t>R594</t>
  </si>
  <si>
    <t>Sharon Regional Health System</t>
  </si>
  <si>
    <t>740 E State St</t>
  </si>
  <si>
    <t>Sharon</t>
  </si>
  <si>
    <t>16146-3328</t>
  </si>
  <si>
    <t>(724) 983-3911</t>
  </si>
  <si>
    <t>Q724</t>
  </si>
  <si>
    <t>The Methodist Hospital of Gary Inc</t>
  </si>
  <si>
    <t>600 Grant St</t>
  </si>
  <si>
    <t>Gary</t>
  </si>
  <si>
    <t>(219) 886-4000</t>
  </si>
  <si>
    <t>S525</t>
  </si>
  <si>
    <t>MedStar Washington Hospital Center</t>
  </si>
  <si>
    <t>110 Irving St Nw</t>
  </si>
  <si>
    <t>VHE4</t>
  </si>
  <si>
    <t>MedStar Physical Therapy-NRH</t>
  </si>
  <si>
    <t>102 Irving St Nw</t>
  </si>
  <si>
    <t>(202) 877-1000</t>
  </si>
  <si>
    <t>Q010</t>
  </si>
  <si>
    <t>Jefferson Torresdale Hospital</t>
  </si>
  <si>
    <t>10800 Knights Rd</t>
  </si>
  <si>
    <t>Knights and Red Lion Rds</t>
  </si>
  <si>
    <t>(215) 612-4000</t>
  </si>
  <si>
    <t>S457</t>
  </si>
  <si>
    <t>Massachusetts Eye and Ear Infirmary</t>
  </si>
  <si>
    <t>243 Charles St</t>
  </si>
  <si>
    <t>(617) 523-7900</t>
  </si>
  <si>
    <t>R616</t>
  </si>
  <si>
    <t>Lehigh Valley Hospital - Schulykill South</t>
  </si>
  <si>
    <t>420 S Jackson St</t>
  </si>
  <si>
    <t>Pottsville</t>
  </si>
  <si>
    <t>(484) 884-0333</t>
  </si>
  <si>
    <t>V124</t>
  </si>
  <si>
    <t>Children's Scottish Rite Hospital</t>
  </si>
  <si>
    <t>1001 Johnson Ferry Rd Ne</t>
  </si>
  <si>
    <t>30342-1605</t>
  </si>
  <si>
    <t>(404) 256-5252</t>
  </si>
  <si>
    <t>Childrens Healthcare of Atlanta</t>
  </si>
  <si>
    <t>Eric Walker</t>
  </si>
  <si>
    <t>eric.walker@vizientinc.com</t>
  </si>
  <si>
    <t>V062</t>
  </si>
  <si>
    <t>Elbert Memorial Hospital</t>
  </si>
  <si>
    <t>4 Medical Drive</t>
  </si>
  <si>
    <t>Elberton</t>
  </si>
  <si>
    <t>(864) 898-1262</t>
  </si>
  <si>
    <t>P965</t>
  </si>
  <si>
    <t>Cottage Health</t>
  </si>
  <si>
    <t>Pueblo And Bath Sts</t>
  </si>
  <si>
    <t>Santa Barbara</t>
  </si>
  <si>
    <t>(805) 682-7111</t>
  </si>
  <si>
    <t>W469</t>
  </si>
  <si>
    <t>Upper Chesapeake Health</t>
  </si>
  <si>
    <t>500 Upper Chesapeake Dr</t>
  </si>
  <si>
    <t>Bel Air</t>
  </si>
  <si>
    <t>21014-4324</t>
  </si>
  <si>
    <t>(443) 643-1000</t>
  </si>
  <si>
    <t>R483</t>
  </si>
  <si>
    <t>Upper Chesapeake Medical Center Inc</t>
  </si>
  <si>
    <t>S341</t>
  </si>
  <si>
    <t>UMass Memorial Health - Harrington Hospital Inc</t>
  </si>
  <si>
    <t>100 South St</t>
  </si>
  <si>
    <t>Southbridge</t>
  </si>
  <si>
    <t>(508) 765-9771</t>
  </si>
  <si>
    <t>V922</t>
  </si>
  <si>
    <t>Novant Health Thomasville Medical Center</t>
  </si>
  <si>
    <t>207 Old Lexington Rd</t>
  </si>
  <si>
    <t>(336) 472-2000</t>
  </si>
  <si>
    <t>W517</t>
  </si>
  <si>
    <t>AtlantiCare Regional Medical Center Mainland</t>
  </si>
  <si>
    <t>65 W Jimmie Leeds Rd</t>
  </si>
  <si>
    <t>(609) 652-1000</t>
  </si>
  <si>
    <t>Q529</t>
  </si>
  <si>
    <t>OhioHealth Riverside Methodist Hospital</t>
  </si>
  <si>
    <t>3535 Olentangy River Rd</t>
  </si>
  <si>
    <t>(614) 566-5000</t>
  </si>
  <si>
    <t>Q626</t>
  </si>
  <si>
    <t>Southern Ohio Medical Center - Mercy Campus</t>
  </si>
  <si>
    <t>1248 Kinneys Lane</t>
  </si>
  <si>
    <t>(614) 353-2131</t>
  </si>
  <si>
    <t>U657</t>
  </si>
  <si>
    <t>Montgomery County Memorial Hospital</t>
  </si>
  <si>
    <t>2301 Eastern Ave</t>
  </si>
  <si>
    <t>Red Oak</t>
  </si>
  <si>
    <t>(712) 623-7000</t>
  </si>
  <si>
    <t>W359</t>
  </si>
  <si>
    <t>OhioHealth Marion General Hospital</t>
  </si>
  <si>
    <t>1000 Mckinley Park Dr</t>
  </si>
  <si>
    <t>43302-6399</t>
  </si>
  <si>
    <t>(740) 383-8400</t>
  </si>
  <si>
    <t>V907</t>
  </si>
  <si>
    <t>Novant Health Medical Park Hospital</t>
  </si>
  <si>
    <t>1950 S Hawthorne Rd</t>
  </si>
  <si>
    <t>(336) 718-0600</t>
  </si>
  <si>
    <t>S190</t>
  </si>
  <si>
    <t>Women and Infants Hospital</t>
  </si>
  <si>
    <t>101 Dudley St</t>
  </si>
  <si>
    <t>(401) 274-1100</t>
  </si>
  <si>
    <t>Care New England</t>
  </si>
  <si>
    <t>S189</t>
  </si>
  <si>
    <t>Bradley Hospital</t>
  </si>
  <si>
    <t>1011 Veterans Memorial Pkwy</t>
  </si>
  <si>
    <t>Riverside</t>
  </si>
  <si>
    <t>(401) 432-1000</t>
  </si>
  <si>
    <t>W472</t>
  </si>
  <si>
    <t>Sutter Medical Center Sacramento</t>
  </si>
  <si>
    <t>2825 Capitol Ave</t>
  </si>
  <si>
    <t>95816-6039</t>
  </si>
  <si>
    <t>(916) 454-2222</t>
  </si>
  <si>
    <t>Q881</t>
  </si>
  <si>
    <t>Delaware County Memorial Hospital</t>
  </si>
  <si>
    <t>501 N Lansdowne Ave</t>
  </si>
  <si>
    <t>Drexel Hill</t>
  </si>
  <si>
    <t>(610) 284-8100</t>
  </si>
  <si>
    <t>S640</t>
  </si>
  <si>
    <t>Sentara Careplex Hospital</t>
  </si>
  <si>
    <t>3000 Coliseum Dr</t>
  </si>
  <si>
    <t>Hampton</t>
  </si>
  <si>
    <t>23666-5963</t>
  </si>
  <si>
    <t>(757) 736-1000</t>
  </si>
  <si>
    <t>U605</t>
  </si>
  <si>
    <t>Cambridge Medical Center</t>
  </si>
  <si>
    <t>701 Dellwood St S</t>
  </si>
  <si>
    <t>55008-1923</t>
  </si>
  <si>
    <t>(763) 689-7700</t>
  </si>
  <si>
    <t>S230</t>
  </si>
  <si>
    <t>Exeter Hospital</t>
  </si>
  <si>
    <t>5 Alumni Dr</t>
  </si>
  <si>
    <t>Exeter</t>
  </si>
  <si>
    <t>(603) 778-7311</t>
  </si>
  <si>
    <t>S199</t>
  </si>
  <si>
    <t>Newport Hospital</t>
  </si>
  <si>
    <t>11 Friendship St</t>
  </si>
  <si>
    <t>Newport</t>
  </si>
  <si>
    <t>(401) 846-6400</t>
  </si>
  <si>
    <t>P317</t>
  </si>
  <si>
    <t>Washington County Hospital &amp; Nursing Home</t>
  </si>
  <si>
    <t>14600 Saint Stephens Ave</t>
  </si>
  <si>
    <t>Chatom</t>
  </si>
  <si>
    <t>36518-6711</t>
  </si>
  <si>
    <t>(251) 847-2223</t>
  </si>
  <si>
    <t>Alabama Hospital Association</t>
  </si>
  <si>
    <t>W475</t>
  </si>
  <si>
    <t>LindenGrove Inc</t>
  </si>
  <si>
    <t>18650 W Corporate Dr</t>
  </si>
  <si>
    <t>Long Term Care Facility</t>
  </si>
  <si>
    <t>Brookfield</t>
  </si>
  <si>
    <t>53045-6344</t>
  </si>
  <si>
    <t>(262) 797-4600</t>
  </si>
  <si>
    <t>W479</t>
  </si>
  <si>
    <t>Upper Valley Medical Center</t>
  </si>
  <si>
    <t>3130 N County Road 25a</t>
  </si>
  <si>
    <t>45373-1337</t>
  </si>
  <si>
    <t>(937) 440-4000</t>
  </si>
  <si>
    <t>UVMC</t>
  </si>
  <si>
    <t>S380</t>
  </si>
  <si>
    <t>Melrose-Wakefield Hospital</t>
  </si>
  <si>
    <t>585 Lebanon St</t>
  </si>
  <si>
    <t>Melrose</t>
  </si>
  <si>
    <t>(781) 979-3000</t>
  </si>
  <si>
    <t>W480</t>
  </si>
  <si>
    <t>Inspira Medical Centers Inc</t>
  </si>
  <si>
    <t>S325</t>
  </si>
  <si>
    <t>Baystate Mary Lane Hospital</t>
  </si>
  <si>
    <t>85 South St</t>
  </si>
  <si>
    <t>Ware</t>
  </si>
  <si>
    <t>(413) 967-6211</t>
  </si>
  <si>
    <t>Baystate Medical Center</t>
  </si>
  <si>
    <t>W524</t>
  </si>
  <si>
    <t>625 3rd St</t>
  </si>
  <si>
    <t>67661-2138</t>
  </si>
  <si>
    <t>(785) 543-2111</t>
  </si>
  <si>
    <t>V786</t>
  </si>
  <si>
    <t>Hays Medical Center</t>
  </si>
  <si>
    <t>2220 Canterbury Dr</t>
  </si>
  <si>
    <t>Hays</t>
  </si>
  <si>
    <t>(785) 623-5000</t>
  </si>
  <si>
    <t>V749</t>
  </si>
  <si>
    <t>Lindsborg Community Hospital</t>
  </si>
  <si>
    <t>605 W Lincoln St</t>
  </si>
  <si>
    <t>Lindsborg</t>
  </si>
  <si>
    <t>67456-2328</t>
  </si>
  <si>
    <t>(785) 227-3308</t>
  </si>
  <si>
    <t>T378</t>
  </si>
  <si>
    <t>Rawlins County Health Center</t>
  </si>
  <si>
    <t>707 Grant St</t>
  </si>
  <si>
    <t>Atwood</t>
  </si>
  <si>
    <t>67730-1526</t>
  </si>
  <si>
    <t>(785) 626-3211</t>
  </si>
  <si>
    <t>HRS - Health Resource Services LLC</t>
  </si>
  <si>
    <t>V738</t>
  </si>
  <si>
    <t>Medicine Lodge Memorial Hospital</t>
  </si>
  <si>
    <t>710 N Walnut St</t>
  </si>
  <si>
    <t>Medicine Lodge</t>
  </si>
  <si>
    <t>67104-1019</t>
  </si>
  <si>
    <t>(620) 886-3771</t>
  </si>
  <si>
    <t>R245</t>
  </si>
  <si>
    <t>NYU Langone Hospital - Brooklyn</t>
  </si>
  <si>
    <t>150 55th St</t>
  </si>
  <si>
    <t>Brooklyn</t>
  </si>
  <si>
    <t>(718) 630-7000</t>
  </si>
  <si>
    <t>NYU Langone Health</t>
  </si>
  <si>
    <t>V752</t>
  </si>
  <si>
    <t>Wichita County Health Center</t>
  </si>
  <si>
    <t>211 E Earl St</t>
  </si>
  <si>
    <t>Leoti</t>
  </si>
  <si>
    <t>67861-9620</t>
  </si>
  <si>
    <t>(620) 375-2233</t>
  </si>
  <si>
    <t>Barbara Bogart</t>
  </si>
  <si>
    <t>barb.bogart@apskc.org</t>
  </si>
  <si>
    <t>V750</t>
  </si>
  <si>
    <t>Lincoln County Hospital</t>
  </si>
  <si>
    <t>624 N 2nd St</t>
  </si>
  <si>
    <t>67455-1738</t>
  </si>
  <si>
    <t>(785) 524-4403</t>
  </si>
  <si>
    <t>V736</t>
  </si>
  <si>
    <t>Minneola District Hospital</t>
  </si>
  <si>
    <t>212 Main St</t>
  </si>
  <si>
    <t>Minneola</t>
  </si>
  <si>
    <t>67865-8511</t>
  </si>
  <si>
    <t>(620) 885-4264</t>
  </si>
  <si>
    <t>V708</t>
  </si>
  <si>
    <t>Grisell Memorial Hospital District 1</t>
  </si>
  <si>
    <t>210 S Vermont Ave</t>
  </si>
  <si>
    <t>Ransom</t>
  </si>
  <si>
    <t>67572-9525</t>
  </si>
  <si>
    <t>(785) 731-2231</t>
  </si>
  <si>
    <t>V713</t>
  </si>
  <si>
    <t>Phillips County Hospital</t>
  </si>
  <si>
    <t>1150 State St</t>
  </si>
  <si>
    <t>67661-1743</t>
  </si>
  <si>
    <t>(785) 543-5226</t>
  </si>
  <si>
    <t>V737</t>
  </si>
  <si>
    <t>Ottawa County Hospital</t>
  </si>
  <si>
    <t>215 E 8th St</t>
  </si>
  <si>
    <t>67467-1908</t>
  </si>
  <si>
    <t>(785) 392-2122</t>
  </si>
  <si>
    <t>S186</t>
  </si>
  <si>
    <t>Kent Hospital</t>
  </si>
  <si>
    <t>455 Toll Gate Rd</t>
  </si>
  <si>
    <t>Warwick</t>
  </si>
  <si>
    <t>(401) 737-7000</t>
  </si>
  <si>
    <t>V808</t>
  </si>
  <si>
    <t>Lane County Hospital</t>
  </si>
  <si>
    <t>235 W Vine St</t>
  </si>
  <si>
    <t>Dighton</t>
  </si>
  <si>
    <t>(620) 397-5321</t>
  </si>
  <si>
    <t>V684</t>
  </si>
  <si>
    <t>Bob Wilson Memorial Grant County Hospital</t>
  </si>
  <si>
    <t>415 N Main St</t>
  </si>
  <si>
    <t>Ulysses</t>
  </si>
  <si>
    <t>67880-2133</t>
  </si>
  <si>
    <t>(316) 356-1266</t>
  </si>
  <si>
    <t>T614</t>
  </si>
  <si>
    <t>Harlan County Hospital</t>
  </si>
  <si>
    <t>717 Brown St</t>
  </si>
  <si>
    <t>Alma</t>
  </si>
  <si>
    <t>68920-2132</t>
  </si>
  <si>
    <t>(308) 928-2151</t>
  </si>
  <si>
    <t>T375</t>
  </si>
  <si>
    <t>Republic County Hospital</t>
  </si>
  <si>
    <t>2420 G St</t>
  </si>
  <si>
    <t>66935-2400</t>
  </si>
  <si>
    <t>(785) 527-2254</t>
  </si>
  <si>
    <t>V704</t>
  </si>
  <si>
    <t>Satanta District Hospital</t>
  </si>
  <si>
    <t>401 Cheyenne</t>
  </si>
  <si>
    <t>Satanta</t>
  </si>
  <si>
    <t>67870-8748</t>
  </si>
  <si>
    <t>(620) 649-2761</t>
  </si>
  <si>
    <t>V985</t>
  </si>
  <si>
    <t>Huntersville Oaks Nursing Home</t>
  </si>
  <si>
    <t>13001 Old Statesville Rd</t>
  </si>
  <si>
    <t>Huntersville</t>
  </si>
  <si>
    <t>(704) 875-7400</t>
  </si>
  <si>
    <t>U604</t>
  </si>
  <si>
    <t>Sanford Medical Center Canby</t>
  </si>
  <si>
    <t>112 St Olaf Ave S</t>
  </si>
  <si>
    <t>Canby</t>
  </si>
  <si>
    <t>56220-1433</t>
  </si>
  <si>
    <t>(507) 223-7277</t>
  </si>
  <si>
    <t>Sanford Network</t>
  </si>
  <si>
    <t>W034</t>
  </si>
  <si>
    <t>Charlotte Institute of Rehabilitation</t>
  </si>
  <si>
    <t>1100 Blythe Blvd</t>
  </si>
  <si>
    <t>(704) 355-4300</t>
  </si>
  <si>
    <t>W464</t>
  </si>
  <si>
    <t>Carolinas Medical Center - University</t>
  </si>
  <si>
    <t>8800 N Tryon St</t>
  </si>
  <si>
    <t>(704) 548-6000</t>
  </si>
  <si>
    <t>W493</t>
  </si>
  <si>
    <t>825 S 169th St</t>
  </si>
  <si>
    <t>68118-9300</t>
  </si>
  <si>
    <t>(402) 354-5411</t>
  </si>
  <si>
    <t>W492</t>
  </si>
  <si>
    <t>1900 South Ave</t>
  </si>
  <si>
    <t>54601-5467</t>
  </si>
  <si>
    <t>(608) 785-0530</t>
  </si>
  <si>
    <t>Gundersen Health System</t>
  </si>
  <si>
    <t>Administration/ Operations/IT - Acute</t>
  </si>
  <si>
    <t>V300</t>
  </si>
  <si>
    <t>Mayo Clinic Health System in Bloomer</t>
  </si>
  <si>
    <t>1501 Thompson St</t>
  </si>
  <si>
    <t>Bloomer</t>
  </si>
  <si>
    <t>(715) 568-2000</t>
  </si>
  <si>
    <t>V203</t>
  </si>
  <si>
    <t>Mayo Clinic Health System in Osseo</t>
  </si>
  <si>
    <t>13025 8th St</t>
  </si>
  <si>
    <t>Osseo</t>
  </si>
  <si>
    <t>54758-7634</t>
  </si>
  <si>
    <t>(715) 597-3121</t>
  </si>
  <si>
    <t>V285</t>
  </si>
  <si>
    <t>MCHS in Eau Claire</t>
  </si>
  <si>
    <t>1221 Whipple St</t>
  </si>
  <si>
    <t>Eau Claire</t>
  </si>
  <si>
    <t>54702-4105</t>
  </si>
  <si>
    <t>(715) 838-3311</t>
  </si>
  <si>
    <t>R174</t>
  </si>
  <si>
    <t>Champlain Valley Physicians Hospital</t>
  </si>
  <si>
    <t>75 Beekman St</t>
  </si>
  <si>
    <t>Plattsburgh</t>
  </si>
  <si>
    <t>12901-1438</t>
  </si>
  <si>
    <t>(518) 561-2000</t>
  </si>
  <si>
    <t>JJAC</t>
  </si>
  <si>
    <t>Buchanan General Hospital</t>
  </si>
  <si>
    <t>1535 Slate Creek Rd</t>
  </si>
  <si>
    <t>Grundy</t>
  </si>
  <si>
    <t>(276) 935-1193</t>
  </si>
  <si>
    <t>XB31</t>
  </si>
  <si>
    <t>Newnan OB/GYN - Papp Clinic</t>
  </si>
  <si>
    <t>59 Hospital Rd</t>
  </si>
  <si>
    <t>Newnan</t>
  </si>
  <si>
    <t>30263-1209</t>
  </si>
  <si>
    <t>(770) 251-9631</t>
  </si>
  <si>
    <t>Rosie Patterson</t>
  </si>
  <si>
    <t>rosie.patterson@provista.com</t>
  </si>
  <si>
    <t>Obstetrics and Gynecology</t>
  </si>
  <si>
    <t>S273</t>
  </si>
  <si>
    <t>Yale New Haven Hospital</t>
  </si>
  <si>
    <t>(203) 688-4242</t>
  </si>
  <si>
    <t>S225</t>
  </si>
  <si>
    <t>Cheshire Medical Center</t>
  </si>
  <si>
    <t>580 Court St</t>
  </si>
  <si>
    <t>Keene</t>
  </si>
  <si>
    <t>(603) 354-5400</t>
  </si>
  <si>
    <t>T181</t>
  </si>
  <si>
    <t>Roane General Hospital</t>
  </si>
  <si>
    <t>200 Hospital Dr</t>
  </si>
  <si>
    <t>Spencer</t>
  </si>
  <si>
    <t>25276-1050</t>
  </si>
  <si>
    <t>(304) 927-4444</t>
  </si>
  <si>
    <t>V033</t>
  </si>
  <si>
    <t>SGMC Lanier Campus</t>
  </si>
  <si>
    <t>116 W Thigpen Ave</t>
  </si>
  <si>
    <t>31635-1011</t>
  </si>
  <si>
    <t>P715</t>
  </si>
  <si>
    <t>Sutter Lakeside Hospital</t>
  </si>
  <si>
    <t>5176 Hill Rd E</t>
  </si>
  <si>
    <t>Lakeport</t>
  </si>
  <si>
    <t>95453-6357</t>
  </si>
  <si>
    <t>(707) 262-5000</t>
  </si>
  <si>
    <t>HFOA</t>
  </si>
  <si>
    <t>Childrens National Rehabilitation and Specialized Care</t>
  </si>
  <si>
    <t>1731 Bunker Hill Rd Ne</t>
  </si>
  <si>
    <t>(202) 832-4400</t>
  </si>
  <si>
    <t>Childrens National Health System</t>
  </si>
  <si>
    <t>Elizabeth Gass</t>
  </si>
  <si>
    <t>elizabeth.gass@vizientinc.com</t>
  </si>
  <si>
    <t>JCKV</t>
  </si>
  <si>
    <t>Methodist Home Health</t>
  </si>
  <si>
    <t>68114-4108</t>
  </si>
  <si>
    <t>(402) 354-3200</t>
  </si>
  <si>
    <t>Jana Waller</t>
  </si>
  <si>
    <t>jana.waller@vizientinc.com</t>
  </si>
  <si>
    <t>Home Health</t>
  </si>
  <si>
    <t>Home Health Services</t>
  </si>
  <si>
    <t>U559</t>
  </si>
  <si>
    <t>Sanford Medical Center Jackson</t>
  </si>
  <si>
    <t>1430 North Hwy</t>
  </si>
  <si>
    <t>Jackson</t>
  </si>
  <si>
    <t>56143-1093</t>
  </si>
  <si>
    <t>(507) 847-2420</t>
  </si>
  <si>
    <t>DJWB</t>
  </si>
  <si>
    <t>QuickMeds Pharmacy Freeman West</t>
  </si>
  <si>
    <t>(417) 625-3792</t>
  </si>
  <si>
    <t>Juli Cook</t>
  </si>
  <si>
    <t>juli.cook@vizientinc.com</t>
  </si>
  <si>
    <t>DJYH</t>
  </si>
  <si>
    <t>Covenant Medical Center-Mackinaw Campus</t>
  </si>
  <si>
    <t>5400 Mackinaw Rd</t>
  </si>
  <si>
    <t>48604-9515</t>
  </si>
  <si>
    <t>(989) 583-4658</t>
  </si>
  <si>
    <t>Luke Jones</t>
  </si>
  <si>
    <t>luke.jones@vizientinc.com</t>
  </si>
  <si>
    <t>R929</t>
  </si>
  <si>
    <t>Trinity Medical Center</t>
  </si>
  <si>
    <t>2701 17th St</t>
  </si>
  <si>
    <t>Rock Island</t>
  </si>
  <si>
    <t>(309) 779-5000</t>
  </si>
  <si>
    <t>T380</t>
  </si>
  <si>
    <t>Amberwell Atchison</t>
  </si>
  <si>
    <t>800 Raven Hill Dr</t>
  </si>
  <si>
    <t>Atchison</t>
  </si>
  <si>
    <t>66002-9204</t>
  </si>
  <si>
    <t>(913) 367-2131</t>
  </si>
  <si>
    <t>W202</t>
  </si>
  <si>
    <t>Owensboro Health Regional Hospital</t>
  </si>
  <si>
    <t>1201 Pleasant Valley Rd</t>
  </si>
  <si>
    <t>Owensboro</t>
  </si>
  <si>
    <t>42303-9811</t>
  </si>
  <si>
    <t>(270) 688-2000</t>
  </si>
  <si>
    <t>Owensboro Health Inc</t>
  </si>
  <si>
    <t>R032</t>
  </si>
  <si>
    <t>Kosciusko Community Hospital</t>
  </si>
  <si>
    <t>2101 E Dubois Dr</t>
  </si>
  <si>
    <t>Warsaw</t>
  </si>
  <si>
    <t>(219) 267-3200</t>
  </si>
  <si>
    <t>Lutheran Health Network</t>
  </si>
  <si>
    <t>T109</t>
  </si>
  <si>
    <t>Crittenton Childrens Center</t>
  </si>
  <si>
    <t>10918 Elm Ave</t>
  </si>
  <si>
    <t>64134-4199</t>
  </si>
  <si>
    <t>(816) 765-6600</t>
  </si>
  <si>
    <t>DIKY</t>
  </si>
  <si>
    <t>Sutter Center for Psychiatry</t>
  </si>
  <si>
    <t>7700 Folsom Blvd</t>
  </si>
  <si>
    <t>(916) 386-3000</t>
  </si>
  <si>
    <t>XE61</t>
  </si>
  <si>
    <t>Parkview Wabash Hospital</t>
  </si>
  <si>
    <t>10 John Kissinger Dr</t>
  </si>
  <si>
    <t>Wabash</t>
  </si>
  <si>
    <t>W504</t>
  </si>
  <si>
    <t>1340 Central Park Blvd Ste 100</t>
  </si>
  <si>
    <t>22401-4940</t>
  </si>
  <si>
    <t>(540) 741-2544</t>
  </si>
  <si>
    <t>T734</t>
  </si>
  <si>
    <t>Ochsner Medical Center</t>
  </si>
  <si>
    <t>1514 &amp; 1516 Jefferson Hwy</t>
  </si>
  <si>
    <t>(504) 828-3000</t>
  </si>
  <si>
    <t>JJAT</t>
  </si>
  <si>
    <t>Essentia Health St Marys Medical Center</t>
  </si>
  <si>
    <t>402 E 2nd St</t>
  </si>
  <si>
    <t>55805-1906</t>
  </si>
  <si>
    <t>(218) 786-4000</t>
  </si>
  <si>
    <t>Essentia Health</t>
  </si>
  <si>
    <t>SMDC Health System</t>
  </si>
  <si>
    <t>JGEG</t>
  </si>
  <si>
    <t>Mayo Clinic Rochester</t>
  </si>
  <si>
    <t>200 1st St Sw</t>
  </si>
  <si>
    <t>55905-0002</t>
  </si>
  <si>
    <t>(507) 284-2511</t>
  </si>
  <si>
    <t>T653</t>
  </si>
  <si>
    <t>Christian Hospital NE-NW</t>
  </si>
  <si>
    <t>11133 Dunn Rd</t>
  </si>
  <si>
    <t>(314) 653-5000</t>
  </si>
  <si>
    <t>JJAU</t>
  </si>
  <si>
    <t>Mosaic Health System</t>
  </si>
  <si>
    <t>5325 Faraon St</t>
  </si>
  <si>
    <t>64506-3488</t>
  </si>
  <si>
    <t>(000) 000-0000</t>
  </si>
  <si>
    <t>W502</t>
  </si>
  <si>
    <t>HFNS</t>
  </si>
  <si>
    <t>Inova Fairfax Hospital</t>
  </si>
  <si>
    <t>3300 Gallows Rd</t>
  </si>
  <si>
    <t>Falls Church</t>
  </si>
  <si>
    <t>(703) 698-1110</t>
  </si>
  <si>
    <t>JAOG</t>
  </si>
  <si>
    <t>UC Davis Medical Center</t>
  </si>
  <si>
    <t>2315 Stockton Blvd</t>
  </si>
  <si>
    <t>(916) 734-2011</t>
  </si>
  <si>
    <t>Regents of the University of California</t>
  </si>
  <si>
    <t>Chris Lockhart</t>
  </si>
  <si>
    <t>chris.lockhart@vizientinc.com</t>
  </si>
  <si>
    <t>UC System Network</t>
  </si>
  <si>
    <t>R684</t>
  </si>
  <si>
    <t>Hospital of the University of Pennsylvania</t>
  </si>
  <si>
    <t>3400 Spruce St</t>
  </si>
  <si>
    <t>(215) 662-4000</t>
  </si>
  <si>
    <t>T629</t>
  </si>
  <si>
    <t>Barnes-Jewish St Peters Hospital</t>
  </si>
  <si>
    <t>10 Hospital Dr</t>
  </si>
  <si>
    <t>Saint Peters</t>
  </si>
  <si>
    <t>63376-1659</t>
  </si>
  <si>
    <t>(636) 916-9000</t>
  </si>
  <si>
    <t>R916</t>
  </si>
  <si>
    <t>Endeavor Health - Skokie Hospital</t>
  </si>
  <si>
    <t>9600 Gross Point Rd</t>
  </si>
  <si>
    <t>Skokie</t>
  </si>
  <si>
    <t>60076-1214</t>
  </si>
  <si>
    <t>(847) 677-9600</t>
  </si>
  <si>
    <t>R585</t>
  </si>
  <si>
    <t>Mount Nittany Medical Center</t>
  </si>
  <si>
    <t>155 Wellness Way</t>
  </si>
  <si>
    <t>State College</t>
  </si>
  <si>
    <t>16803-6797</t>
  </si>
  <si>
    <t>(814) 231-7000</t>
  </si>
  <si>
    <t>S943</t>
  </si>
  <si>
    <t>Dallam Hartley Counties Hospital District</t>
  </si>
  <si>
    <t>1411 Denver Avenue</t>
  </si>
  <si>
    <t>Dallam-Hartley Counties Hospital District</t>
  </si>
  <si>
    <t>Dalhart</t>
  </si>
  <si>
    <t>(806) 244-4571</t>
  </si>
  <si>
    <t>R084</t>
  </si>
  <si>
    <t>Saint Johns Riverside Hospital</t>
  </si>
  <si>
    <t>967 N Broadway</t>
  </si>
  <si>
    <t>Yonkers</t>
  </si>
  <si>
    <t>10701-1301</t>
  </si>
  <si>
    <t>(914) 964-4444</t>
  </si>
  <si>
    <t>Riverside Health Care System</t>
  </si>
  <si>
    <t>VV19</t>
  </si>
  <si>
    <t>100 W Sproul Rd</t>
  </si>
  <si>
    <t>Healthplex Pavilion Ii</t>
  </si>
  <si>
    <t>19064-2033</t>
  </si>
  <si>
    <t>(610) 338-8200</t>
  </si>
  <si>
    <t>JJBI</t>
  </si>
  <si>
    <t>Fairfield Medical Center</t>
  </si>
  <si>
    <t>401 North Ewing</t>
  </si>
  <si>
    <t>(740) 687-8000</t>
  </si>
  <si>
    <t>S773</t>
  </si>
  <si>
    <t>Hackettstown Medical Center</t>
  </si>
  <si>
    <t>651 Willow Grove St</t>
  </si>
  <si>
    <t>Hackettstown</t>
  </si>
  <si>
    <t>(908) 852-5100</t>
  </si>
  <si>
    <t>S700</t>
  </si>
  <si>
    <t>Overlook Medical Center</t>
  </si>
  <si>
    <t>99 Beauvoir Ave</t>
  </si>
  <si>
    <t>Summit</t>
  </si>
  <si>
    <t>(908) 522-2000</t>
  </si>
  <si>
    <t>S713</t>
  </si>
  <si>
    <t>Robert Wood Johnson Univ Hosp at Rahway</t>
  </si>
  <si>
    <t>865 Stone St</t>
  </si>
  <si>
    <t>Rahway</t>
  </si>
  <si>
    <t>(732) 381-4200</t>
  </si>
  <si>
    <t>S779</t>
  </si>
  <si>
    <t>Hunterdon Medical Center</t>
  </si>
  <si>
    <t>2100 Wescott Dr</t>
  </si>
  <si>
    <t>Flemington</t>
  </si>
  <si>
    <t>(908) 788-6200</t>
  </si>
  <si>
    <t>Hunterdon Healthcare System</t>
  </si>
  <si>
    <t>S746</t>
  </si>
  <si>
    <t>Morristown Medical Center</t>
  </si>
  <si>
    <t>100 Madison Ave</t>
  </si>
  <si>
    <t>Morristown</t>
  </si>
  <si>
    <t>(973) 971-5000</t>
  </si>
  <si>
    <t>V581</t>
  </si>
  <si>
    <t>INTEGRIS Southwest Medical Center</t>
  </si>
  <si>
    <t>4401 S Western Ave</t>
  </si>
  <si>
    <t>73109-3413</t>
  </si>
  <si>
    <t>(405) 636-7000</t>
  </si>
  <si>
    <t>S781</t>
  </si>
  <si>
    <t>Inspira Medical Center Elmer</t>
  </si>
  <si>
    <t>501 Front St</t>
  </si>
  <si>
    <t>Elmer</t>
  </si>
  <si>
    <t>(856) 363-1000</t>
  </si>
  <si>
    <t>DJBF</t>
  </si>
  <si>
    <t>165 Bridgeton Pike</t>
  </si>
  <si>
    <t>(856) 641-8600</t>
  </si>
  <si>
    <t>S450</t>
  </si>
  <si>
    <t>Tufts Medical Center</t>
  </si>
  <si>
    <t>750 Washington Street</t>
  </si>
  <si>
    <t>(617) 636-5000</t>
  </si>
  <si>
    <t>U542</t>
  </si>
  <si>
    <t>Abbott Northwestern Hospital</t>
  </si>
  <si>
    <t>800 E 28th St</t>
  </si>
  <si>
    <t>55407-3723</t>
  </si>
  <si>
    <t>(612) 863-4000</t>
  </si>
  <si>
    <t>R231</t>
  </si>
  <si>
    <t>550 First Avenue</t>
  </si>
  <si>
    <t>(212) 263-7300</t>
  </si>
  <si>
    <t>P009</t>
  </si>
  <si>
    <t>Memorial Hermann Southwest Hospital</t>
  </si>
  <si>
    <t>7600 Beechnut St</t>
  </si>
  <si>
    <t>77074-4302</t>
  </si>
  <si>
    <t>(713) 456-5000</t>
  </si>
  <si>
    <t>S156</t>
  </si>
  <si>
    <t>Rush Copley Medical Center</t>
  </si>
  <si>
    <t>2000 Ogden Ave</t>
  </si>
  <si>
    <t>Aurora</t>
  </si>
  <si>
    <t>60504-7222</t>
  </si>
  <si>
    <t>(630) 978-6200</t>
  </si>
  <si>
    <t>V361</t>
  </si>
  <si>
    <t>MultiCare Tacoma General Hospital</t>
  </si>
  <si>
    <t>P.O. Box 5299 Tacoma WA 98415-0299</t>
  </si>
  <si>
    <t>MultiCare West</t>
  </si>
  <si>
    <t>S456</t>
  </si>
  <si>
    <t>(617) 726-2000</t>
  </si>
  <si>
    <t>Q819</t>
  </si>
  <si>
    <t>Evangelical Community Hospital</t>
  </si>
  <si>
    <t>1 Hospital Dr</t>
  </si>
  <si>
    <t>Lewisburg</t>
  </si>
  <si>
    <t>(570) 522-2000</t>
  </si>
  <si>
    <t>T236</t>
  </si>
  <si>
    <t>CAMC General Hospital</t>
  </si>
  <si>
    <t>501 Morris St</t>
  </si>
  <si>
    <t>(304) 348-5432</t>
  </si>
  <si>
    <t>Vandalia Health</t>
  </si>
  <si>
    <t>CAMC Health System</t>
  </si>
  <si>
    <t>Q848</t>
  </si>
  <si>
    <t>Lehigh Valley Hospital - Hazleton</t>
  </si>
  <si>
    <t>700 E Broad St</t>
  </si>
  <si>
    <t>Hazleton</t>
  </si>
  <si>
    <t>18201-6897</t>
  </si>
  <si>
    <t>(570) 501-4000</t>
  </si>
  <si>
    <t>DJDL</t>
  </si>
  <si>
    <t>SMC Health Services Corporation</t>
  </si>
  <si>
    <t>Brandon Leum</t>
  </si>
  <si>
    <t>brandon.leum@vizientinc.com</t>
  </si>
  <si>
    <t>Holding Company - Non-Acute</t>
  </si>
  <si>
    <t>V588</t>
  </si>
  <si>
    <t>INTEGRIS Baptist Medical Center Inc</t>
  </si>
  <si>
    <t>3300 Nw Expressway</t>
  </si>
  <si>
    <t>73112-4999</t>
  </si>
  <si>
    <t>(405) 949-3011</t>
  </si>
  <si>
    <t>P525</t>
  </si>
  <si>
    <t>Tucson Medical Center</t>
  </si>
  <si>
    <t>85712-2874</t>
  </si>
  <si>
    <t>(520) 324-5461</t>
  </si>
  <si>
    <t>V001</t>
  </si>
  <si>
    <t>Alta Bates Summit Medical Ctr-Ashby Campus</t>
  </si>
  <si>
    <t>2450 Ashby Ave</t>
  </si>
  <si>
    <t>94705-2067</t>
  </si>
  <si>
    <t>(510) 540-0337</t>
  </si>
  <si>
    <t>P475</t>
  </si>
  <si>
    <t>Banner Childrens at Desert</t>
  </si>
  <si>
    <t>1400 S Dobson Rd</t>
  </si>
  <si>
    <t>Mesa</t>
  </si>
  <si>
    <t>85202-4707</t>
  </si>
  <si>
    <t>(480) 512-5437</t>
  </si>
  <si>
    <t>Banner Health</t>
  </si>
  <si>
    <t>Q981</t>
  </si>
  <si>
    <t>Baptist Health Medical Center - Little Rock</t>
  </si>
  <si>
    <t>Q713</t>
  </si>
  <si>
    <t>Deaconess Hospital Inc</t>
  </si>
  <si>
    <t>47710-1674</t>
  </si>
  <si>
    <t>Q017</t>
  </si>
  <si>
    <t>Sutter Tracy Community Hospital</t>
  </si>
  <si>
    <t>1420 N Tracy Blvd</t>
  </si>
  <si>
    <t>Tracy</t>
  </si>
  <si>
    <t>95376-3451</t>
  </si>
  <si>
    <t>(209) 835-1500</t>
  </si>
  <si>
    <t>U669</t>
  </si>
  <si>
    <t>Burgess Health Center</t>
  </si>
  <si>
    <t>1600 Diamond St</t>
  </si>
  <si>
    <t>Onawa</t>
  </si>
  <si>
    <t>51040-1548</t>
  </si>
  <si>
    <t>(712) 423-2311</t>
  </si>
  <si>
    <t>Q542</t>
  </si>
  <si>
    <t>Miami Valley Hospital</t>
  </si>
  <si>
    <t>45409-2711</t>
  </si>
  <si>
    <t>(937) 208-8000</t>
  </si>
  <si>
    <t>T649</t>
  </si>
  <si>
    <t>Barnes-Jewish Hospital</t>
  </si>
  <si>
    <t>Q973</t>
  </si>
  <si>
    <t>Baptist Health Medical Center - Hot Spring Co</t>
  </si>
  <si>
    <t>1001 Schneider Dr</t>
  </si>
  <si>
    <t>Malvern</t>
  </si>
  <si>
    <t>72104-4811</t>
  </si>
  <si>
    <t>(501) 337-4911</t>
  </si>
  <si>
    <t>U494</t>
  </si>
  <si>
    <t>Murray County Medical Center</t>
  </si>
  <si>
    <t>2042 Juniper Ave</t>
  </si>
  <si>
    <t>Slayton</t>
  </si>
  <si>
    <t>56172-1017</t>
  </si>
  <si>
    <t>(507) 836-6111</t>
  </si>
  <si>
    <t>P898</t>
  </si>
  <si>
    <t>Sutter Roseville Medical Center</t>
  </si>
  <si>
    <t>1 Medical Plaza Dr</t>
  </si>
  <si>
    <t>Roseville</t>
  </si>
  <si>
    <t>95661-3037</t>
  </si>
  <si>
    <t>(916) 781-1000</t>
  </si>
  <si>
    <t>R897</t>
  </si>
  <si>
    <t>Iroquois Memorial Hospital</t>
  </si>
  <si>
    <t>200 E Fairman Ave</t>
  </si>
  <si>
    <t>Watseka</t>
  </si>
  <si>
    <t>60970-1644</t>
  </si>
  <si>
    <t>(815) 432-5841</t>
  </si>
  <si>
    <t>T570</t>
  </si>
  <si>
    <t>Lexington Regional Health Center</t>
  </si>
  <si>
    <t>1201 N Erie St</t>
  </si>
  <si>
    <t>Lexington</t>
  </si>
  <si>
    <t>68850-1580</t>
  </si>
  <si>
    <t>(308) 324-5651</t>
  </si>
  <si>
    <t>U613</t>
  </si>
  <si>
    <t>United Hospital District Inc</t>
  </si>
  <si>
    <t>515 S Moore St</t>
  </si>
  <si>
    <t>Blue Earth</t>
  </si>
  <si>
    <t>56013-2158</t>
  </si>
  <si>
    <t>(507) 526-3273</t>
  </si>
  <si>
    <t>R109</t>
  </si>
  <si>
    <t>Faxton St Lukes Healthcare - Utica</t>
  </si>
  <si>
    <t>1676 Sunset Ave</t>
  </si>
  <si>
    <t>Utica</t>
  </si>
  <si>
    <t>13502-5416</t>
  </si>
  <si>
    <t>(315) 624-5200</t>
  </si>
  <si>
    <t>Mohawk Valley Health System</t>
  </si>
  <si>
    <t>DJKN</t>
  </si>
  <si>
    <t>1710 Burrstone Rd</t>
  </si>
  <si>
    <t>New Hartford</t>
  </si>
  <si>
    <t>13413-1002</t>
  </si>
  <si>
    <t>(315) 624-5115</t>
  </si>
  <si>
    <t>R294</t>
  </si>
  <si>
    <t>Faxton - St Lukes Healthcare</t>
  </si>
  <si>
    <t>1656 Champlin Ave</t>
  </si>
  <si>
    <t>13413-1068</t>
  </si>
  <si>
    <t>(315) 624-6000</t>
  </si>
  <si>
    <t>DJLI</t>
  </si>
  <si>
    <t>(479) 713-1000</t>
  </si>
  <si>
    <t>JJBM</t>
  </si>
  <si>
    <t>Yuma Regional Medical Center</t>
  </si>
  <si>
    <t>2400 S Ave A</t>
  </si>
  <si>
    <t>Yuma</t>
  </si>
  <si>
    <t>85364-7127</t>
  </si>
  <si>
    <t>(928) 344-2000</t>
  </si>
  <si>
    <t>W318</t>
  </si>
  <si>
    <t>Corewell Health Pennock Hospital</t>
  </si>
  <si>
    <t>1009 W Green St</t>
  </si>
  <si>
    <t>49058-1790</t>
  </si>
  <si>
    <t>(269) 945-3451</t>
  </si>
  <si>
    <t>T972</t>
  </si>
  <si>
    <t>Covenant Hospital - Plainview</t>
  </si>
  <si>
    <t>2601 Dimmitt Rd</t>
  </si>
  <si>
    <t>Plainview</t>
  </si>
  <si>
    <t>79072-1833</t>
  </si>
  <si>
    <t>(806) 296-5531</t>
  </si>
  <si>
    <t>DJMW</t>
  </si>
  <si>
    <t>Health Central</t>
  </si>
  <si>
    <t>10000 W Colonial Dr</t>
  </si>
  <si>
    <t>Ocoee</t>
  </si>
  <si>
    <t>(407) 296-1000</t>
  </si>
  <si>
    <t>V068</t>
  </si>
  <si>
    <t>Wellstar Douglas Hospital</t>
  </si>
  <si>
    <t>8954 Hospital Dr</t>
  </si>
  <si>
    <t>Douglasville</t>
  </si>
  <si>
    <t>30134-2272</t>
  </si>
  <si>
    <t>(770) 949-1500</t>
  </si>
  <si>
    <t>DJMV</t>
  </si>
  <si>
    <t>Oakwood Home Care Services</t>
  </si>
  <si>
    <t>10501 Telegraph</t>
  </si>
  <si>
    <t>Taylor</t>
  </si>
  <si>
    <t>(800) 757-7711</t>
  </si>
  <si>
    <t>ZZZA</t>
  </si>
  <si>
    <t>Floyd Valley Hospital</t>
  </si>
  <si>
    <t>714 Lincoln St Ne</t>
  </si>
  <si>
    <t>Le Mars</t>
  </si>
  <si>
    <t>51031-3314</t>
  </si>
  <si>
    <t>(712) 546-7871</t>
  </si>
  <si>
    <t>U668</t>
  </si>
  <si>
    <t>Orange City Area Health System</t>
  </si>
  <si>
    <t>1000 Lincoln Cir Se</t>
  </si>
  <si>
    <t>Orange City</t>
  </si>
  <si>
    <t>51041-1862</t>
  </si>
  <si>
    <t>(712) 737-4984</t>
  </si>
  <si>
    <t>U706</t>
  </si>
  <si>
    <t>Myrtue Medical Center</t>
  </si>
  <si>
    <t>1213 Garfield Ave</t>
  </si>
  <si>
    <t>Harlan</t>
  </si>
  <si>
    <t>51537-2057</t>
  </si>
  <si>
    <t>(712) 755-5161</t>
  </si>
  <si>
    <t>T745</t>
  </si>
  <si>
    <t>Iberia General Hospital &amp; Medical Center</t>
  </si>
  <si>
    <t>2315 E Main St</t>
  </si>
  <si>
    <t>New Iberia</t>
  </si>
  <si>
    <t>70560-4031</t>
  </si>
  <si>
    <t>(337) 364-0441</t>
  </si>
  <si>
    <t>T365</t>
  </si>
  <si>
    <t>Citizens Medical Center</t>
  </si>
  <si>
    <t>100 E College Dr</t>
  </si>
  <si>
    <t>Colby</t>
  </si>
  <si>
    <t>67701-3702</t>
  </si>
  <si>
    <t>(785) 462-7511</t>
  </si>
  <si>
    <t>Q942</t>
  </si>
  <si>
    <t>1309 W Main St</t>
  </si>
  <si>
    <t>Walnut Ridge</t>
  </si>
  <si>
    <t>72476-1430</t>
  </si>
  <si>
    <t>(870) 886-1200</t>
  </si>
  <si>
    <t>DJAK</t>
  </si>
  <si>
    <t>Novant Health Pharmacy-WSHC</t>
  </si>
  <si>
    <t>255 Charlois Blvd</t>
  </si>
  <si>
    <t>(336) 718-1000</t>
  </si>
  <si>
    <t>NH Imaging Maplewood</t>
  </si>
  <si>
    <t>R987</t>
  </si>
  <si>
    <t>Lincoln Memorial Hospital</t>
  </si>
  <si>
    <t>200 Stahlhut Dr</t>
  </si>
  <si>
    <t>62656-5066</t>
  </si>
  <si>
    <t>(217) 732-2161</t>
  </si>
  <si>
    <t>DJRC</t>
  </si>
  <si>
    <t>Decatur Morgan Hospital - West Campus</t>
  </si>
  <si>
    <t>2205 Beltline Rd Sw</t>
  </si>
  <si>
    <t>35601-3617</t>
  </si>
  <si>
    <t>(256) 306-4000</t>
  </si>
  <si>
    <t>DJRD</t>
  </si>
  <si>
    <t>Jennie M Melham Memorial Medical Center</t>
  </si>
  <si>
    <t>145 Memorial Dr</t>
  </si>
  <si>
    <t>Broken Bow</t>
  </si>
  <si>
    <t>68822-1378</t>
  </si>
  <si>
    <t>(308) 872-6891</t>
  </si>
  <si>
    <t>V606</t>
  </si>
  <si>
    <t>INTEGRIS Marshall County Medical Center</t>
  </si>
  <si>
    <t>Madill</t>
  </si>
  <si>
    <t>(580) 795-3384</t>
  </si>
  <si>
    <t>HMA / Integris Health Systems</t>
  </si>
  <si>
    <t>DJRL</t>
  </si>
  <si>
    <t>4249 Clayton Ave</t>
  </si>
  <si>
    <t>63110-1719</t>
  </si>
  <si>
    <t>(314) 286-2000</t>
  </si>
  <si>
    <t>T151</t>
  </si>
  <si>
    <t>Hedrick Medical Center</t>
  </si>
  <si>
    <t>2799 Washington St</t>
  </si>
  <si>
    <t>Chillicothe</t>
  </si>
  <si>
    <t>(660) 646-1480</t>
  </si>
  <si>
    <t>DJRK</t>
  </si>
  <si>
    <t>Parkland Health Center - Bonne Terre</t>
  </si>
  <si>
    <t>7245 Raider Rd</t>
  </si>
  <si>
    <t>Bonne Terre</t>
  </si>
  <si>
    <t>63628-3767</t>
  </si>
  <si>
    <t>(573) 358-1400</t>
  </si>
  <si>
    <t>JJBS</t>
  </si>
  <si>
    <t>The Childrens Hospital of Alabama</t>
  </si>
  <si>
    <t>1600 7th Ave S</t>
  </si>
  <si>
    <t>35233-1711</t>
  </si>
  <si>
    <t>(205) 939-9621</t>
  </si>
  <si>
    <t>JKBI</t>
  </si>
  <si>
    <t>1425 Portland Ave</t>
  </si>
  <si>
    <t>(585) 922-4000</t>
  </si>
  <si>
    <t>Q880</t>
  </si>
  <si>
    <t>Penn Highlands DuBois</t>
  </si>
  <si>
    <t>100 Hospital Ave</t>
  </si>
  <si>
    <t>Dubois</t>
  </si>
  <si>
    <t>15801-1499</t>
  </si>
  <si>
    <t>(814) 371-2200</t>
  </si>
  <si>
    <t>Penn Highlands Healthcare</t>
  </si>
  <si>
    <t>S712</t>
  </si>
  <si>
    <t>Riverview Medical Center</t>
  </si>
  <si>
    <t>1 Riverview Plaza</t>
  </si>
  <si>
    <t>Red Bank</t>
  </si>
  <si>
    <t>(732) 741-2700</t>
  </si>
  <si>
    <t>W525</t>
  </si>
  <si>
    <t>1920 Atherholt Rd</t>
  </si>
  <si>
    <t>24501-1104</t>
  </si>
  <si>
    <t>(434) 200-3777</t>
  </si>
  <si>
    <t>S624</t>
  </si>
  <si>
    <t>Virginia Baptist Hospital</t>
  </si>
  <si>
    <t>3300 Rivermont Ave</t>
  </si>
  <si>
    <t>24503-2030</t>
  </si>
  <si>
    <t>(434) 947-4000</t>
  </si>
  <si>
    <t>S175</t>
  </si>
  <si>
    <t>North Country Hospital and Health Center Inc</t>
  </si>
  <si>
    <t>189 Prouty Dr</t>
  </si>
  <si>
    <t>(802) 334-7331</t>
  </si>
  <si>
    <t>North Country Health System</t>
  </si>
  <si>
    <t>R357</t>
  </si>
  <si>
    <t>Brooks - TLC Hospital System</t>
  </si>
  <si>
    <t>529 Central Ave</t>
  </si>
  <si>
    <t>Dunkirk</t>
  </si>
  <si>
    <t>(716) 363-7235</t>
  </si>
  <si>
    <t>HFOB</t>
  </si>
  <si>
    <t>Johns Hopkins Howard County Medical Center</t>
  </si>
  <si>
    <t>5755 Cedar Lane</t>
  </si>
  <si>
    <t>21044-2912</t>
  </si>
  <si>
    <t>(410) 740-7890</t>
  </si>
  <si>
    <t>P559</t>
  </si>
  <si>
    <t>USC Arcadia Hospital</t>
  </si>
  <si>
    <t>300 W Huntington Dr</t>
  </si>
  <si>
    <t>Arcadia</t>
  </si>
  <si>
    <t>91007-3402</t>
  </si>
  <si>
    <t>(626) 445-4441</t>
  </si>
  <si>
    <t>University Of Southern California</t>
  </si>
  <si>
    <t>Q238</t>
  </si>
  <si>
    <t>Lakeland Specialty Hospital</t>
  </si>
  <si>
    <t>6418 Deans Hill Rd</t>
  </si>
  <si>
    <t>Berrien Center</t>
  </si>
  <si>
    <t>49102-9704</t>
  </si>
  <si>
    <t>(269) 471-7761</t>
  </si>
  <si>
    <t>Long Term Care Hospital</t>
  </si>
  <si>
    <t>Q408</t>
  </si>
  <si>
    <t>Bronson South Haven Hospital</t>
  </si>
  <si>
    <t>955 S Bailey Ave</t>
  </si>
  <si>
    <t>South Haven</t>
  </si>
  <si>
    <t>49090-9797</t>
  </si>
  <si>
    <t>(269) 637-5271</t>
  </si>
  <si>
    <t>V209</t>
  </si>
  <si>
    <t>Oconomowoc Memorial Hospital Inc</t>
  </si>
  <si>
    <t>791 Summit Ave</t>
  </si>
  <si>
    <t>Oconomowoc</t>
  </si>
  <si>
    <t>53066-3896</t>
  </si>
  <si>
    <t>(262) 569-9400</t>
  </si>
  <si>
    <t>HFOD</t>
  </si>
  <si>
    <t>Sentara Northern Virginia Medical Center</t>
  </si>
  <si>
    <t>2300 Opitz Blvd</t>
  </si>
  <si>
    <t>Woodbridge</t>
  </si>
  <si>
    <t>(703) 670-1313</t>
  </si>
  <si>
    <t>V130</t>
  </si>
  <si>
    <t>Northside Hospital</t>
  </si>
  <si>
    <t>1000 Johnson Ferry Rd Ne</t>
  </si>
  <si>
    <t>30342-1611</t>
  </si>
  <si>
    <t>(404) 851-8000</t>
  </si>
  <si>
    <t>U115</t>
  </si>
  <si>
    <t>Memorial Hermann - Memorial City Hospital</t>
  </si>
  <si>
    <t>921 Gessner Rd</t>
  </si>
  <si>
    <t>77024-2501</t>
  </si>
  <si>
    <t>(713) 932-3000</t>
  </si>
  <si>
    <t>DKAC</t>
  </si>
  <si>
    <t>National Regency of New Berlin Inc</t>
  </si>
  <si>
    <t>13750 W National Ave</t>
  </si>
  <si>
    <t>New Berlin</t>
  </si>
  <si>
    <t>53151-4537</t>
  </si>
  <si>
    <t>(262) 789-1699</t>
  </si>
  <si>
    <t>Corporate</t>
  </si>
  <si>
    <t>Property Management</t>
  </si>
  <si>
    <t>T559</t>
  </si>
  <si>
    <t>Kearney County Health Services</t>
  </si>
  <si>
    <t>727 E 1st St</t>
  </si>
  <si>
    <t>Minden</t>
  </si>
  <si>
    <t>68959-1705</t>
  </si>
  <si>
    <t>(308) 832-1440</t>
  </si>
  <si>
    <t>T233</t>
  </si>
  <si>
    <t>CAMC Women and Childrens Hospital</t>
  </si>
  <si>
    <t>800 Pennsylvania Ave</t>
  </si>
  <si>
    <t>(304) 347-9200</t>
  </si>
  <si>
    <t>R973</t>
  </si>
  <si>
    <t>Mendota Community Hospital</t>
  </si>
  <si>
    <t>1401 E 12th St</t>
  </si>
  <si>
    <t>Mendota</t>
  </si>
  <si>
    <t>(815) 539-7461</t>
  </si>
  <si>
    <t>RRRR</t>
  </si>
  <si>
    <t>W425</t>
  </si>
  <si>
    <t>Highlands Medical Center</t>
  </si>
  <si>
    <t>380 Woods Cove Rd</t>
  </si>
  <si>
    <t>Scottsboro</t>
  </si>
  <si>
    <t>35768-2428</t>
  </si>
  <si>
    <t>(256) 259-4444</t>
  </si>
  <si>
    <t>VH65</t>
  </si>
  <si>
    <t>227 Brittany Rd</t>
  </si>
  <si>
    <t>HCKB</t>
  </si>
  <si>
    <t>Rutherford Regional Health System</t>
  </si>
  <si>
    <t>288 Ridgecrest Ave</t>
  </si>
  <si>
    <t>Rutherfordton</t>
  </si>
  <si>
    <t>(828) 286-5625</t>
  </si>
  <si>
    <t>JBCE</t>
  </si>
  <si>
    <t>University of Tennessee Medical Center</t>
  </si>
  <si>
    <t>1924 Alcoa Highway</t>
  </si>
  <si>
    <t>(865) 544-9000</t>
  </si>
  <si>
    <t>DJWY</t>
  </si>
  <si>
    <t>MedStar Pharmacy-MWHC</t>
  </si>
  <si>
    <t>106 Irving St Nw Ste 1200</t>
  </si>
  <si>
    <t>20010-2952</t>
  </si>
  <si>
    <t>(202) 877-6309</t>
  </si>
  <si>
    <t>S418</t>
  </si>
  <si>
    <t>Charlton Memorial Hospital</t>
  </si>
  <si>
    <t>363 Highland Ave</t>
  </si>
  <si>
    <t>(508) 679-3131</t>
  </si>
  <si>
    <t>Southcoast Health System</t>
  </si>
  <si>
    <t>DJVQ</t>
  </si>
  <si>
    <t>Hiram G Andrews Center Pharmacy</t>
  </si>
  <si>
    <t>727 Goucher St</t>
  </si>
  <si>
    <t>15905-3025</t>
  </si>
  <si>
    <t>(814) 255-8200</t>
  </si>
  <si>
    <t>Q358</t>
  </si>
  <si>
    <t>ProMedica Monroe Regional Hospital</t>
  </si>
  <si>
    <t>718 N Macomb St</t>
  </si>
  <si>
    <t>48162-7815</t>
  </si>
  <si>
    <t>(734) 240-8400</t>
  </si>
  <si>
    <t>DJWF</t>
  </si>
  <si>
    <t>Chartwell Pennsylvania - Great Lakes</t>
  </si>
  <si>
    <t>380 E Bayfront Pkwy Ste 2</t>
  </si>
  <si>
    <t>Erie</t>
  </si>
  <si>
    <t>16507-2408</t>
  </si>
  <si>
    <t>(814) 877-6121</t>
  </si>
  <si>
    <t>Chartwell Pennsylvania LLC</t>
  </si>
  <si>
    <t>Trisha Mitkus</t>
  </si>
  <si>
    <t>trisha.mitkus@provista.com</t>
  </si>
  <si>
    <t>Home Infusion Center</t>
  </si>
  <si>
    <t>DJWG</t>
  </si>
  <si>
    <t>Memorial Park Pharmacy</t>
  </si>
  <si>
    <t>75 Washington Blvd</t>
  </si>
  <si>
    <t>43326-4001</t>
  </si>
  <si>
    <t>(419) 673-0731</t>
  </si>
  <si>
    <t>Lara White</t>
  </si>
  <si>
    <t>lara.white@vizientinc.com</t>
  </si>
  <si>
    <t>DJWM</t>
  </si>
  <si>
    <t>Archbold Health Services</t>
  </si>
  <si>
    <t>2705 E Pinetree Blvd Ste F</t>
  </si>
  <si>
    <t>31792-4875</t>
  </si>
  <si>
    <t>(229) 228-2200</t>
  </si>
  <si>
    <t>Tony Herro</t>
  </si>
  <si>
    <t>anthony.herro@vizientinc.com</t>
  </si>
  <si>
    <t>DJWR</t>
  </si>
  <si>
    <t>LG Health Convenience Pharmacy Duke St</t>
  </si>
  <si>
    <t>17602-2250</t>
  </si>
  <si>
    <t>(717) 290-5929</t>
  </si>
  <si>
    <t>Q915</t>
  </si>
  <si>
    <t>Lower Bucks Hospital</t>
  </si>
  <si>
    <t>501 Bath Rd</t>
  </si>
  <si>
    <t>Bristol</t>
  </si>
  <si>
    <t>(215) 785-9200</t>
  </si>
  <si>
    <t>Prime Healthcare Services</t>
  </si>
  <si>
    <t>R212</t>
  </si>
  <si>
    <t>ST LUKES ROOSEVELT HOSPITAL</t>
  </si>
  <si>
    <t>1111 Amsterdam Ave</t>
  </si>
  <si>
    <t>(212) 523-4000</t>
  </si>
  <si>
    <t>Continuum Health Partners</t>
  </si>
  <si>
    <t>V079</t>
  </si>
  <si>
    <t>Wellstar Paulding Hospital</t>
  </si>
  <si>
    <t>2518 Jimmy Lee Smith Pkwy</t>
  </si>
  <si>
    <t>Hiram</t>
  </si>
  <si>
    <t>(770) 445-4411</t>
  </si>
  <si>
    <t>T069</t>
  </si>
  <si>
    <t>Freeman Neosho Hospital</t>
  </si>
  <si>
    <t>113 W Hickory St</t>
  </si>
  <si>
    <t>Neosho</t>
  </si>
  <si>
    <t>64850-1705</t>
  </si>
  <si>
    <t>(417) 451-1234</t>
  </si>
  <si>
    <t>DKFW</t>
  </si>
  <si>
    <t>Prairie Senior Living Complex</t>
  </si>
  <si>
    <t>1625 S Franklin Ave</t>
  </si>
  <si>
    <t>67701-3722</t>
  </si>
  <si>
    <t>(785) 462-8295</t>
  </si>
  <si>
    <t>DJWW</t>
  </si>
  <si>
    <t>Medical Arts Pharmacy 6004410</t>
  </si>
  <si>
    <t>1101 Sam Perry Blvd</t>
  </si>
  <si>
    <t>22401-4467</t>
  </si>
  <si>
    <t>(540) 741-1425</t>
  </si>
  <si>
    <t>MediCorp Services Inc</t>
  </si>
  <si>
    <t>DJWX</t>
  </si>
  <si>
    <t>UVM Medical Center Outpatient Pharmacy - UHC</t>
  </si>
  <si>
    <t>1 South Prospect Street</t>
  </si>
  <si>
    <t>(802) 847-3784</t>
  </si>
  <si>
    <t>DJXF</t>
  </si>
  <si>
    <t>Memorial Hermann Home Health</t>
  </si>
  <si>
    <t>1333 Moursund St</t>
  </si>
  <si>
    <t>77030-3405</t>
  </si>
  <si>
    <t>(713) 596-4789</t>
  </si>
  <si>
    <t>Lisa Flenniken</t>
  </si>
  <si>
    <t>lisa.flenniken@vizientinc.com</t>
  </si>
  <si>
    <t>UJXH</t>
  </si>
  <si>
    <t>Fidelity Health Care Inc</t>
  </si>
  <si>
    <t>3170 Kettering Blvd</t>
  </si>
  <si>
    <t>Moraine</t>
  </si>
  <si>
    <t>45439-1924</t>
  </si>
  <si>
    <t>(937) 208-6400</t>
  </si>
  <si>
    <t>Shelby Lloyd</t>
  </si>
  <si>
    <t>shelby.lloyd@vizientinc.com</t>
  </si>
  <si>
    <t>DJXJ</t>
  </si>
  <si>
    <t>Middcare Pharmacy</t>
  </si>
  <si>
    <t>45005-2584</t>
  </si>
  <si>
    <t>(513) 420-5045</t>
  </si>
  <si>
    <t>Atrium Medical Center</t>
  </si>
  <si>
    <t>DJXN</t>
  </si>
  <si>
    <t>MultiCare Mary Bridge Amb Clinic Pharmacy</t>
  </si>
  <si>
    <t>311 South L St</t>
  </si>
  <si>
    <t>98405-3720</t>
  </si>
  <si>
    <t>(253) 403-1074</t>
  </si>
  <si>
    <t>DJXT</t>
  </si>
  <si>
    <t>Oakwood Pharmacy - Westland</t>
  </si>
  <si>
    <t>2001 S Merriman Rd Ste 200</t>
  </si>
  <si>
    <t>Westland</t>
  </si>
  <si>
    <t>48186-5541</t>
  </si>
  <si>
    <t>(313) 441-0780</t>
  </si>
  <si>
    <t>DJXV</t>
  </si>
  <si>
    <t>Beaumont Pharmacy Dearborn</t>
  </si>
  <si>
    <t>18181 Oakwood Blvd Ste 108</t>
  </si>
  <si>
    <t>48124-4082</t>
  </si>
  <si>
    <t>(313) 593-7273</t>
  </si>
  <si>
    <t>DJXX</t>
  </si>
  <si>
    <t>Ochsner Pharmacy</t>
  </si>
  <si>
    <t>(504) 842-3255</t>
  </si>
  <si>
    <t>DVJF</t>
  </si>
  <si>
    <t>Parkview Home Infusion</t>
  </si>
  <si>
    <t>1900 Carew St Ste 4</t>
  </si>
  <si>
    <t>(260) 480-5010</t>
  </si>
  <si>
    <t>Bryan Warning</t>
  </si>
  <si>
    <t>bwarning@vha.com</t>
  </si>
  <si>
    <t>DJYF</t>
  </si>
  <si>
    <t>Riverside Medical Building</t>
  </si>
  <si>
    <t>3545 Olentangy River Rd Ste 100</t>
  </si>
  <si>
    <t>(614) 566-5115</t>
  </si>
  <si>
    <t>DJUG</t>
  </si>
  <si>
    <t>Roper Berkeley Day Hospital</t>
  </si>
  <si>
    <t>730 Stoney Landing Rd</t>
  </si>
  <si>
    <t>Moncks Corner</t>
  </si>
  <si>
    <t>(843) 899-7700</t>
  </si>
  <si>
    <t>DJYK</t>
  </si>
  <si>
    <t>Sentara Home Care Pharmacy</t>
  </si>
  <si>
    <t>535 Independence Pkwy Ste 300</t>
  </si>
  <si>
    <t>Chesapeake</t>
  </si>
  <si>
    <t>23320-5176</t>
  </si>
  <si>
    <t>Sentara HomeCare Services</t>
  </si>
  <si>
    <t>Specialty Pharmacy - Home Health</t>
  </si>
  <si>
    <t>S368</t>
  </si>
  <si>
    <t>St Lukes Hospital of New Bedford Inc</t>
  </si>
  <si>
    <t>101 Page St</t>
  </si>
  <si>
    <t>New Bedford</t>
  </si>
  <si>
    <t>(508) 997-1515</t>
  </si>
  <si>
    <t>DJYO</t>
  </si>
  <si>
    <t>Network Health Center Inc</t>
  </si>
  <si>
    <t>555 E Pikes Peak Ave Ste 108</t>
  </si>
  <si>
    <t>80903-3612</t>
  </si>
  <si>
    <t>Julie Eaton</t>
  </si>
  <si>
    <t>julie.eaton@vizientinc.com</t>
  </si>
  <si>
    <t>DJYV</t>
  </si>
  <si>
    <t>Cimarron Pharmacy Services</t>
  </si>
  <si>
    <t>1323 W 6th Ave</t>
  </si>
  <si>
    <t>Stillwater</t>
  </si>
  <si>
    <t>74074-4306</t>
  </si>
  <si>
    <t>(405) 742-5707</t>
  </si>
  <si>
    <t>Stillwater Medical Center Authority</t>
  </si>
  <si>
    <t>DJYW</t>
  </si>
  <si>
    <t>Stormont Vail Retail Pharmacy</t>
  </si>
  <si>
    <t>830 SW Lane St</t>
  </si>
  <si>
    <t>66606-2487</t>
  </si>
  <si>
    <t>(785) 235-8796</t>
  </si>
  <si>
    <t>Stormont-Vail Inc</t>
  </si>
  <si>
    <t>DJZB</t>
  </si>
  <si>
    <t>United Medical Center Home Health Care</t>
  </si>
  <si>
    <t>2600 E 18th St</t>
  </si>
  <si>
    <t>82001-5511</t>
  </si>
  <si>
    <t>(307) 633-7000</t>
  </si>
  <si>
    <t>DJZD</t>
  </si>
  <si>
    <t>South Shreveport Pharmacy</t>
  </si>
  <si>
    <t>2520 Bert Kouns Loop Ste 103</t>
  </si>
  <si>
    <t>71118-3130</t>
  </si>
  <si>
    <t>(318) 629-5102</t>
  </si>
  <si>
    <t>DJZE</t>
  </si>
  <si>
    <t>Med-Tex Minor Medical Center - Adams John G MD</t>
  </si>
  <si>
    <t>711 E End Blvd S</t>
  </si>
  <si>
    <t>Hwy 59 South</t>
  </si>
  <si>
    <t>Marshall</t>
  </si>
  <si>
    <t>75670-5615</t>
  </si>
  <si>
    <t>(903) 938-4363</t>
  </si>
  <si>
    <t>R838</t>
  </si>
  <si>
    <t>West Tennessee Healthcare Inc</t>
  </si>
  <si>
    <t>620 Skyline Dr</t>
  </si>
  <si>
    <t>38301-3923</t>
  </si>
  <si>
    <t>(731) 541-6484</t>
  </si>
  <si>
    <t>R599</t>
  </si>
  <si>
    <t>Grand View Health</t>
  </si>
  <si>
    <t>700 Lawn Ave</t>
  </si>
  <si>
    <t>Sellersville</t>
  </si>
  <si>
    <t>18960-1548</t>
  </si>
  <si>
    <t>(215) 453-4000</t>
  </si>
  <si>
    <t>P866</t>
  </si>
  <si>
    <t>Petaluma Valley Hospital</t>
  </si>
  <si>
    <t>400 N Mcdowell Blvd</t>
  </si>
  <si>
    <t>Petaluma</t>
  </si>
  <si>
    <t>(707) 778-1111</t>
  </si>
  <si>
    <t>JAOV</t>
  </si>
  <si>
    <t>Emory University Hospital</t>
  </si>
  <si>
    <t>1364 Clifton Rd Ne</t>
  </si>
  <si>
    <t>Pharmacy Eg22</t>
  </si>
  <si>
    <t>(404) 712-2000</t>
  </si>
  <si>
    <t>JJDB</t>
  </si>
  <si>
    <t>Kaiser Permanente San Francisco Medical Center</t>
  </si>
  <si>
    <t>2425 Geary Blvd</t>
  </si>
  <si>
    <t>94115-3358</t>
  </si>
  <si>
    <t>(415) 202-2000</t>
  </si>
  <si>
    <t>JAJG</t>
  </si>
  <si>
    <t>Penn State Health Holy Spirit Medical Center</t>
  </si>
  <si>
    <t>503 N 21st St</t>
  </si>
  <si>
    <t>Camp Hill</t>
  </si>
  <si>
    <t>(717) 763-2100</t>
  </si>
  <si>
    <t>Penn State Health</t>
  </si>
  <si>
    <t>JJDC</t>
  </si>
  <si>
    <t>Minden Medical Center</t>
  </si>
  <si>
    <t>1 Medical Plaza Pl</t>
  </si>
  <si>
    <t>71055-3330</t>
  </si>
  <si>
    <t>Allegiance Health Management LLC</t>
  </si>
  <si>
    <t>DKJM</t>
  </si>
  <si>
    <t>OPG Heart &amp; Vascular Mansfield</t>
  </si>
  <si>
    <t>335 Glessner Ave Fl 3</t>
  </si>
  <si>
    <t>(419) 524-8151</t>
  </si>
  <si>
    <t>OhioHealth Physician Group - OPG</t>
  </si>
  <si>
    <t>Cardiology</t>
  </si>
  <si>
    <t>DKJU</t>
  </si>
  <si>
    <t>Bethany Medical Clinic PLLC</t>
  </si>
  <si>
    <t>6801 Nw 39th Expy</t>
  </si>
  <si>
    <t>Bethany</t>
  </si>
  <si>
    <t>73008-2501</t>
  </si>
  <si>
    <t>(405) 789-2441</t>
  </si>
  <si>
    <t>Brenna Hahn</t>
  </si>
  <si>
    <t>brenna.hahn@provista.com</t>
  </si>
  <si>
    <t>DKJL</t>
  </si>
  <si>
    <t>INTEGRIS Pharmacy 4185</t>
  </si>
  <si>
    <t>4221 S Western Ave Ste 1020</t>
  </si>
  <si>
    <t>73109-3448</t>
  </si>
  <si>
    <t>(405) 636-7499</t>
  </si>
  <si>
    <t>INTEGRIS Pharmacy 4190</t>
  </si>
  <si>
    <t>U477</t>
  </si>
  <si>
    <t>United Hospital</t>
  </si>
  <si>
    <t>333 Smith Ave N</t>
  </si>
  <si>
    <t>Saint Paul</t>
  </si>
  <si>
    <t>55102-2344</t>
  </si>
  <si>
    <t>(651) 241-8000</t>
  </si>
  <si>
    <t>P006</t>
  </si>
  <si>
    <t>Sanford Broadway Medical Center</t>
  </si>
  <si>
    <t>(701) 234-2000</t>
  </si>
  <si>
    <t>Sanford Medical Center Fargo</t>
  </si>
  <si>
    <t>W536</t>
  </si>
  <si>
    <t>Baptist Memorial Hospital - DeSoto</t>
  </si>
  <si>
    <t>7601 Southcrest Pkwy</t>
  </si>
  <si>
    <t>Southaven</t>
  </si>
  <si>
    <t>38671-4742</t>
  </si>
  <si>
    <t>(662) 772-4000</t>
  </si>
  <si>
    <t>P364</t>
  </si>
  <si>
    <t>Huntsville Hospital for Women and Children</t>
  </si>
  <si>
    <t>245 Governors Dr Se</t>
  </si>
  <si>
    <t>35801-2700</t>
  </si>
  <si>
    <t>V316</t>
  </si>
  <si>
    <t>Sanford Medical Center Worthington</t>
  </si>
  <si>
    <t>1018 6th Ave</t>
  </si>
  <si>
    <t>Worthington</t>
  </si>
  <si>
    <t>56187-2298</t>
  </si>
  <si>
    <t>(507) 372-3111</t>
  </si>
  <si>
    <t>V721</t>
  </si>
  <si>
    <t>Osborne County Memorial Hospital</t>
  </si>
  <si>
    <t>237 W Harrison St</t>
  </si>
  <si>
    <t>Osborne</t>
  </si>
  <si>
    <t>67473-1500</t>
  </si>
  <si>
    <t>(785) 346-2121</t>
  </si>
  <si>
    <t>R337</t>
  </si>
  <si>
    <t>Community Memorial Hospital</t>
  </si>
  <si>
    <t>150 Broad St</t>
  </si>
  <si>
    <t>13346-9518</t>
  </si>
  <si>
    <t>(315) 824-1100</t>
  </si>
  <si>
    <t>P270</t>
  </si>
  <si>
    <t>4050 Coon Rapids Blvd Nw</t>
  </si>
  <si>
    <t>55433-2522</t>
  </si>
  <si>
    <t>(763) 236-6000</t>
  </si>
  <si>
    <t>P269</t>
  </si>
  <si>
    <t>Unity Hospital</t>
  </si>
  <si>
    <t>550 Osborne Rd Ne</t>
  </si>
  <si>
    <t>Fridley</t>
  </si>
  <si>
    <t>55432-2718</t>
  </si>
  <si>
    <t>(763) 236-5000</t>
  </si>
  <si>
    <t>DKVJ</t>
  </si>
  <si>
    <t>Allina Health Phillips Eye Institute</t>
  </si>
  <si>
    <t>2215 Park Ave</t>
  </si>
  <si>
    <t>55404-3711</t>
  </si>
  <si>
    <t>(612) 775-8800</t>
  </si>
  <si>
    <t>Surgical Hospital</t>
  </si>
  <si>
    <t>V185</t>
  </si>
  <si>
    <t>River Falls Area Hospital</t>
  </si>
  <si>
    <t>1629 E Division St</t>
  </si>
  <si>
    <t>River Falls</t>
  </si>
  <si>
    <t>54022-1571</t>
  </si>
  <si>
    <t>(715) 425-6155</t>
  </si>
  <si>
    <t>U515</t>
  </si>
  <si>
    <t>Owatonna Hospital</t>
  </si>
  <si>
    <t>2250 Nw 26th St</t>
  </si>
  <si>
    <t>Owatonna</t>
  </si>
  <si>
    <t>55060-5503</t>
  </si>
  <si>
    <t>(507) 451-3850</t>
  </si>
  <si>
    <t>U608</t>
  </si>
  <si>
    <t>Buffalo Hospital</t>
  </si>
  <si>
    <t>303 Catlin St</t>
  </si>
  <si>
    <t>Buffalo</t>
  </si>
  <si>
    <t>55313-1947</t>
  </si>
  <si>
    <t>(763) 682-1212</t>
  </si>
  <si>
    <t>U551</t>
  </si>
  <si>
    <t>CentraCare Long Prairie Hospital</t>
  </si>
  <si>
    <t>50 Centracare Dr</t>
  </si>
  <si>
    <t>Long Prairie</t>
  </si>
  <si>
    <t>56347-2100</t>
  </si>
  <si>
    <t>(320) 732-2141</t>
  </si>
  <si>
    <t>U495</t>
  </si>
  <si>
    <t>St Francis Regional Medical Center</t>
  </si>
  <si>
    <t>1455 St Francis Ave</t>
  </si>
  <si>
    <t>Shakopee</t>
  </si>
  <si>
    <t>55379-3374</t>
  </si>
  <si>
    <t>(952) 403-3000</t>
  </si>
  <si>
    <t>DKWD</t>
  </si>
  <si>
    <t>City Of Huntsville</t>
  </si>
  <si>
    <t>35801-4421</t>
  </si>
  <si>
    <t>U520</t>
  </si>
  <si>
    <t>New Ulm Medical Center</t>
  </si>
  <si>
    <t>1324 5th St N</t>
  </si>
  <si>
    <t>New Ulm</t>
  </si>
  <si>
    <t>56073-1514</t>
  </si>
  <si>
    <t>(507) 233-1000</t>
  </si>
  <si>
    <t>JJDK</t>
  </si>
  <si>
    <t>Saint Francis Hospital</t>
  </si>
  <si>
    <t>333 Laidley St</t>
  </si>
  <si>
    <t>25301-1614</t>
  </si>
  <si>
    <t>Thomas Memorial Hospital</t>
  </si>
  <si>
    <t>JJDL</t>
  </si>
  <si>
    <t>Guthrie Cortland Medical Center</t>
  </si>
  <si>
    <t>134 Homer Ave</t>
  </si>
  <si>
    <t>Cortland</t>
  </si>
  <si>
    <t>13045-1206</t>
  </si>
  <si>
    <t>(607) 756-3900</t>
  </si>
  <si>
    <t>R005</t>
  </si>
  <si>
    <t>Eureka Springs Hospital</t>
  </si>
  <si>
    <t>24 Norris Street</t>
  </si>
  <si>
    <t>Eureka Springs</t>
  </si>
  <si>
    <t>(479) 253-7400</t>
  </si>
  <si>
    <t>P355</t>
  </si>
  <si>
    <t>Grove Hill Memorial Hospital</t>
  </si>
  <si>
    <t>295 S Jackson St</t>
  </si>
  <si>
    <t>Grove Hill</t>
  </si>
  <si>
    <t>36451-3231</t>
  </si>
  <si>
    <t>(251) 275-3191</t>
  </si>
  <si>
    <t>DLAJ</t>
  </si>
  <si>
    <t>MRI Center</t>
  </si>
  <si>
    <t>17333 Dugdale Dr</t>
  </si>
  <si>
    <t>46635-1500</t>
  </si>
  <si>
    <t>(574) 272-9991</t>
  </si>
  <si>
    <t>Imaging Center</t>
  </si>
  <si>
    <t>DLCA</t>
  </si>
  <si>
    <t>140 W College St Fl 4</t>
  </si>
  <si>
    <t>Covina</t>
  </si>
  <si>
    <t>91723-2007</t>
  </si>
  <si>
    <t>P626</t>
  </si>
  <si>
    <t>Emanate Health Inter-Community Hospital</t>
  </si>
  <si>
    <t>210 W San Bernardino Rd</t>
  </si>
  <si>
    <t>91723-1515</t>
  </si>
  <si>
    <t>(626) 331-7331</t>
  </si>
  <si>
    <t>V490</t>
  </si>
  <si>
    <t>Halifax Health Medical Center Daytona Beach</t>
  </si>
  <si>
    <t>32114-2830</t>
  </si>
  <si>
    <t>(386) 254-4000</t>
  </si>
  <si>
    <t>R912</t>
  </si>
  <si>
    <t>Springfield Memorial Hospital</t>
  </si>
  <si>
    <t>S232</t>
  </si>
  <si>
    <t>Wentworth-Douglass Hospital</t>
  </si>
  <si>
    <t>789 Central Ave</t>
  </si>
  <si>
    <t>(603) 742-5252</t>
  </si>
  <si>
    <t>T645</t>
  </si>
  <si>
    <t>Missouri Baptist Medical Center</t>
  </si>
  <si>
    <t>3015 N Ballas Rd</t>
  </si>
  <si>
    <t>63131-2329</t>
  </si>
  <si>
    <t>(314) 996-5000</t>
  </si>
  <si>
    <t>Q892</t>
  </si>
  <si>
    <t>Columbia Health Center</t>
  </si>
  <si>
    <t>306 N 7th St</t>
  </si>
  <si>
    <t>17512-2137</t>
  </si>
  <si>
    <t>(717) 684-2841</t>
  </si>
  <si>
    <t>Nichole Davis</t>
  </si>
  <si>
    <t>nichole.davis@vizientinc.com</t>
  </si>
  <si>
    <t>DLGG</t>
  </si>
  <si>
    <t>ACM Medical Laboratory</t>
  </si>
  <si>
    <t>160 Elmgrove Park</t>
  </si>
  <si>
    <t>(585) 247-3500</t>
  </si>
  <si>
    <t>Laboratory</t>
  </si>
  <si>
    <t>T405</t>
  </si>
  <si>
    <t>Sanford Medical Center Mayville</t>
  </si>
  <si>
    <t>42 6th Ave Se</t>
  </si>
  <si>
    <t>Mayville</t>
  </si>
  <si>
    <t>58257-1598</t>
  </si>
  <si>
    <t>(701) 786-3800</t>
  </si>
  <si>
    <t>U245</t>
  </si>
  <si>
    <t>Valor Health</t>
  </si>
  <si>
    <t>1202 E Locust St</t>
  </si>
  <si>
    <t>Emmett</t>
  </si>
  <si>
    <t>83617-2715</t>
  </si>
  <si>
    <t>(208) 365-3561</t>
  </si>
  <si>
    <t>Q663</t>
  </si>
  <si>
    <t>Fulton County Health Center</t>
  </si>
  <si>
    <t>725 S Shoop Ave</t>
  </si>
  <si>
    <t>Wauseon</t>
  </si>
  <si>
    <t>43567-1702</t>
  </si>
  <si>
    <t>(419) 335-2015</t>
  </si>
  <si>
    <t>DIV1</t>
  </si>
  <si>
    <t>VHA Inc/Washington Office</t>
  </si>
  <si>
    <t>799 9th St Nw Ste 210</t>
  </si>
  <si>
    <t>20001-4501</t>
  </si>
  <si>
    <t>(202) 354-2600</t>
  </si>
  <si>
    <t>Unclassified</t>
  </si>
  <si>
    <t>VHA1</t>
  </si>
  <si>
    <t>Vizient Inc</t>
  </si>
  <si>
    <t>290 E John Carpenter Fwy</t>
  </si>
  <si>
    <t>Irving</t>
  </si>
  <si>
    <t>75062-2710</t>
  </si>
  <si>
    <t>(972) 830-0000</t>
  </si>
  <si>
    <t>Business and Industry</t>
  </si>
  <si>
    <t>RH16</t>
  </si>
  <si>
    <t>VHA Mid-Atlantic LLC - Philadelphia</t>
  </si>
  <si>
    <t>755 Business Center Dr</t>
  </si>
  <si>
    <t>Horsham</t>
  </si>
  <si>
    <t>19044-3441</t>
  </si>
  <si>
    <t>(215) 245-4888</t>
  </si>
  <si>
    <t>RH06</t>
  </si>
  <si>
    <t>VHA Mid-America LLC - MO</t>
  </si>
  <si>
    <t>13801 Riverport Dr Suite 401</t>
  </si>
  <si>
    <t>Maryland Heights</t>
  </si>
  <si>
    <t>(314) 592-6700</t>
  </si>
  <si>
    <t>RH08</t>
  </si>
  <si>
    <t>VHA Michigan Inc</t>
  </si>
  <si>
    <t>3940 Peninsular Dr Se Ste 280</t>
  </si>
  <si>
    <t>49546-6107</t>
  </si>
  <si>
    <t>(616) 956-6555</t>
  </si>
  <si>
    <t>RH12</t>
  </si>
  <si>
    <t>VHA Upper Midwest LLC - Edina</t>
  </si>
  <si>
    <t>7601 France Ave S Ste 500</t>
  </si>
  <si>
    <t>Edina</t>
  </si>
  <si>
    <t>55435-5988</t>
  </si>
  <si>
    <t>(312) 252-8302</t>
  </si>
  <si>
    <t>RH17</t>
  </si>
  <si>
    <t>VHA Upper Midwest LLC - MN</t>
  </si>
  <si>
    <t>Centennial Lakes Ii</t>
  </si>
  <si>
    <t>(612) 837-4700</t>
  </si>
  <si>
    <t>RH22</t>
  </si>
  <si>
    <t>VHA Central LLC</t>
  </si>
  <si>
    <t>8900 Keystone Xing Ste 480</t>
  </si>
  <si>
    <t>46240-2129</t>
  </si>
  <si>
    <t>(317) 574-7170</t>
  </si>
  <si>
    <t>RH19</t>
  </si>
  <si>
    <t>VHA Mid-Atlantic LLC - Pittsburgh</t>
  </si>
  <si>
    <t>2000 Cliff Mine Rd Ste 610</t>
  </si>
  <si>
    <t>(412) 922-9124</t>
  </si>
  <si>
    <t>RH26</t>
  </si>
  <si>
    <t>VHA New England LLC</t>
  </si>
  <si>
    <t>350 Granite St Ste 2304</t>
  </si>
  <si>
    <t>Braintree</t>
  </si>
  <si>
    <t>(781) 794-6500</t>
  </si>
  <si>
    <t>RH29</t>
  </si>
  <si>
    <t>VHA Mid-Atlantic LLC - Syracuse</t>
  </si>
  <si>
    <t>5000 Campuswood Dr Ste 102</t>
  </si>
  <si>
    <t>East Syracuse</t>
  </si>
  <si>
    <t>13057-1236</t>
  </si>
  <si>
    <t>(315) 432-1340</t>
  </si>
  <si>
    <t>RH09</t>
  </si>
  <si>
    <t>VHA Mid-America LLC - KS</t>
  </si>
  <si>
    <t>7415 W 130th St Ste 200</t>
  </si>
  <si>
    <t>Overland Park</t>
  </si>
  <si>
    <t>66213-2676</t>
  </si>
  <si>
    <t>(913) 319-6200</t>
  </si>
  <si>
    <t>RH27</t>
  </si>
  <si>
    <t>VHA Oklahoma / Arkansas LLC</t>
  </si>
  <si>
    <t>4013 Nw Expressway Ste 675</t>
  </si>
  <si>
    <t>(405) 440-8900</t>
  </si>
  <si>
    <t>RH04</t>
  </si>
  <si>
    <t>Vizient Southeast Inc</t>
  </si>
  <si>
    <t>4211 W Boy Scout Blvd Ste 750</t>
  </si>
  <si>
    <t>Tampa</t>
  </si>
  <si>
    <t>(813) 350-8300</t>
  </si>
  <si>
    <t>RH05</t>
  </si>
  <si>
    <t>Vizient Southern States - Baton Rouge</t>
  </si>
  <si>
    <t>8545 United Plaza Blvd Ste 380</t>
  </si>
  <si>
    <t>70809-0204</t>
  </si>
  <si>
    <t>(225) 761-1568</t>
  </si>
  <si>
    <t>RH25</t>
  </si>
  <si>
    <t>Vizient Southern States - Atlanta</t>
  </si>
  <si>
    <t>900 Cir 75 Pkwy Se Ste 1450</t>
  </si>
  <si>
    <t>30339-6039</t>
  </si>
  <si>
    <t>(770) 850-7400</t>
  </si>
  <si>
    <t>RH28</t>
  </si>
  <si>
    <t>QMS Consulting</t>
  </si>
  <si>
    <t>11525 N Community House Rd Ste 450</t>
  </si>
  <si>
    <t>28277-3609</t>
  </si>
  <si>
    <t>(704) 377-7140</t>
  </si>
  <si>
    <t>RH14</t>
  </si>
  <si>
    <t>VHA Mid-America LLC - CO</t>
  </si>
  <si>
    <t>1401 17th St Ste 850</t>
  </si>
  <si>
    <t>Denver</t>
  </si>
  <si>
    <t>80202-1397</t>
  </si>
  <si>
    <t>(303) 308-4100</t>
  </si>
  <si>
    <t>Q643</t>
  </si>
  <si>
    <t>University of Toledo Medical Center</t>
  </si>
  <si>
    <t>3000 Arlington Avenue</t>
  </si>
  <si>
    <t>Toledo</t>
  </si>
  <si>
    <t>(419) 383-4000</t>
  </si>
  <si>
    <t>Excelerate - Rx Only</t>
  </si>
  <si>
    <t>RH18</t>
  </si>
  <si>
    <t>VHA West Coast LLC - NC</t>
  </si>
  <si>
    <t>4900 Hopyard Rd Ste 320</t>
  </si>
  <si>
    <t>Pleasanton</t>
  </si>
  <si>
    <t>94588-3150</t>
  </si>
  <si>
    <t>(510) 730-3000</t>
  </si>
  <si>
    <t>RH23</t>
  </si>
  <si>
    <t>VHA West Coast LLC - SC</t>
  </si>
  <si>
    <t>880 Apollo St Ste 300</t>
  </si>
  <si>
    <t>El Segundo</t>
  </si>
  <si>
    <t>90245-4726</t>
  </si>
  <si>
    <t>(310) 414-4050</t>
  </si>
  <si>
    <t>DLGR</t>
  </si>
  <si>
    <t>St Bernards Healthcare Assoc Reg Prov</t>
  </si>
  <si>
    <t>105 E Matthews Ave Ste A</t>
  </si>
  <si>
    <t>72401-3131</t>
  </si>
  <si>
    <t>(870) 972-0032</t>
  </si>
  <si>
    <t>HMO-Closed</t>
  </si>
  <si>
    <t>Managed Care Plan</t>
  </si>
  <si>
    <t>DLGD</t>
  </si>
  <si>
    <t>Sarah D Culbertson Memorial Hospital</t>
  </si>
  <si>
    <t>238 S Congress St</t>
  </si>
  <si>
    <t>Rushville</t>
  </si>
  <si>
    <t>62681-1465</t>
  </si>
  <si>
    <t>(217) 322-4321</t>
  </si>
  <si>
    <t>U125</t>
  </si>
  <si>
    <t>Memorial Hospital of Carbon County</t>
  </si>
  <si>
    <t>2221 Elm St</t>
  </si>
  <si>
    <t>Rawlins</t>
  </si>
  <si>
    <t>82301-5108</t>
  </si>
  <si>
    <t>(307) 324-2221</t>
  </si>
  <si>
    <t>R673</t>
  </si>
  <si>
    <t>Jefferson Methodist Hospital</t>
  </si>
  <si>
    <t>2301 S Broad St</t>
  </si>
  <si>
    <t>(215) 952-9007</t>
  </si>
  <si>
    <t>JJDX</t>
  </si>
  <si>
    <t>NorthBay Health</t>
  </si>
  <si>
    <t>4500 Business Center Dr</t>
  </si>
  <si>
    <t>Fairfield</t>
  </si>
  <si>
    <t>94534-6888</t>
  </si>
  <si>
    <t>(707) 646-5000</t>
  </si>
  <si>
    <t>P627</t>
  </si>
  <si>
    <t>Sutter Coast Hospital</t>
  </si>
  <si>
    <t>800 E Washington Blvd</t>
  </si>
  <si>
    <t>Crescent City</t>
  </si>
  <si>
    <t>(707) 464-8511</t>
  </si>
  <si>
    <t>V076</t>
  </si>
  <si>
    <t>Emory LTAC</t>
  </si>
  <si>
    <t>450 N Candler St</t>
  </si>
  <si>
    <t>30030-2626</t>
  </si>
  <si>
    <t>(404) 377-0221</t>
  </si>
  <si>
    <t>Q355</t>
  </si>
  <si>
    <t>Oaklawn Hospital</t>
  </si>
  <si>
    <t>200 N Madison St</t>
  </si>
  <si>
    <t>49068-1199</t>
  </si>
  <si>
    <t>(269) 781-4271</t>
  </si>
  <si>
    <t>S176</t>
  </si>
  <si>
    <t>Copley Hospital</t>
  </si>
  <si>
    <t>528 Washington Hwy</t>
  </si>
  <si>
    <t>Morrisville</t>
  </si>
  <si>
    <t>(802) 888-8888</t>
  </si>
  <si>
    <t>Copley Health Systems Inc</t>
  </si>
  <si>
    <t>DLJK</t>
  </si>
  <si>
    <t>89 Genesee St</t>
  </si>
  <si>
    <t>14611-3201</t>
  </si>
  <si>
    <t>(585) 368-3023</t>
  </si>
  <si>
    <t>DLKD</t>
  </si>
  <si>
    <t>Charleston Area Med Ctr - General Division</t>
  </si>
  <si>
    <t>25301-1326</t>
  </si>
  <si>
    <t>DLKC</t>
  </si>
  <si>
    <t>CAMC Memorial Hospital</t>
  </si>
  <si>
    <t>3200 Maccorkle Ave Se</t>
  </si>
  <si>
    <t>25304-1227</t>
  </si>
  <si>
    <t>(304) 388-5432</t>
  </si>
  <si>
    <t>DLKB</t>
  </si>
  <si>
    <t>Northwest HealthCare</t>
  </si>
  <si>
    <t>1225 Graham Rd</t>
  </si>
  <si>
    <t>Florissant</t>
  </si>
  <si>
    <t>63031-8014</t>
  </si>
  <si>
    <t>ORHS</t>
  </si>
  <si>
    <t>Arnold Palmer Hospital for Children</t>
  </si>
  <si>
    <t>92 W Miller St</t>
  </si>
  <si>
    <t>32806-2036</t>
  </si>
  <si>
    <t>(407) 649-6960</t>
  </si>
  <si>
    <t>DLVD</t>
  </si>
  <si>
    <t>California Pacific Medical Center -Pacific Campus</t>
  </si>
  <si>
    <t>2333 Buchanan St</t>
  </si>
  <si>
    <t>94115-1925</t>
  </si>
  <si>
    <t>(415) 563-4321</t>
  </si>
  <si>
    <t>Q761</t>
  </si>
  <si>
    <t>Kings Daughters Health</t>
  </si>
  <si>
    <t>1373 E State Rd 62</t>
  </si>
  <si>
    <t>47250-3357</t>
  </si>
  <si>
    <t>(812) 801-0800</t>
  </si>
  <si>
    <t>V997</t>
  </si>
  <si>
    <t>1200 N Elm St</t>
  </si>
  <si>
    <t>27401-1004</t>
  </si>
  <si>
    <t>(336) 832-7000</t>
  </si>
  <si>
    <t>DLKA</t>
  </si>
  <si>
    <t>Halifax Behavioral Services</t>
  </si>
  <si>
    <t>841 Jimmy Ann Dr</t>
  </si>
  <si>
    <t>32117-4583</t>
  </si>
  <si>
    <t>(386) 254-4175</t>
  </si>
  <si>
    <t>DLJU</t>
  </si>
  <si>
    <t>Halifax Health Medical Center Port Orange</t>
  </si>
  <si>
    <t>1041 Dunlawton Ave</t>
  </si>
  <si>
    <t>Port Orange</t>
  </si>
  <si>
    <t>32127-7968</t>
  </si>
  <si>
    <t>DLJR</t>
  </si>
  <si>
    <t>Memorial Hermann Prevention and Recovery Center</t>
  </si>
  <si>
    <t>3043 Gessner Dr</t>
  </si>
  <si>
    <t>77080-1000</t>
  </si>
  <si>
    <t>(713) 462-2515</t>
  </si>
  <si>
    <t>U103</t>
  </si>
  <si>
    <t>Prevention and Recovery Center</t>
  </si>
  <si>
    <t>1550 La Concha Ln</t>
  </si>
  <si>
    <t>77054-1804</t>
  </si>
  <si>
    <t>(713) 448-5555</t>
  </si>
  <si>
    <t>V797</t>
  </si>
  <si>
    <t>Fredonia Regional Hospital</t>
  </si>
  <si>
    <t>1527 Madison St</t>
  </si>
  <si>
    <t>Fredonia</t>
  </si>
  <si>
    <t>66736-1751</t>
  </si>
  <si>
    <t>(620) 378-2121</t>
  </si>
  <si>
    <t>S731</t>
  </si>
  <si>
    <t>Newton Medical Center</t>
  </si>
  <si>
    <t>175 High St</t>
  </si>
  <si>
    <t>(973) 383-2121</t>
  </si>
  <si>
    <t>P371</t>
  </si>
  <si>
    <t>Crenshaw Community Hospital</t>
  </si>
  <si>
    <t>101 Hospital Dr</t>
  </si>
  <si>
    <t>Luverne</t>
  </si>
  <si>
    <t>36049-7344</t>
  </si>
  <si>
    <t>(334) 335-3374</t>
  </si>
  <si>
    <t>R439</t>
  </si>
  <si>
    <t>Our Lady of Lourdes Medical Center</t>
  </si>
  <si>
    <t>1600 Haddon Ave</t>
  </si>
  <si>
    <t>Camden</t>
  </si>
  <si>
    <t>(856) 757-3500</t>
  </si>
  <si>
    <t>Catholic Health East - NJ</t>
  </si>
  <si>
    <t>DLLJ</t>
  </si>
  <si>
    <t>Ideal Senior Living Center Inc</t>
  </si>
  <si>
    <t>600 High Ave</t>
  </si>
  <si>
    <t>Endicott</t>
  </si>
  <si>
    <t>13760-4789</t>
  </si>
  <si>
    <t>(607) 786-7300</t>
  </si>
  <si>
    <t>Q295</t>
  </si>
  <si>
    <t>Corewell Health Gerber Hospital</t>
  </si>
  <si>
    <t>212 S Sullivan Ave</t>
  </si>
  <si>
    <t>49412-1585</t>
  </si>
  <si>
    <t>(231) 924-3300</t>
  </si>
  <si>
    <t>DLDD</t>
  </si>
  <si>
    <t>Professional Home Care Inc</t>
  </si>
  <si>
    <t>601 Riverside Dr</t>
  </si>
  <si>
    <t>Johnson City</t>
  </si>
  <si>
    <t>(607) 763-5600</t>
  </si>
  <si>
    <t>Q842</t>
  </si>
  <si>
    <t>Indiana Regional Medical Center</t>
  </si>
  <si>
    <t>835 Hospital Rd</t>
  </si>
  <si>
    <t>Indiana</t>
  </si>
  <si>
    <t>15701-0788</t>
  </si>
  <si>
    <t>(724) 357-7000</t>
  </si>
  <si>
    <t>JJEJ</t>
  </si>
  <si>
    <t>Ochsner Baptist Medical Center</t>
  </si>
  <si>
    <t>2700 Napoleon Ave</t>
  </si>
  <si>
    <t>70115-6914</t>
  </si>
  <si>
    <t>(504) 899-9311</t>
  </si>
  <si>
    <t>HFWH</t>
  </si>
  <si>
    <t>Clark Memorial Hospital</t>
  </si>
  <si>
    <t>1220 Missouri Ave</t>
  </si>
  <si>
    <t>Jeffersonville</t>
  </si>
  <si>
    <t>47130-3725</t>
  </si>
  <si>
    <t>(812) 282-6631</t>
  </si>
  <si>
    <t>XA04</t>
  </si>
  <si>
    <t>Woodlawn Hospital</t>
  </si>
  <si>
    <t>1400 E 9th St</t>
  </si>
  <si>
    <t>46975-0893</t>
  </si>
  <si>
    <t>(574) 223-3141</t>
  </si>
  <si>
    <t>H320</t>
  </si>
  <si>
    <t>Allina Health Apple Valley Clinic</t>
  </si>
  <si>
    <t>14655 Galaxie Ave</t>
  </si>
  <si>
    <t>Apple Valley</t>
  </si>
  <si>
    <t>(952) 432-6161</t>
  </si>
  <si>
    <t>JJEN</t>
  </si>
  <si>
    <t>Minneapolis Cardiology Associates</t>
  </si>
  <si>
    <t>920 E 28th St Ste 300</t>
  </si>
  <si>
    <t>55407-1195</t>
  </si>
  <si>
    <t>H390</t>
  </si>
  <si>
    <t>Metropolitan Internists PA</t>
  </si>
  <si>
    <t>825 S 8th St</t>
  </si>
  <si>
    <t>(612) 339-7171</t>
  </si>
  <si>
    <t>Internal Medicine</t>
  </si>
  <si>
    <t>H330</t>
  </si>
  <si>
    <t>Luck Medical Clinic SC</t>
  </si>
  <si>
    <t>137 1st Avenue</t>
  </si>
  <si>
    <t>Luck</t>
  </si>
  <si>
    <t>(715) 472-2177</t>
  </si>
  <si>
    <t>Health Partners Inc</t>
  </si>
  <si>
    <t>HealthPartners (Regions Hospital)</t>
  </si>
  <si>
    <t>JAXF</t>
  </si>
  <si>
    <t>Hennepin County Medical Center</t>
  </si>
  <si>
    <t>701 Park Ave S</t>
  </si>
  <si>
    <t>(612) 873-3000</t>
  </si>
  <si>
    <t>JJET</t>
  </si>
  <si>
    <t>Audubon County Memorial Hospital</t>
  </si>
  <si>
    <t>515 Pacific Street</t>
  </si>
  <si>
    <t>Audubon</t>
  </si>
  <si>
    <t>H008</t>
  </si>
  <si>
    <t>CCM Health</t>
  </si>
  <si>
    <t>824 North 11th Street</t>
  </si>
  <si>
    <t>Montevideo</t>
  </si>
  <si>
    <t>(612) 269-8878</t>
  </si>
  <si>
    <t>Wendy Weegman</t>
  </si>
  <si>
    <t>wendy.weegman@myrha.com</t>
  </si>
  <si>
    <t>Rural Health Alliance</t>
  </si>
  <si>
    <t>JJEW</t>
  </si>
  <si>
    <t>Prairie Ridge Health</t>
  </si>
  <si>
    <t>1515 Park Ave</t>
  </si>
  <si>
    <t>53925-1618</t>
  </si>
  <si>
    <t>SSM Health Care</t>
  </si>
  <si>
    <t>U582</t>
  </si>
  <si>
    <t>Allina Health Faribault Medical Center</t>
  </si>
  <si>
    <t>200 State Ave</t>
  </si>
  <si>
    <t>Faribault</t>
  </si>
  <si>
    <t>55021-6345</t>
  </si>
  <si>
    <t>(507) 334-6451</t>
  </si>
  <si>
    <t>U650</t>
  </si>
  <si>
    <t>Keokuk County Health Center</t>
  </si>
  <si>
    <t>23019 Hwy 149</t>
  </si>
  <si>
    <t>Sigourney</t>
  </si>
  <si>
    <t>(641) 622-2720</t>
  </si>
  <si>
    <t>University of Iowa Health Care Medical Center</t>
  </si>
  <si>
    <t>U544</t>
  </si>
  <si>
    <t>CentraCare Melrose Hospital</t>
  </si>
  <si>
    <t>525 W Main St</t>
  </si>
  <si>
    <t>56352-1043</t>
  </si>
  <si>
    <t>(320) 256-4231</t>
  </si>
  <si>
    <t>XD12</t>
  </si>
  <si>
    <t>University of Michigan Health-West</t>
  </si>
  <si>
    <t>5900 Byron Center Ave Sw</t>
  </si>
  <si>
    <t>Wyoming</t>
  </si>
  <si>
    <t>(616) 252-7200</t>
  </si>
  <si>
    <t>University of Michigan Health</t>
  </si>
  <si>
    <t>Greater Michigan Cooperative</t>
  </si>
  <si>
    <t>U555</t>
  </si>
  <si>
    <t>Ridgeview Le Sueur Medical Center</t>
  </si>
  <si>
    <t>621 4th St</t>
  </si>
  <si>
    <t>Le Sueur</t>
  </si>
  <si>
    <t>(507) 665-3375</t>
  </si>
  <si>
    <t>U518</t>
  </si>
  <si>
    <t>Olivia Hospital &amp; Clinic</t>
  </si>
  <si>
    <t>100 Healthy Way</t>
  </si>
  <si>
    <t>Olivia</t>
  </si>
  <si>
    <t>56277-1117</t>
  </si>
  <si>
    <t>(320) 523-1261</t>
  </si>
  <si>
    <t>JDYB</t>
  </si>
  <si>
    <t>Riverview Healthcare Association</t>
  </si>
  <si>
    <t>323 S Minnesota St</t>
  </si>
  <si>
    <t>Crookston</t>
  </si>
  <si>
    <t>(218) 281-9200</t>
  </si>
  <si>
    <t>U493</t>
  </si>
  <si>
    <t>Sleepy Eye Medical Center</t>
  </si>
  <si>
    <t>400 4th Ave Nw</t>
  </si>
  <si>
    <t>Sleepy Eye</t>
  </si>
  <si>
    <t>(507) 794-3571</t>
  </si>
  <si>
    <t>JBFE</t>
  </si>
  <si>
    <t>FKC - 101326 BRAINERD DIALYSIS</t>
  </si>
  <si>
    <t>2024 S 6th St</t>
  </si>
  <si>
    <t>Brainerd</t>
  </si>
  <si>
    <t>56401-4529</t>
  </si>
  <si>
    <t>(218) 825-8964</t>
  </si>
  <si>
    <t>Fresenius Medical Care No America</t>
  </si>
  <si>
    <t>Jennifer Burton</t>
  </si>
  <si>
    <t>jennifer.burton@vizientinc.com</t>
  </si>
  <si>
    <t>Dialysis</t>
  </si>
  <si>
    <t>DXXY</t>
  </si>
  <si>
    <t>Allina Health West St Paul Clinic</t>
  </si>
  <si>
    <t>150 Emerson Ave E</t>
  </si>
  <si>
    <t>Voosooney Alexis A Md</t>
  </si>
  <si>
    <t>West St Paul</t>
  </si>
  <si>
    <t>55118-2535</t>
  </si>
  <si>
    <t>(651) 552-3800</t>
  </si>
  <si>
    <t>Allina Health Clinic Division</t>
  </si>
  <si>
    <t>DXXW</t>
  </si>
  <si>
    <t>Allina Health Shoreview Clinic</t>
  </si>
  <si>
    <t>4194 Lexington Ave N</t>
  </si>
  <si>
    <t>Shoreview</t>
  </si>
  <si>
    <t>55126-6106</t>
  </si>
  <si>
    <t>(612) 483-5461</t>
  </si>
  <si>
    <t>XHB1</t>
  </si>
  <si>
    <t>S363</t>
  </si>
  <si>
    <t>Cooley Dickinson Hospital</t>
  </si>
  <si>
    <t>30 Locust St</t>
  </si>
  <si>
    <t>Northampton</t>
  </si>
  <si>
    <t>(413) 582-2000</t>
  </si>
  <si>
    <t>Cooley Dickinson Health Care Corporation</t>
  </si>
  <si>
    <t>DLPG</t>
  </si>
  <si>
    <t>Methodist Phys Clinic- Valley</t>
  </si>
  <si>
    <t>625 S Pine St</t>
  </si>
  <si>
    <t>Valley</t>
  </si>
  <si>
    <t>68064-4400</t>
  </si>
  <si>
    <t>(402) 359-2277</t>
  </si>
  <si>
    <t>Methodist Phys Clinic- Administration</t>
  </si>
  <si>
    <t>DLPF</t>
  </si>
  <si>
    <t>Methodist Phys Clinic- South</t>
  </si>
  <si>
    <t>3353 L St</t>
  </si>
  <si>
    <t>68107-2500</t>
  </si>
  <si>
    <t>(402) 354-7700</t>
  </si>
  <si>
    <t>DLPK</t>
  </si>
  <si>
    <t>Methodist Phys Clinic- Papillion</t>
  </si>
  <si>
    <t>101 E Centennial Rd</t>
  </si>
  <si>
    <t>Papillion</t>
  </si>
  <si>
    <t>68046-2079</t>
  </si>
  <si>
    <t>(402) 354-7750</t>
  </si>
  <si>
    <t>DLPS</t>
  </si>
  <si>
    <t>Guthrie Med Supply Depot</t>
  </si>
  <si>
    <t>1393 Elmira St</t>
  </si>
  <si>
    <t>18840-9284</t>
  </si>
  <si>
    <t>(570) 888-3488</t>
  </si>
  <si>
    <t>Durable Medical Equipment</t>
  </si>
  <si>
    <t>DLPT</t>
  </si>
  <si>
    <t>Coastal Plain Hospital</t>
  </si>
  <si>
    <t>2301 Medpark Dr</t>
  </si>
  <si>
    <t>Rocky Mount</t>
  </si>
  <si>
    <t>27804-2288</t>
  </si>
  <si>
    <t>(252) 443-9500</t>
  </si>
  <si>
    <t>UNC Health Care System</t>
  </si>
  <si>
    <t>UNC Nash General Hospital</t>
  </si>
  <si>
    <t>W548</t>
  </si>
  <si>
    <t>Northside Gwinnett Glancy Rehabilitation Center</t>
  </si>
  <si>
    <t>3215 Mcclure Bridge Rd</t>
  </si>
  <si>
    <t>30096-3223</t>
  </si>
  <si>
    <t>(678) 312-6789</t>
  </si>
  <si>
    <t>DJYA</t>
  </si>
  <si>
    <t>Park Ridge Apothecary Inc - Long Pond Rd</t>
  </si>
  <si>
    <t>1561 Long Pond Rd</t>
  </si>
  <si>
    <t>(716) 723-7044</t>
  </si>
  <si>
    <t>Parkway Apothecary Inc</t>
  </si>
  <si>
    <t>DLPY</t>
  </si>
  <si>
    <t>Shared Health Resources LLC</t>
  </si>
  <si>
    <t>56201-3302</t>
  </si>
  <si>
    <t>T556</t>
  </si>
  <si>
    <t>Antelope Memorial Hospital</t>
  </si>
  <si>
    <t>102 W 9th St</t>
  </si>
  <si>
    <t>Neligh</t>
  </si>
  <si>
    <t>68756-1114</t>
  </si>
  <si>
    <t>(402) 887-4151</t>
  </si>
  <si>
    <t>T533</t>
  </si>
  <si>
    <t>Osmond General Hospital</t>
  </si>
  <si>
    <t>402 N Maple St</t>
  </si>
  <si>
    <t>Osmond</t>
  </si>
  <si>
    <t>68765-5726</t>
  </si>
  <si>
    <t>(402) 748-3393</t>
  </si>
  <si>
    <t>DLQB</t>
  </si>
  <si>
    <t>Warm Springs Rehab Hospital of San Antonio</t>
  </si>
  <si>
    <t>5101 Medical Dr</t>
  </si>
  <si>
    <t>San Antonio</t>
  </si>
  <si>
    <t>(210) 614-9276</t>
  </si>
  <si>
    <t>PAM Health</t>
  </si>
  <si>
    <t>Ted VanZante</t>
  </si>
  <si>
    <t>ted.vanzante@vizientinc.com</t>
  </si>
  <si>
    <t>V614</t>
  </si>
  <si>
    <t>Choctaw Memorial Hospital</t>
  </si>
  <si>
    <t>1405 E Kirk St</t>
  </si>
  <si>
    <t>Hugo</t>
  </si>
  <si>
    <t>(580) 326-3541</t>
  </si>
  <si>
    <t>JJFE</t>
  </si>
  <si>
    <t>8110 Gatehouse Rd Ste 200</t>
  </si>
  <si>
    <t>East Tower</t>
  </si>
  <si>
    <t>22042-1210</t>
  </si>
  <si>
    <t>(855) 694-6682</t>
  </si>
  <si>
    <t>DMPM</t>
  </si>
  <si>
    <t>Allina Health Home Care Services</t>
  </si>
  <si>
    <t>1055 Westgate Dr Ste 100</t>
  </si>
  <si>
    <t>(612) 775-5000</t>
  </si>
  <si>
    <t>H465</t>
  </si>
  <si>
    <t>Allergy &amp; Asthma Specialists PA</t>
  </si>
  <si>
    <t>825 Nicollet Mall Ste 1149</t>
  </si>
  <si>
    <t>55402-2750</t>
  </si>
  <si>
    <t>(612) 338-3333</t>
  </si>
  <si>
    <t>PSMA Connect</t>
  </si>
  <si>
    <t>Blaire Bendian</t>
  </si>
  <si>
    <t>blaire.bendian@provista.com</t>
  </si>
  <si>
    <t>Allergy, Asthma &amp; Immunology</t>
  </si>
  <si>
    <t>PSMA</t>
  </si>
  <si>
    <t>JJFL</t>
  </si>
  <si>
    <t>Johns Hopkins Bayview Medical Center</t>
  </si>
  <si>
    <t>4940 Eastern Avenue</t>
  </si>
  <si>
    <t>(410) 550-0100</t>
  </si>
  <si>
    <t>T627</t>
  </si>
  <si>
    <t>Missouri Baptist Hospital of Sullivan</t>
  </si>
  <si>
    <t>751 Sappington Bridge Rd</t>
  </si>
  <si>
    <t>Sullivan</t>
  </si>
  <si>
    <t>63080-2354</t>
  </si>
  <si>
    <t>(573) 468-4186</t>
  </si>
  <si>
    <t>T637</t>
  </si>
  <si>
    <t>St Louis Childrens Hospital</t>
  </si>
  <si>
    <t>1 Childrens Pl</t>
  </si>
  <si>
    <t>63110-1002</t>
  </si>
  <si>
    <t>(314) 454-6000</t>
  </si>
  <si>
    <t>T628</t>
  </si>
  <si>
    <t>Ste Genevieve County Memorial Hospital</t>
  </si>
  <si>
    <t>800 Ste Genevieve Dr</t>
  </si>
  <si>
    <t>Ste Genevieve</t>
  </si>
  <si>
    <t>63670-1434</t>
  </si>
  <si>
    <t>(573) 883-2751</t>
  </si>
  <si>
    <t>S019</t>
  </si>
  <si>
    <t>HSHS Holy Family Hospital Inc</t>
  </si>
  <si>
    <t>200 Health Care Dr</t>
  </si>
  <si>
    <t>62246-1154</t>
  </si>
  <si>
    <t>(618) 664-1230</t>
  </si>
  <si>
    <t>R979</t>
  </si>
  <si>
    <t>Anderson Hospital</t>
  </si>
  <si>
    <t>6800 State Rte 162</t>
  </si>
  <si>
    <t>Maryville</t>
  </si>
  <si>
    <t>(618) 288-5711</t>
  </si>
  <si>
    <t>R999</t>
  </si>
  <si>
    <t>Jersey Community Hospital</t>
  </si>
  <si>
    <t>400 Maple Summit Rd</t>
  </si>
  <si>
    <t>Jerseyville</t>
  </si>
  <si>
    <t>62052-2028</t>
  </si>
  <si>
    <t>(618) 498-6402</t>
  </si>
  <si>
    <t>S129</t>
  </si>
  <si>
    <t>Memorial Hospital</t>
  </si>
  <si>
    <t>1900 State St</t>
  </si>
  <si>
    <t>62233-1116</t>
  </si>
  <si>
    <t>(618) 826-4581</t>
  </si>
  <si>
    <t>U213</t>
  </si>
  <si>
    <t>Weiser Memorial Hospital</t>
  </si>
  <si>
    <t>645 E 5th St</t>
  </si>
  <si>
    <t>Weiser</t>
  </si>
  <si>
    <t>83672-2202</t>
  </si>
  <si>
    <t>(208) 549-0370</t>
  </si>
  <si>
    <t>Jamie Weihrauch</t>
  </si>
  <si>
    <t>jamie.weihrauch@vizientinc.com</t>
  </si>
  <si>
    <t>Q554</t>
  </si>
  <si>
    <t>ProMedica Fostoria Community Hospital</t>
  </si>
  <si>
    <t>501 Van Buren St</t>
  </si>
  <si>
    <t>Fostoria</t>
  </si>
  <si>
    <t>44830-1534</t>
  </si>
  <si>
    <t>(419) 435-7734</t>
  </si>
  <si>
    <t>U139</t>
  </si>
  <si>
    <t>Memorial Hospital of Converse County</t>
  </si>
  <si>
    <t>111 S 5th St</t>
  </si>
  <si>
    <t>Douglas</t>
  </si>
  <si>
    <t>82633-2434</t>
  </si>
  <si>
    <t>(307) 358-2122</t>
  </si>
  <si>
    <t>DLRZ</t>
  </si>
  <si>
    <t>Childrens Clinics for Rehabilitation Service</t>
  </si>
  <si>
    <t>2600 N Wyatt Dr</t>
  </si>
  <si>
    <t>85712-6106</t>
  </si>
  <si>
    <t>(520) 324-5437</t>
  </si>
  <si>
    <t>TMC Childrens Clinics/Rehab Services</t>
  </si>
  <si>
    <t>Andrew McKeague</t>
  </si>
  <si>
    <t>andy.mckeague@vizientinc.com</t>
  </si>
  <si>
    <t>DLSF</t>
  </si>
  <si>
    <t>Southern Arizona Radiology Associates</t>
  </si>
  <si>
    <t>155 Calle Portal Ste 500</t>
  </si>
  <si>
    <t>Sierra Vista</t>
  </si>
  <si>
    <t>85635-2973</t>
  </si>
  <si>
    <t>(520) 459-5227</t>
  </si>
  <si>
    <t>Jules Matthews</t>
  </si>
  <si>
    <t>jules.matthews@provista.com</t>
  </si>
  <si>
    <t>JJFO</t>
  </si>
  <si>
    <t>Haven Senior Horizons</t>
  </si>
  <si>
    <t>1201 S 7th Ave Ste 200</t>
  </si>
  <si>
    <t>85007-3917</t>
  </si>
  <si>
    <t>(623) 236-2000</t>
  </si>
  <si>
    <t>JJFR</t>
  </si>
  <si>
    <t>HonorHealth Scottsdale Osborn Medical Center</t>
  </si>
  <si>
    <t>7400 E Osborn Rd</t>
  </si>
  <si>
    <t>Scottsdale</t>
  </si>
  <si>
    <t>85251-6432</t>
  </si>
  <si>
    <t>(480) 882-4000</t>
  </si>
  <si>
    <t>Scottsdale Healthcare</t>
  </si>
  <si>
    <t>DLSN</t>
  </si>
  <si>
    <t>The Surgery Center of Alta Bates Summit Med</t>
  </si>
  <si>
    <t>3875 Telegraph Ave</t>
  </si>
  <si>
    <t>(510) 547-2244</t>
  </si>
  <si>
    <t>DLSO</t>
  </si>
  <si>
    <t>Mohawk Valley Home Care Inc - Burrstone Rd</t>
  </si>
  <si>
    <t>902 Burrstone Rd</t>
  </si>
  <si>
    <t>(315) 624-4660</t>
  </si>
  <si>
    <t>DLST</t>
  </si>
  <si>
    <t>Eddy - Ford Nursing Home</t>
  </si>
  <si>
    <t>421 W Columbia St</t>
  </si>
  <si>
    <t>Cohoes</t>
  </si>
  <si>
    <t>(518) 237-5630</t>
  </si>
  <si>
    <t>DLSV</t>
  </si>
  <si>
    <t>Eddy Memorial Geriatric Center</t>
  </si>
  <si>
    <t>2256 Burdett Ave</t>
  </si>
  <si>
    <t>(518) 274-9890</t>
  </si>
  <si>
    <t>DLSZ</t>
  </si>
  <si>
    <t>Southeastern Indiana Medical Holdings Inc</t>
  </si>
  <si>
    <t>(812) 376-5015</t>
  </si>
  <si>
    <t>Helena Silvia</t>
  </si>
  <si>
    <t>helena.silvia@provista.com</t>
  </si>
  <si>
    <t>DLTS</t>
  </si>
  <si>
    <t>Columbus Surgery Center</t>
  </si>
  <si>
    <t>940 N Marr Rd</t>
  </si>
  <si>
    <t>(812) 372-1370</t>
  </si>
  <si>
    <t>DLTT</t>
  </si>
  <si>
    <t>Columbus Health Laboratory</t>
  </si>
  <si>
    <t>1960 Doctors Park Dr</t>
  </si>
  <si>
    <t>DLXR</t>
  </si>
  <si>
    <t>Rockford Health System</t>
  </si>
  <si>
    <t>2400 N Rockton Ave</t>
  </si>
  <si>
    <t>Rockford</t>
  </si>
  <si>
    <t>61103-3655</t>
  </si>
  <si>
    <t>(815) 968-6861</t>
  </si>
  <si>
    <t>W561</t>
  </si>
  <si>
    <t>5830 Nw Barry Rd</t>
  </si>
  <si>
    <t>64154-2778</t>
  </si>
  <si>
    <t>(816) 891-6000</t>
  </si>
  <si>
    <t>W560</t>
  </si>
  <si>
    <t>Covenant Hospital - Levelland</t>
  </si>
  <si>
    <t>1900 College Ave</t>
  </si>
  <si>
    <t>Levelland</t>
  </si>
  <si>
    <t>(806) 894-4963</t>
  </si>
  <si>
    <t>JJFV</t>
  </si>
  <si>
    <t>Allina Health New Ulm Clinic</t>
  </si>
  <si>
    <t>(507) 217-5278</t>
  </si>
  <si>
    <t>DLXN</t>
  </si>
  <si>
    <t>OhioHealth Home Care</t>
  </si>
  <si>
    <t>6805 Perimeter Dr Fl 1</t>
  </si>
  <si>
    <t>Dublin</t>
  </si>
  <si>
    <t>43016-8690</t>
  </si>
  <si>
    <t>(614) 566-0888</t>
  </si>
  <si>
    <t>P793</t>
  </si>
  <si>
    <t>Memorial Hospital Los Banos</t>
  </si>
  <si>
    <t>520 W I St</t>
  </si>
  <si>
    <t>Los Banos</t>
  </si>
  <si>
    <t>93635-3419</t>
  </si>
  <si>
    <t>(209) 826-0591</t>
  </si>
  <si>
    <t>T591</t>
  </si>
  <si>
    <t>Franklin County Memorial Hospital</t>
  </si>
  <si>
    <t>1406 Q St</t>
  </si>
  <si>
    <t>68939-1073</t>
  </si>
  <si>
    <t>(308) 425-6221</t>
  </si>
  <si>
    <t>V648</t>
  </si>
  <si>
    <t>Grady Memorial Hospital</t>
  </si>
  <si>
    <t>2220 W Iowa Ave</t>
  </si>
  <si>
    <t>Chickasha</t>
  </si>
  <si>
    <t>73018-2700</t>
  </si>
  <si>
    <t>(405) 224-2300</t>
  </si>
  <si>
    <t>V633</t>
  </si>
  <si>
    <t>Mercy Hospital El Reno</t>
  </si>
  <si>
    <t>2115 Parkview Dr</t>
  </si>
  <si>
    <t>El Reno</t>
  </si>
  <si>
    <t>73036-2109</t>
  </si>
  <si>
    <t>(405) 262-2640</t>
  </si>
  <si>
    <t>Q791</t>
  </si>
  <si>
    <t>Schneck Medical Center</t>
  </si>
  <si>
    <t>411 W Tipton St</t>
  </si>
  <si>
    <t>Seymour</t>
  </si>
  <si>
    <t>(812) 522-4234</t>
  </si>
  <si>
    <t>S438</t>
  </si>
  <si>
    <t>Signature Healthcare Brockton Hospital</t>
  </si>
  <si>
    <t>680 Centre St</t>
  </si>
  <si>
    <t>Brockton</t>
  </si>
  <si>
    <t>(508) 941-7000</t>
  </si>
  <si>
    <t>Q608</t>
  </si>
  <si>
    <t>Licking Memorial Hospital</t>
  </si>
  <si>
    <t>1320 W Main St</t>
  </si>
  <si>
    <t>Newark</t>
  </si>
  <si>
    <t>43055-3699</t>
  </si>
  <si>
    <t>(740) 348-4000</t>
  </si>
  <si>
    <t>ECHZ</t>
  </si>
  <si>
    <t>Wilson Memorial Hospital</t>
  </si>
  <si>
    <t>33-57 Harrison St</t>
  </si>
  <si>
    <t>13790-2107</t>
  </si>
  <si>
    <t>(607) 763-6000</t>
  </si>
  <si>
    <t>DMPJ</t>
  </si>
  <si>
    <t>111 Colchester Ave</t>
  </si>
  <si>
    <t>(802) 847-0000</t>
  </si>
  <si>
    <t>U177</t>
  </si>
  <si>
    <t>Logan Health Medical Center</t>
  </si>
  <si>
    <t>310 Sunnyview Ln</t>
  </si>
  <si>
    <t>Kalispell</t>
  </si>
  <si>
    <t>59901-3199</t>
  </si>
  <si>
    <t>(406) 752-5111</t>
  </si>
  <si>
    <t>Logan Health</t>
  </si>
  <si>
    <t>XB15</t>
  </si>
  <si>
    <t>Sparrow Ionia Hospital</t>
  </si>
  <si>
    <t>3565 S State Rd</t>
  </si>
  <si>
    <t>Ionia</t>
  </si>
  <si>
    <t>48846-9416</t>
  </si>
  <si>
    <t>(616) 527-4200</t>
  </si>
  <si>
    <t>Sparrow Health System</t>
  </si>
  <si>
    <t>DXVT</t>
  </si>
  <si>
    <t>Allina Health Cambridge Clinic</t>
  </si>
  <si>
    <t>55008-1920</t>
  </si>
  <si>
    <t>DJXM</t>
  </si>
  <si>
    <t>Medical Park at Covington</t>
  </si>
  <si>
    <t>17700 Se 272nd St</t>
  </si>
  <si>
    <t>Kent</t>
  </si>
  <si>
    <t>98042-4951</t>
  </si>
  <si>
    <t>(253) 403-5499</t>
  </si>
  <si>
    <t>Freestanding OP Care/ED Center</t>
  </si>
  <si>
    <t>DLZV</t>
  </si>
  <si>
    <t>MultiCare Physician Network</t>
  </si>
  <si>
    <t>1901 S Union Ave</t>
  </si>
  <si>
    <t>98405-1702</t>
  </si>
  <si>
    <t>(253) 596-5023</t>
  </si>
  <si>
    <t>Mgmt. Service Organization</t>
  </si>
  <si>
    <t>DLZU</t>
  </si>
  <si>
    <t>Baptist Eye Center</t>
  </si>
  <si>
    <t>9800 Lile Dr</t>
  </si>
  <si>
    <t>72205-6229</t>
  </si>
  <si>
    <t>(501) 223-7171</t>
  </si>
  <si>
    <t>Justin Witt</t>
  </si>
  <si>
    <t>justin.witt@vizientinc.com</t>
  </si>
  <si>
    <t>R883</t>
  </si>
  <si>
    <t>West Tennessee Healthcare Camden Hospital</t>
  </si>
  <si>
    <t>175 Hospital Dr</t>
  </si>
  <si>
    <t>38320-1617</t>
  </si>
  <si>
    <t>(731) 584-6135</t>
  </si>
  <si>
    <t>S758</t>
  </si>
  <si>
    <t>Monmouth Medical Center Southern Campus</t>
  </si>
  <si>
    <t>600 River Ave</t>
  </si>
  <si>
    <t>Lakewood</t>
  </si>
  <si>
    <t>(732) 363-1900</t>
  </si>
  <si>
    <t>R369</t>
  </si>
  <si>
    <t>Bassett HC Network-Cobleskill Regional Hospit</t>
  </si>
  <si>
    <t>178 Grandview Dr</t>
  </si>
  <si>
    <t>Cobleskill</t>
  </si>
  <si>
    <t>12043-5144</t>
  </si>
  <si>
    <t>(518) 254-3456</t>
  </si>
  <si>
    <t>R260</t>
  </si>
  <si>
    <t>NYU Langone Orthopedic Hospital</t>
  </si>
  <si>
    <t>301 E 17th St</t>
  </si>
  <si>
    <t>(212) 598-6000</t>
  </si>
  <si>
    <t>DLZS</t>
  </si>
  <si>
    <t>Evergreen Medical Center</t>
  </si>
  <si>
    <t>101 Crestview Ave</t>
  </si>
  <si>
    <t>Evergreen</t>
  </si>
  <si>
    <t>36401-3333</t>
  </si>
  <si>
    <t>(334) 578-2480</t>
  </si>
  <si>
    <t>Gilliard Health Services Inc</t>
  </si>
  <si>
    <t>DLZT</t>
  </si>
  <si>
    <t>Jackson Medical Center</t>
  </si>
  <si>
    <t>220 Hospital Drive</t>
  </si>
  <si>
    <t>(334) 246-9021</t>
  </si>
  <si>
    <t>Q995</t>
  </si>
  <si>
    <t>Baptist Health Medical Center - Heber Spring</t>
  </si>
  <si>
    <t>1800 Bypass Rd</t>
  </si>
  <si>
    <t>Heber Springs</t>
  </si>
  <si>
    <t>(501) 887-3000</t>
  </si>
  <si>
    <t>S072</t>
  </si>
  <si>
    <t>Endeavor Health - Swedish Hospital</t>
  </si>
  <si>
    <t>5145 N California Ave</t>
  </si>
  <si>
    <t>60625-3687</t>
  </si>
  <si>
    <t>(773) 878-8200</t>
  </si>
  <si>
    <t>U179</t>
  </si>
  <si>
    <t>St Peters Health</t>
  </si>
  <si>
    <t>2475 E Broadway St</t>
  </si>
  <si>
    <t>Helena</t>
  </si>
  <si>
    <t>59601-4999</t>
  </si>
  <si>
    <t>(406) 444-2100</t>
  </si>
  <si>
    <t>R192</t>
  </si>
  <si>
    <t>Chenango Memorial Hospital Inc</t>
  </si>
  <si>
    <t>179 N Broad St</t>
  </si>
  <si>
    <t>Norwich</t>
  </si>
  <si>
    <t>13815-1097</t>
  </si>
  <si>
    <t>(607) 337-4111</t>
  </si>
  <si>
    <t>DLZX</t>
  </si>
  <si>
    <t>V305</t>
  </si>
  <si>
    <t>Mayo Clinic Health System in Barron</t>
  </si>
  <si>
    <t>1222 E Woodland Ave</t>
  </si>
  <si>
    <t>Barron</t>
  </si>
  <si>
    <t>(715) 537-3186</t>
  </si>
  <si>
    <t>U206</t>
  </si>
  <si>
    <t>Bozeman Health Deaconess Hospital</t>
  </si>
  <si>
    <t>915 Highland Blvd</t>
  </si>
  <si>
    <t>Bozeman</t>
  </si>
  <si>
    <t>59715-6999</t>
  </si>
  <si>
    <t>(406) 585-5000</t>
  </si>
  <si>
    <t>Bozeman Health</t>
  </si>
  <si>
    <t>S220</t>
  </si>
  <si>
    <t>Catholic Medical Center</t>
  </si>
  <si>
    <t>100 Mcgregor St</t>
  </si>
  <si>
    <t>(603) 668-3545</t>
  </si>
  <si>
    <t>JJGM</t>
  </si>
  <si>
    <t>809 Jackson St</t>
  </si>
  <si>
    <t>Burke</t>
  </si>
  <si>
    <t>57523-2065</t>
  </si>
  <si>
    <t>(605) 775-2621</t>
  </si>
  <si>
    <t>JJGR</t>
  </si>
  <si>
    <t>Ely-Bloomenson Community Hospital</t>
  </si>
  <si>
    <t>328 West Conan Street</t>
  </si>
  <si>
    <t>Ely</t>
  </si>
  <si>
    <t>JJGS</t>
  </si>
  <si>
    <t>Mayo Clinic Health System in Fairmont</t>
  </si>
  <si>
    <t>800 Medical Center Dr</t>
  </si>
  <si>
    <t>Fairmont</t>
  </si>
  <si>
    <t>56031-4575</t>
  </si>
  <si>
    <t>(507) 238-8100</t>
  </si>
  <si>
    <t>V267</t>
  </si>
  <si>
    <t>Hudson Hospital &amp; Clinics</t>
  </si>
  <si>
    <t>405 Stageline St</t>
  </si>
  <si>
    <t>Hudson</t>
  </si>
  <si>
    <t>(715) 531-6000</t>
  </si>
  <si>
    <t>U550</t>
  </si>
  <si>
    <t>Sanford Medical Center Luverne</t>
  </si>
  <si>
    <t>1600 N Kniss Ave</t>
  </si>
  <si>
    <t>56156-1067</t>
  </si>
  <si>
    <t>(507) 283-2321</t>
  </si>
  <si>
    <t>JJHD</t>
  </si>
  <si>
    <t>Essentia Health-Duluth (Miller Dwan Bldg D)</t>
  </si>
  <si>
    <t>502 E 2nd St</t>
  </si>
  <si>
    <t>55805-1913</t>
  </si>
  <si>
    <t>(218) 727-8762</t>
  </si>
  <si>
    <t>U471</t>
  </si>
  <si>
    <t>Sanford Thief River Falls Behavioral Health Hospital</t>
  </si>
  <si>
    <t>120 Labree Ave S</t>
  </si>
  <si>
    <t>Thief River Falls</t>
  </si>
  <si>
    <t>56701-2840</t>
  </si>
  <si>
    <t>(218) 683-4240</t>
  </si>
  <si>
    <t>Sanford Thief River Falls Medical Center</t>
  </si>
  <si>
    <t>JBFD</t>
  </si>
  <si>
    <t>FKC 101329 Little Falls</t>
  </si>
  <si>
    <t>808 3rd St Se Ste 160</t>
  </si>
  <si>
    <t>Little Falls</t>
  </si>
  <si>
    <t>56345-3557</t>
  </si>
  <si>
    <t>(320) 200-3213</t>
  </si>
  <si>
    <t>JJHR</t>
  </si>
  <si>
    <t>Essentia Health St Marys Detroit Lakes</t>
  </si>
  <si>
    <t>1027 Washington Ave</t>
  </si>
  <si>
    <t>Detroit Lakes</t>
  </si>
  <si>
    <t>56501-3409</t>
  </si>
  <si>
    <t>(218) 847-5611</t>
  </si>
  <si>
    <t>JJHS</t>
  </si>
  <si>
    <t>CentraCare Sauk Centre Hospital</t>
  </si>
  <si>
    <t>425 Elm St N</t>
  </si>
  <si>
    <t>Sauk Centre</t>
  </si>
  <si>
    <t>56378-1010</t>
  </si>
  <si>
    <t>(320) 352-2221</t>
  </si>
  <si>
    <t>S165</t>
  </si>
  <si>
    <t>Fanny Allen Hospital Campus</t>
  </si>
  <si>
    <t>101 College Parkway</t>
  </si>
  <si>
    <t>Colchester</t>
  </si>
  <si>
    <t>(802) 655-1234</t>
  </si>
  <si>
    <t>Urgent Care Center</t>
  </si>
  <si>
    <t>T443</t>
  </si>
  <si>
    <t>Winner Regional Healthcare Center</t>
  </si>
  <si>
    <t>745 E 8th St</t>
  </si>
  <si>
    <t>Winner</t>
  </si>
  <si>
    <t>57580-2631</t>
  </si>
  <si>
    <t>(605) 842-7100</t>
  </si>
  <si>
    <t>Q922</t>
  </si>
  <si>
    <t>Lehigh Valley Hospital - Muhlenberg</t>
  </si>
  <si>
    <t>2545 Schoenersville Rd</t>
  </si>
  <si>
    <t>Bethlehem</t>
  </si>
  <si>
    <t>18017-7300</t>
  </si>
  <si>
    <t>(610) 861-2200</t>
  </si>
  <si>
    <t>P253</t>
  </si>
  <si>
    <t>Sanford Medical Center Chamberlain</t>
  </si>
  <si>
    <t>300 S Byron Blvd</t>
  </si>
  <si>
    <t>Chamberlain</t>
  </si>
  <si>
    <t>57325-9741</t>
  </si>
  <si>
    <t>(605) 734-5511</t>
  </si>
  <si>
    <t>U577</t>
  </si>
  <si>
    <t>Essentia Health Fosston (First Care)</t>
  </si>
  <si>
    <t>900 Hilligoss Blvd Se</t>
  </si>
  <si>
    <t>Fosston</t>
  </si>
  <si>
    <t>56542-1542</t>
  </si>
  <si>
    <t>(218) 435-1133</t>
  </si>
  <si>
    <t>V715</t>
  </si>
  <si>
    <t>Labette Health</t>
  </si>
  <si>
    <t>1902 S Us Hwy 59</t>
  </si>
  <si>
    <t>Parsons</t>
  </si>
  <si>
    <t>67357-4948</t>
  </si>
  <si>
    <t>(620) 421-4880</t>
  </si>
  <si>
    <t>V644</t>
  </si>
  <si>
    <t>Integris Clinton Regional Hospital</t>
  </si>
  <si>
    <t>100 N 30th St</t>
  </si>
  <si>
    <t>73601-3117</t>
  </si>
  <si>
    <t>(580) 323-2363</t>
  </si>
  <si>
    <t>DMBU</t>
  </si>
  <si>
    <t>Good Shepherd - Bethlehem</t>
  </si>
  <si>
    <t>2855 Schoenersville Rd</t>
  </si>
  <si>
    <t>18017-7384</t>
  </si>
  <si>
    <t>(610) 807-5600</t>
  </si>
  <si>
    <t>Good Shepherd Rehabilitation Network</t>
  </si>
  <si>
    <t>Assisted Living</t>
  </si>
  <si>
    <t>V275</t>
  </si>
  <si>
    <t>Bellin Memorial Hospital Inc</t>
  </si>
  <si>
    <t>744 S Webster Ave</t>
  </si>
  <si>
    <t>Green Bay</t>
  </si>
  <si>
    <t>(920) 433-3500</t>
  </si>
  <si>
    <t>S454</t>
  </si>
  <si>
    <t>Spaulding Rehabilitation Hospital - Boston</t>
  </si>
  <si>
    <t>300 1st Ave</t>
  </si>
  <si>
    <t>Charlestown</t>
  </si>
  <si>
    <t>(617) 720-6400</t>
  </si>
  <si>
    <t>T384</t>
  </si>
  <si>
    <t>511 Ne 10th St</t>
  </si>
  <si>
    <t>Abilene</t>
  </si>
  <si>
    <t>67410-2153</t>
  </si>
  <si>
    <t>(785) 263-2100</t>
  </si>
  <si>
    <t>V707</t>
  </si>
  <si>
    <t>Russell Regional Hospital</t>
  </si>
  <si>
    <t>200 S Main St</t>
  </si>
  <si>
    <t>Russell</t>
  </si>
  <si>
    <t>67665-2920</t>
  </si>
  <si>
    <t>(785) 483-3131</t>
  </si>
  <si>
    <t>U223</t>
  </si>
  <si>
    <t>Minidoka Memorial Hospital</t>
  </si>
  <si>
    <t>1224 8th St</t>
  </si>
  <si>
    <t>Rupert</t>
  </si>
  <si>
    <t>83350-1599</t>
  </si>
  <si>
    <t>(208) 436-0481</t>
  </si>
  <si>
    <t>U264</t>
  </si>
  <si>
    <t>Power County Hospital District</t>
  </si>
  <si>
    <t>510 Roosevelt St</t>
  </si>
  <si>
    <t>American Falls</t>
  </si>
  <si>
    <t>83211-1362</t>
  </si>
  <si>
    <t>(208) 226-3200</t>
  </si>
  <si>
    <t>U225</t>
  </si>
  <si>
    <t>Franklin County Medical Center</t>
  </si>
  <si>
    <t>44 N 1st E</t>
  </si>
  <si>
    <t>Preston</t>
  </si>
  <si>
    <t>83263-1326</t>
  </si>
  <si>
    <t>(208) 852-0137</t>
  </si>
  <si>
    <t>S172</t>
  </si>
  <si>
    <t>Springfield Hospital</t>
  </si>
  <si>
    <t>25 Ridgewood Rd</t>
  </si>
  <si>
    <t>(802) 885-2151</t>
  </si>
  <si>
    <t>JJIE</t>
  </si>
  <si>
    <t>Northwestern Medicine Palos Community Hospital</t>
  </si>
  <si>
    <t>12251 S 80th Ave</t>
  </si>
  <si>
    <t>Palos Heights</t>
  </si>
  <si>
    <t>60463-1256</t>
  </si>
  <si>
    <t>(708) 923-4180</t>
  </si>
  <si>
    <t>DKHJ</t>
  </si>
  <si>
    <t>Crozer-Keystone Services</t>
  </si>
  <si>
    <t>Micah Schlick</t>
  </si>
  <si>
    <t>micah.schlick@vizientinc.com</t>
  </si>
  <si>
    <t>P473</t>
  </si>
  <si>
    <t>Havasu Regional Medical Center</t>
  </si>
  <si>
    <t>101 Civic Center Ln</t>
  </si>
  <si>
    <t>Lake Havasu City</t>
  </si>
  <si>
    <t>86403-5607</t>
  </si>
  <si>
    <t>(928) 855-8185</t>
  </si>
  <si>
    <t>JJIJ</t>
  </si>
  <si>
    <t>VCU Health Community Memorial Hospital</t>
  </si>
  <si>
    <t>1755 N Mecklenburg Ave</t>
  </si>
  <si>
    <t>PO Box 90</t>
  </si>
  <si>
    <t>South Hill</t>
  </si>
  <si>
    <t>23970-4080</t>
  </si>
  <si>
    <t>(434) 447-3151</t>
  </si>
  <si>
    <t>HCHO</t>
  </si>
  <si>
    <t>J Arthur Dosher Memorial Hospital</t>
  </si>
  <si>
    <t>924 N Howe St</t>
  </si>
  <si>
    <t>Southport</t>
  </si>
  <si>
    <t>(910) 457-3800</t>
  </si>
  <si>
    <t>Coastal Carolinas Health Alliance</t>
  </si>
  <si>
    <t>HEXO</t>
  </si>
  <si>
    <t>Northwestern Medicine McHenry Hospital</t>
  </si>
  <si>
    <t>4201 Medical Center Dr</t>
  </si>
  <si>
    <t>Dba Centegra Hospital Mchenry</t>
  </si>
  <si>
    <t>Mchenry</t>
  </si>
  <si>
    <t>(815) 344-5000</t>
  </si>
  <si>
    <t>S766</t>
  </si>
  <si>
    <t>Bayshore Medical Center</t>
  </si>
  <si>
    <t>727 N Beers St</t>
  </si>
  <si>
    <t>Holmdel</t>
  </si>
  <si>
    <t>(732) 739-5900</t>
  </si>
  <si>
    <t>V995</t>
  </si>
  <si>
    <t>ECU Health Medical Center</t>
  </si>
  <si>
    <t>2100 Stantonsburg Rd</t>
  </si>
  <si>
    <t>27834-2832</t>
  </si>
  <si>
    <t>(252) 847-4451</t>
  </si>
  <si>
    <t>U244</t>
  </si>
  <si>
    <t>North Canyon Medical Center</t>
  </si>
  <si>
    <t>267 N Canyon Dr</t>
  </si>
  <si>
    <t>Gooding</t>
  </si>
  <si>
    <t>83330-1858</t>
  </si>
  <si>
    <t>(208) 934-4433</t>
  </si>
  <si>
    <t>R918</t>
  </si>
  <si>
    <t>HSHS Good Shepherd Hospital</t>
  </si>
  <si>
    <t>200 S Cedar St</t>
  </si>
  <si>
    <t>62565-1838</t>
  </si>
  <si>
    <t>(217) 774-3961</t>
  </si>
  <si>
    <t>U243</t>
  </si>
  <si>
    <t>Syringa Hospital &amp; Clinics</t>
  </si>
  <si>
    <t>607 W Main St</t>
  </si>
  <si>
    <t>Grangeville</t>
  </si>
  <si>
    <t>83530-1396</t>
  </si>
  <si>
    <t>(208) 983-1700</t>
  </si>
  <si>
    <t>DMQF</t>
  </si>
  <si>
    <t>Conway Regional Physician Hospital Organization</t>
  </si>
  <si>
    <t>930 Wingate St Ste A2</t>
  </si>
  <si>
    <t>72034-4837</t>
  </si>
  <si>
    <t>(501) 327-6179</t>
  </si>
  <si>
    <t>Mahmood Umer</t>
  </si>
  <si>
    <t>mahmood.umer@provista.com</t>
  </si>
  <si>
    <t>DMQG</t>
  </si>
  <si>
    <t>Kent Medical Center</t>
  </si>
  <si>
    <t>222 State Ave N</t>
  </si>
  <si>
    <t>98030-4598</t>
  </si>
  <si>
    <t>(253) 859-6680</t>
  </si>
  <si>
    <t>DMQI</t>
  </si>
  <si>
    <t>Salem Health Services Laundry</t>
  </si>
  <si>
    <t>195 Park Plaza Dr</t>
  </si>
  <si>
    <t>27105-2650</t>
  </si>
  <si>
    <t>(336) 661-0011</t>
  </si>
  <si>
    <t>Laundry</t>
  </si>
  <si>
    <t>DKUD</t>
  </si>
  <si>
    <t>1441 N 12th St</t>
  </si>
  <si>
    <t>85006-2837</t>
  </si>
  <si>
    <t>(602) 747-4000</t>
  </si>
  <si>
    <t>H265</t>
  </si>
  <si>
    <t>St Paul Radiology Outpatient Imaging</t>
  </si>
  <si>
    <t>250 Thompson St</t>
  </si>
  <si>
    <t>Midwest Radiology Outpatient Imaging Llc</t>
  </si>
  <si>
    <t>(651) 292-2012</t>
  </si>
  <si>
    <t>Midwest Radiology PA</t>
  </si>
  <si>
    <t>Jessica Dunaway</t>
  </si>
  <si>
    <t>jessica.dunaway@provista.com</t>
  </si>
  <si>
    <t>DMWF</t>
  </si>
  <si>
    <t>Childrens Physicians Village Point</t>
  </si>
  <si>
    <t>110 N 175th St</t>
  </si>
  <si>
    <t>Childrens Urgent Care Village Point</t>
  </si>
  <si>
    <t>(402) 955-5437</t>
  </si>
  <si>
    <t>Childrens Physicians</t>
  </si>
  <si>
    <t>DMWG</t>
  </si>
  <si>
    <t>Childrens Physicians Embassy Park</t>
  </si>
  <si>
    <t>9202 W Dodge Rd Ste 101</t>
  </si>
  <si>
    <t>DMWH</t>
  </si>
  <si>
    <t>Childrens Physicians Eagle Run</t>
  </si>
  <si>
    <t>13808 W Maple Rd Ste 100</t>
  </si>
  <si>
    <t>(402) 955-3000</t>
  </si>
  <si>
    <t>S473</t>
  </si>
  <si>
    <t>The McLean Hospital Corporation</t>
  </si>
  <si>
    <t>115 Mill St</t>
  </si>
  <si>
    <t>Belmont</t>
  </si>
  <si>
    <t>(617) 855-2000</t>
  </si>
  <si>
    <t>R807</t>
  </si>
  <si>
    <t>Peninsula Hospital</t>
  </si>
  <si>
    <t>2347 Jones Bend Rd</t>
  </si>
  <si>
    <t>Louisville</t>
  </si>
  <si>
    <t>37777-5233</t>
  </si>
  <si>
    <t>(865) 970-9800</t>
  </si>
  <si>
    <t>T625</t>
  </si>
  <si>
    <t>Wright Memorial Hospital</t>
  </si>
  <si>
    <t>191 Iowa St</t>
  </si>
  <si>
    <t>Trenton</t>
  </si>
  <si>
    <t>(660) 359-5621</t>
  </si>
  <si>
    <t>DMVY</t>
  </si>
  <si>
    <t>Glendora Hospital</t>
  </si>
  <si>
    <t>150 W Route 66</t>
  </si>
  <si>
    <t>Glendora</t>
  </si>
  <si>
    <t>91740-6207</t>
  </si>
  <si>
    <t>(626) 852-5000</t>
  </si>
  <si>
    <t>College Medical Center</t>
  </si>
  <si>
    <t>P045</t>
  </si>
  <si>
    <t>University of Cincinnati Medical Center</t>
  </si>
  <si>
    <t>3188 Bellevue Ave</t>
  </si>
  <si>
    <t>(513) 584-1000</t>
  </si>
  <si>
    <t>UC Health LLC</t>
  </si>
  <si>
    <t>T367</t>
  </si>
  <si>
    <t>Clay County Medical Center</t>
  </si>
  <si>
    <t>617 Liberty St</t>
  </si>
  <si>
    <t>Clay Center</t>
  </si>
  <si>
    <t>67432-1564</t>
  </si>
  <si>
    <t>(785) 632-2144</t>
  </si>
  <si>
    <t>H422</t>
  </si>
  <si>
    <t>Methodist Health Group</t>
  </si>
  <si>
    <t>1701 N Senate Blvd</t>
  </si>
  <si>
    <t>(317) 929-5900</t>
  </si>
  <si>
    <t>DMWJ</t>
  </si>
  <si>
    <t>Indiana University Health Methodist Hospital</t>
  </si>
  <si>
    <t>46202-1239</t>
  </si>
  <si>
    <t>(317) 962-2000</t>
  </si>
  <si>
    <t>DMWA</t>
  </si>
  <si>
    <t>IU Health Rehabilitation Hospital of Indiana</t>
  </si>
  <si>
    <t>4141 Shore Dr</t>
  </si>
  <si>
    <t>46254-2607</t>
  </si>
  <si>
    <t>(317) 329-2034</t>
  </si>
  <si>
    <t>P467</t>
  </si>
  <si>
    <t>Banner Thunderbird Medical Center</t>
  </si>
  <si>
    <t>5555 W Thunderbird Rd</t>
  </si>
  <si>
    <t>Glendale</t>
  </si>
  <si>
    <t>85306-4622</t>
  </si>
  <si>
    <t>(602) 865-5555</t>
  </si>
  <si>
    <t>P508</t>
  </si>
  <si>
    <t>Banner Behavioral Health Hospital-Scottsdale</t>
  </si>
  <si>
    <t>7575 E Earll Dr</t>
  </si>
  <si>
    <t>85251-6915</t>
  </si>
  <si>
    <t>(480) 941-7500</t>
  </si>
  <si>
    <t>P481</t>
  </si>
  <si>
    <t>Banner Page Hospital</t>
  </si>
  <si>
    <t>501 N Navajo Dr</t>
  </si>
  <si>
    <t>Page</t>
  </si>
  <si>
    <t>(928) 645-2424</t>
  </si>
  <si>
    <t>P514</t>
  </si>
  <si>
    <t>White Mountain Regional Medical Center</t>
  </si>
  <si>
    <t>118 S Mountain Ave</t>
  </si>
  <si>
    <t>Springerville</t>
  </si>
  <si>
    <t>85938-5104</t>
  </si>
  <si>
    <t>(928) 333-4368</t>
  </si>
  <si>
    <t>JJIV</t>
  </si>
  <si>
    <t>Multicare Good Samaritan Hospital</t>
  </si>
  <si>
    <t>401 15th Ave Se</t>
  </si>
  <si>
    <t>Puyallup</t>
  </si>
  <si>
    <t>98372-3715</t>
  </si>
  <si>
    <t>(253) 697-4000</t>
  </si>
  <si>
    <t>W545</t>
  </si>
  <si>
    <t>Mayo Clinic Florida</t>
  </si>
  <si>
    <t>4500 San Pablo Rd S</t>
  </si>
  <si>
    <t>32224-1865</t>
  </si>
  <si>
    <t>(904) 953-2000</t>
  </si>
  <si>
    <t>Mayo Clinic Jacksonville Hospital Corp</t>
  </si>
  <si>
    <t>DXVW</t>
  </si>
  <si>
    <t>Allina Health Coon Rapids Clinic</t>
  </si>
  <si>
    <t>9055 Springbrook Dr Nw</t>
  </si>
  <si>
    <t>Coon Rapids</t>
  </si>
  <si>
    <t>55433-5841</t>
  </si>
  <si>
    <t>(763) 780-9155</t>
  </si>
  <si>
    <t>DPQA</t>
  </si>
  <si>
    <t>(203) 739-7066</t>
  </si>
  <si>
    <t>Q924</t>
  </si>
  <si>
    <t>Heritage Valley Beaver</t>
  </si>
  <si>
    <t>1000 Dutch Ridge Rd</t>
  </si>
  <si>
    <t>Beaver</t>
  </si>
  <si>
    <t>(724) 728-7000</t>
  </si>
  <si>
    <t>Q064</t>
  </si>
  <si>
    <t>UNMH - Lomas Campus</t>
  </si>
  <si>
    <t>2211 Lomas Blvd Ne</t>
  </si>
  <si>
    <t>Albuquerque</t>
  </si>
  <si>
    <t>NM</t>
  </si>
  <si>
    <t>(505) 272-2111</t>
  </si>
  <si>
    <t>UNM Health System</t>
  </si>
  <si>
    <t>R962</t>
  </si>
  <si>
    <t>St Joseph Memorial Hospital</t>
  </si>
  <si>
    <t>2 S Hospital Dr</t>
  </si>
  <si>
    <t>Murphysboro</t>
  </si>
  <si>
    <t>62966-3333</t>
  </si>
  <si>
    <t>(618) 684-3156</t>
  </si>
  <si>
    <t>R948</t>
  </si>
  <si>
    <t>Pana Community Hospital</t>
  </si>
  <si>
    <t>101 E 9th St</t>
  </si>
  <si>
    <t>Pana</t>
  </si>
  <si>
    <t>62557-1716</t>
  </si>
  <si>
    <t>(217) 562-2131</t>
  </si>
  <si>
    <t>T187</t>
  </si>
  <si>
    <t>Jackson General Hospital</t>
  </si>
  <si>
    <t>122 Pinnell St</t>
  </si>
  <si>
    <t>Ripley</t>
  </si>
  <si>
    <t>(304) 372-2731</t>
  </si>
  <si>
    <t>R886</t>
  </si>
  <si>
    <t>West Tennessee Healthcare Bolivar Hospital</t>
  </si>
  <si>
    <t>650 Nuckolls Rd</t>
  </si>
  <si>
    <t>Bolivar</t>
  </si>
  <si>
    <t>38008-1532</t>
  </si>
  <si>
    <t>(901) 658-3100</t>
  </si>
  <si>
    <t>T671</t>
  </si>
  <si>
    <t>Missouri Delta Medical Center</t>
  </si>
  <si>
    <t>1008 N Main St</t>
  </si>
  <si>
    <t>Sikeston</t>
  </si>
  <si>
    <t>63801-5044</t>
  </si>
  <si>
    <t>(573) 471-1600</t>
  </si>
  <si>
    <t>DPQB</t>
  </si>
  <si>
    <t>Practice Plus</t>
  </si>
  <si>
    <t>11001 Executive Center Dr Ste 200</t>
  </si>
  <si>
    <t>72211-4393</t>
  </si>
  <si>
    <t>(501) 812-7587</t>
  </si>
  <si>
    <t>DPQD</t>
  </si>
  <si>
    <t>Baptist Ventures Inc</t>
  </si>
  <si>
    <t>2055 E South Blvd Ste 107</t>
  </si>
  <si>
    <t>36116-2002</t>
  </si>
  <si>
    <t>(334) 286-3200</t>
  </si>
  <si>
    <t>DPQE</t>
  </si>
  <si>
    <t>Baptist Tower Pharmacy</t>
  </si>
  <si>
    <t>2055 E S Blvd Suite 107</t>
  </si>
  <si>
    <t>DPQI</t>
  </si>
  <si>
    <t>Methodist Phys Clinic- Regency</t>
  </si>
  <si>
    <t>10060 Regency Cir</t>
  </si>
  <si>
    <t>68114-3770</t>
  </si>
  <si>
    <t>(402) 354-1300</t>
  </si>
  <si>
    <t>DPQN</t>
  </si>
  <si>
    <t>Methodist Phys Clinic- Millard</t>
  </si>
  <si>
    <t>5908 S 142nd St</t>
  </si>
  <si>
    <t>68137-2800</t>
  </si>
  <si>
    <t>(402) 354-1900</t>
  </si>
  <si>
    <t>DPQP</t>
  </si>
  <si>
    <t>Methodist Phys Clinic- Northwest</t>
  </si>
  <si>
    <t>10710 Fort St</t>
  </si>
  <si>
    <t>(402) 354-7500</t>
  </si>
  <si>
    <t>DPQR</t>
  </si>
  <si>
    <t>Methodist Phys Clinic- Glenwood</t>
  </si>
  <si>
    <t>320 Ebaugh St</t>
  </si>
  <si>
    <t>Glenwood</t>
  </si>
  <si>
    <t>(712) 527-5204</t>
  </si>
  <si>
    <t>DPRA</t>
  </si>
  <si>
    <t>Presbyterian Manors of Mid-America</t>
  </si>
  <si>
    <t>2414 N Woodlawn Blvd</t>
  </si>
  <si>
    <t>Wichita</t>
  </si>
  <si>
    <t>67220-3958</t>
  </si>
  <si>
    <t>(316) 685-1100</t>
  </si>
  <si>
    <t>Erin Graber</t>
  </si>
  <si>
    <t>erin.graber@provista.com</t>
  </si>
  <si>
    <t>DPRB</t>
  </si>
  <si>
    <t>Arkansas City Presbyterian Manor</t>
  </si>
  <si>
    <t>1711 N 4th St</t>
  </si>
  <si>
    <t>Arkansas City</t>
  </si>
  <si>
    <t>67005-1607</t>
  </si>
  <si>
    <t>(620) 442-8700</t>
  </si>
  <si>
    <t>DPRC</t>
  </si>
  <si>
    <t>Clay Center Presbyterian Manor</t>
  </si>
  <si>
    <t>924 8th St</t>
  </si>
  <si>
    <t>67432-2620</t>
  </si>
  <si>
    <t>(785) 632-5647</t>
  </si>
  <si>
    <t>DPRD</t>
  </si>
  <si>
    <t>Emporia Presbyterian Manor</t>
  </si>
  <si>
    <t>2300 Industrial Rd</t>
  </si>
  <si>
    <t>Emporia</t>
  </si>
  <si>
    <t>66801-6636</t>
  </si>
  <si>
    <t>(620) 343-2613</t>
  </si>
  <si>
    <t>DPRF</t>
  </si>
  <si>
    <t>Fort Scott Presbyterian Village</t>
  </si>
  <si>
    <t>2401 Horton St</t>
  </si>
  <si>
    <t>Fort Scott</t>
  </si>
  <si>
    <t>66701-3178</t>
  </si>
  <si>
    <t>(620) 223-5550</t>
  </si>
  <si>
    <t>DPRE</t>
  </si>
  <si>
    <t>Farmington Presbyterian Manor</t>
  </si>
  <si>
    <t>500 Cayce St</t>
  </si>
  <si>
    <t>63640-2910</t>
  </si>
  <si>
    <t>(573) 756-6768</t>
  </si>
  <si>
    <t>DPRI</t>
  </si>
  <si>
    <t>Kansas City Presbyterian Manor</t>
  </si>
  <si>
    <t>7850 Freeman Ave</t>
  </si>
  <si>
    <t>66112-2133</t>
  </si>
  <si>
    <t>(913) 334-3666</t>
  </si>
  <si>
    <t>DPRJ</t>
  </si>
  <si>
    <t>Lawrence Presbyterian Manor</t>
  </si>
  <si>
    <t>1429 Kasold Dr</t>
  </si>
  <si>
    <t>66049-3425</t>
  </si>
  <si>
    <t>(785) 841-4262</t>
  </si>
  <si>
    <t>DPRK</t>
  </si>
  <si>
    <t>Manor of the Plains</t>
  </si>
  <si>
    <t>200 Campus Dr</t>
  </si>
  <si>
    <t>Dodge City</t>
  </si>
  <si>
    <t>67801-2760</t>
  </si>
  <si>
    <t>(620) 225-1928</t>
  </si>
  <si>
    <t>DPRL</t>
  </si>
  <si>
    <t>Newton Presbyterian Manor</t>
  </si>
  <si>
    <t>1200 E 7th St</t>
  </si>
  <si>
    <t>67114-2820</t>
  </si>
  <si>
    <t>(316) 283-5400</t>
  </si>
  <si>
    <t>DPRM</t>
  </si>
  <si>
    <t>Parsons Presbyterian Manor</t>
  </si>
  <si>
    <t>3501 Dirr Ave</t>
  </si>
  <si>
    <t>67357-2220</t>
  </si>
  <si>
    <t>(620) 421-1450</t>
  </si>
  <si>
    <t>DPRN</t>
  </si>
  <si>
    <t>Rolla Presbyterian Manor</t>
  </si>
  <si>
    <t>1200 Homelife Plz</t>
  </si>
  <si>
    <t>Rolla</t>
  </si>
  <si>
    <t>65401-2596</t>
  </si>
  <si>
    <t>(573) 364-7336</t>
  </si>
  <si>
    <t>DPRO</t>
  </si>
  <si>
    <t>Salina Presbyterian Manor</t>
  </si>
  <si>
    <t>2601 E Crawford St</t>
  </si>
  <si>
    <t>Salina</t>
  </si>
  <si>
    <t>67401-3791</t>
  </si>
  <si>
    <t>(785) 825-1366</t>
  </si>
  <si>
    <t>DPRP</t>
  </si>
  <si>
    <t>Sterling Village</t>
  </si>
  <si>
    <t>204 W Washington Ave</t>
  </si>
  <si>
    <t>Sterling</t>
  </si>
  <si>
    <t>67579-1614</t>
  </si>
  <si>
    <t>(620) 278-3651</t>
  </si>
  <si>
    <t>Grace Team</t>
  </si>
  <si>
    <t>DPRQ</t>
  </si>
  <si>
    <t>Topeka Presbyterian Manor</t>
  </si>
  <si>
    <t>4712 Sw 6th Ave</t>
  </si>
  <si>
    <t>66606-2272</t>
  </si>
  <si>
    <t>(785) 272-6510</t>
  </si>
  <si>
    <t>DPRR</t>
  </si>
  <si>
    <t>Wichita Presbyterian Manor</t>
  </si>
  <si>
    <t>4700 W 13th St N</t>
  </si>
  <si>
    <t>67212-5575</t>
  </si>
  <si>
    <t>(316) 942-7456</t>
  </si>
  <si>
    <t>DPRT</t>
  </si>
  <si>
    <t>Bridgeport Community Health Center</t>
  </si>
  <si>
    <t>471 Barnum Ave</t>
  </si>
  <si>
    <t>(203) 333-6864</t>
  </si>
  <si>
    <t>Optimus Healthcare</t>
  </si>
  <si>
    <t>Frankie Lopez</t>
  </si>
  <si>
    <t>frankie.lopez@provista.com</t>
  </si>
  <si>
    <t>CHCollective</t>
  </si>
  <si>
    <t>HFNW</t>
  </si>
  <si>
    <t>111 Michigan Ave Nw</t>
  </si>
  <si>
    <t>20010-2916</t>
  </si>
  <si>
    <t>(202) 476-5000</t>
  </si>
  <si>
    <t>JJIZ</t>
  </si>
  <si>
    <t>UM Baltimore Washington Medical Center</t>
  </si>
  <si>
    <t>301 Hospital Dr</t>
  </si>
  <si>
    <t>Glen Burnie</t>
  </si>
  <si>
    <t>(410) 787-4000</t>
  </si>
  <si>
    <t>University of Maryland Medical Center</t>
  </si>
  <si>
    <t>JJJH</t>
  </si>
  <si>
    <t>Presence Saint Joseph Hospital</t>
  </si>
  <si>
    <t>2900 N Lake Shore Dr</t>
  </si>
  <si>
    <t>60657-5640</t>
  </si>
  <si>
    <t>Resurrection Health Care Corporation</t>
  </si>
  <si>
    <t>HFNU</t>
  </si>
  <si>
    <t>Anne Arundel Medical Center</t>
  </si>
  <si>
    <t>2001 Medical Pkwy</t>
  </si>
  <si>
    <t>Annapolis</t>
  </si>
  <si>
    <t>(443) 481-1000</t>
  </si>
  <si>
    <t>Luminis Health</t>
  </si>
  <si>
    <t>Joy Money</t>
  </si>
  <si>
    <t>jmoney@mhaprime.org</t>
  </si>
  <si>
    <t>JJJJ</t>
  </si>
  <si>
    <t>Northeastern Health System - Sequoyah</t>
  </si>
  <si>
    <t>213 E Redwood Ave</t>
  </si>
  <si>
    <t>Sallisaw</t>
  </si>
  <si>
    <t>74955-2811</t>
  </si>
  <si>
    <t>DPWC</t>
  </si>
  <si>
    <t>North Shore University Hospital</t>
  </si>
  <si>
    <t>300 Community Dr</t>
  </si>
  <si>
    <t>Manhasset</t>
  </si>
  <si>
    <t>(516) 562-0100</t>
  </si>
  <si>
    <t>Northwell Health</t>
  </si>
  <si>
    <t>R346</t>
  </si>
  <si>
    <t>Glen Cove Hospital</t>
  </si>
  <si>
    <t>St Andrews Ln</t>
  </si>
  <si>
    <t>Glen Cove</t>
  </si>
  <si>
    <t>(516) 674-7300</t>
  </si>
  <si>
    <t>R175</t>
  </si>
  <si>
    <t>Plainview Hospital</t>
  </si>
  <si>
    <t>888 Old Country Rd</t>
  </si>
  <si>
    <t>(516) 719-3000</t>
  </si>
  <si>
    <t>R329</t>
  </si>
  <si>
    <t>Huntington Hospital</t>
  </si>
  <si>
    <t>270 Park Ave</t>
  </si>
  <si>
    <t>Huntington</t>
  </si>
  <si>
    <t>(631) 351-2000</t>
  </si>
  <si>
    <t>R104</t>
  </si>
  <si>
    <t>Long Island Jewish Valley Stream</t>
  </si>
  <si>
    <t>900 Franklin Ave</t>
  </si>
  <si>
    <t>Valley Stream</t>
  </si>
  <si>
    <t>(516) 256-6000</t>
  </si>
  <si>
    <t>R722</t>
  </si>
  <si>
    <t>DLP Conemaugh Meyersdale Medical Center LLC</t>
  </si>
  <si>
    <t>Meyersdale</t>
  </si>
  <si>
    <t>15552-1249</t>
  </si>
  <si>
    <t>(814) 634-5911</t>
  </si>
  <si>
    <t>JJJX</t>
  </si>
  <si>
    <t>Jackson Health System</t>
  </si>
  <si>
    <t>1611 Nw 12th Ave</t>
  </si>
  <si>
    <t>(305) 585-1111</t>
  </si>
  <si>
    <t>JJJY</t>
  </si>
  <si>
    <t>ThedaCare Medical Center-Berlin</t>
  </si>
  <si>
    <t>225 Memorial Dr</t>
  </si>
  <si>
    <t>54923-1243</t>
  </si>
  <si>
    <t>(920) 361-1313</t>
  </si>
  <si>
    <t>DQAE</t>
  </si>
  <si>
    <t>Starling Physicians</t>
  </si>
  <si>
    <t>300 Kensington Ave</t>
  </si>
  <si>
    <t>New Britain</t>
  </si>
  <si>
    <t>(860) 224-6201</t>
  </si>
  <si>
    <t>Village Practice Management</t>
  </si>
  <si>
    <t>Katie Libner</t>
  </si>
  <si>
    <t>katie.libner@provista.com</t>
  </si>
  <si>
    <t>Physicians</t>
  </si>
  <si>
    <t>S617</t>
  </si>
  <si>
    <t>Mary Immaculate Hospital</t>
  </si>
  <si>
    <t>2 Bernardine Dr</t>
  </si>
  <si>
    <t>Newport News</t>
  </si>
  <si>
    <t>23602-4499</t>
  </si>
  <si>
    <t>(757) 886-6000</t>
  </si>
  <si>
    <t>Bon Secours Hampton Roads Health System Inc</t>
  </si>
  <si>
    <t>DPYA</t>
  </si>
  <si>
    <t>Capital Region Health Care Corporation</t>
  </si>
  <si>
    <t>250 Pleasant St</t>
  </si>
  <si>
    <t>(603) 225-2711</t>
  </si>
  <si>
    <t>W032</t>
  </si>
  <si>
    <t>Carolinas Medical Center - Mercy</t>
  </si>
  <si>
    <t>2001 Vail Ave</t>
  </si>
  <si>
    <t>(704) 304-5000</t>
  </si>
  <si>
    <t>DPYB</t>
  </si>
  <si>
    <t>Carolinas Medical Center - Pineville</t>
  </si>
  <si>
    <t>10628 Park Rd</t>
  </si>
  <si>
    <t>(704) 543-2005</t>
  </si>
  <si>
    <t>R754</t>
  </si>
  <si>
    <t>West Tennessee Healthcare Henry County</t>
  </si>
  <si>
    <t>301 Tyson Ave</t>
  </si>
  <si>
    <t>Paris</t>
  </si>
  <si>
    <t>38242-4544</t>
  </si>
  <si>
    <t>(731) 642-1220</t>
  </si>
  <si>
    <t>Q545</t>
  </si>
  <si>
    <t>ProMedica Defiance Regional Hospital</t>
  </si>
  <si>
    <t>1200 Ralston Ave</t>
  </si>
  <si>
    <t>Defiance</t>
  </si>
  <si>
    <t>43512-1396</t>
  </si>
  <si>
    <t>(419) 783-6955</t>
  </si>
  <si>
    <t>S359</t>
  </si>
  <si>
    <t>Marthas Vineyard Hospital</t>
  </si>
  <si>
    <t>1 Hospital Rd</t>
  </si>
  <si>
    <t>Oak Bluffs</t>
  </si>
  <si>
    <t>(508) 693-0410</t>
  </si>
  <si>
    <t>DPXH</t>
  </si>
  <si>
    <t>Kensington Manor Nursing and Rehab Center</t>
  </si>
  <si>
    <t>94 Stevens Rd</t>
  </si>
  <si>
    <t>(732) 286-5005</t>
  </si>
  <si>
    <t>DPZL</t>
  </si>
  <si>
    <t>Shelby Obstetrics and Gynecology</t>
  </si>
  <si>
    <t>408 1st St N Ste 200</t>
  </si>
  <si>
    <t>Alabaster</t>
  </si>
  <si>
    <t>35007-8707</t>
  </si>
  <si>
    <t>(205) 664-9995</t>
  </si>
  <si>
    <t>US Women's Health Alliance LLC</t>
  </si>
  <si>
    <t>DQAH</t>
  </si>
  <si>
    <t>45840-1299</t>
  </si>
  <si>
    <t>JCAV</t>
  </si>
  <si>
    <t>Fitzgibbon Hospital</t>
  </si>
  <si>
    <t>2305 S Hwy 65</t>
  </si>
  <si>
    <t>65340-3702</t>
  </si>
  <si>
    <t>(660) 886-7431</t>
  </si>
  <si>
    <t>HDIF</t>
  </si>
  <si>
    <t>Covenant Medical Center - Lakeside</t>
  </si>
  <si>
    <t>4000 24th St</t>
  </si>
  <si>
    <t>79410-1894</t>
  </si>
  <si>
    <t>(806) 796-6000</t>
  </si>
  <si>
    <t>DRLM</t>
  </si>
  <si>
    <t>800 Boylston St Ste 1150</t>
  </si>
  <si>
    <t>Hosp</t>
  </si>
  <si>
    <t>(617) 278-1000</t>
  </si>
  <si>
    <t>DRLN</t>
  </si>
  <si>
    <t>400 S Santa Fe Ave</t>
  </si>
  <si>
    <t>67401-4144</t>
  </si>
  <si>
    <t>(785) 452-7000</t>
  </si>
  <si>
    <t>DRLO</t>
  </si>
  <si>
    <t>(203) 384-3478</t>
  </si>
  <si>
    <t>V920</t>
  </si>
  <si>
    <t>UNC Health Blue Ridge - Valdese</t>
  </si>
  <si>
    <t>720 Malcolm Blvd</t>
  </si>
  <si>
    <t>Valdese</t>
  </si>
  <si>
    <t>(828) 874-2251</t>
  </si>
  <si>
    <t>UNC Health Blue Ridge</t>
  </si>
  <si>
    <t>V794</t>
  </si>
  <si>
    <t>Anderson County Hospital</t>
  </si>
  <si>
    <t>421 S Maple St</t>
  </si>
  <si>
    <t>Garnett</t>
  </si>
  <si>
    <t>66032-1334</t>
  </si>
  <si>
    <t>(785) 448-3131</t>
  </si>
  <si>
    <t>Q594</t>
  </si>
  <si>
    <t>Affinity Medical Center</t>
  </si>
  <si>
    <t>875 Eighth Street Ne</t>
  </si>
  <si>
    <t>Massillon</t>
  </si>
  <si>
    <t>(330) 832-8761</t>
  </si>
  <si>
    <t>Q535</t>
  </si>
  <si>
    <t>Summa Western Reserve Hospital</t>
  </si>
  <si>
    <t>1900 23rd St</t>
  </si>
  <si>
    <t>Cuyahoga Falls</t>
  </si>
  <si>
    <t>(330) 971-7838</t>
  </si>
  <si>
    <t>V810</t>
  </si>
  <si>
    <t>North Central Kansas Medical Center</t>
  </si>
  <si>
    <t>155 West College Dr</t>
  </si>
  <si>
    <t>Concordia</t>
  </si>
  <si>
    <t>66901-3923</t>
  </si>
  <si>
    <t>(785) 243-1234</t>
  </si>
  <si>
    <t>DRLQ</t>
  </si>
  <si>
    <t>College Pines Nursing Center</t>
  </si>
  <si>
    <t>95 Locust St</t>
  </si>
  <si>
    <t>(828) 874-6800</t>
  </si>
  <si>
    <t>DRLU</t>
  </si>
  <si>
    <t>Western Connecticut Medical Group Inc</t>
  </si>
  <si>
    <t>14 Research Dr Ste 210A</t>
  </si>
  <si>
    <t>Bethel</t>
  </si>
  <si>
    <t>(203) 739-7742</t>
  </si>
  <si>
    <t>DRLY</t>
  </si>
  <si>
    <t>Robert Y Faseler DO</t>
  </si>
  <si>
    <t>882 Sierra Dr</t>
  </si>
  <si>
    <t>Port Neches</t>
  </si>
  <si>
    <t>77651-5607</t>
  </si>
  <si>
    <t>(409) 722-1234</t>
  </si>
  <si>
    <t>DRLZ</t>
  </si>
  <si>
    <t>Drs Huber Pickard and Southerland</t>
  </si>
  <si>
    <t>2001 9th Ave Ste 203</t>
  </si>
  <si>
    <t>Port Arthur</t>
  </si>
  <si>
    <t>77642-2703</t>
  </si>
  <si>
    <t>(409) 983-6461</t>
  </si>
  <si>
    <t>DRMA</t>
  </si>
  <si>
    <t>Mid-County Family Clinic</t>
  </si>
  <si>
    <t>1509 S Hwy 69 365</t>
  </si>
  <si>
    <t>Nederland</t>
  </si>
  <si>
    <t>77627-7807</t>
  </si>
  <si>
    <t>(409) 727-4422</t>
  </si>
  <si>
    <t>Primary Care</t>
  </si>
  <si>
    <t>DRNB</t>
  </si>
  <si>
    <t>Katy Memorial Physician Associates</t>
  </si>
  <si>
    <t>1260 Pin Oak Rd Ste 108</t>
  </si>
  <si>
    <t>Katy</t>
  </si>
  <si>
    <t>77494-5603</t>
  </si>
  <si>
    <t>(713) 395-0202</t>
  </si>
  <si>
    <t>Physician Organization</t>
  </si>
  <si>
    <t>DRNC</t>
  </si>
  <si>
    <t>Memorial City Physician Associates</t>
  </si>
  <si>
    <t>902 Frostwood Dr Ste 190</t>
  </si>
  <si>
    <t>77024-2402</t>
  </si>
  <si>
    <t>(713) 461-8188</t>
  </si>
  <si>
    <t>DRND</t>
  </si>
  <si>
    <t>Memorial Hermann Sugarland Health Center</t>
  </si>
  <si>
    <t>1211 Hwy 6 Ste 70</t>
  </si>
  <si>
    <t>Sugar Land</t>
  </si>
  <si>
    <t>77478-4940</t>
  </si>
  <si>
    <t>(281) 494-7773</t>
  </si>
  <si>
    <t>DRNE</t>
  </si>
  <si>
    <t>Northwest Memorial Physician Associates</t>
  </si>
  <si>
    <t>1631 N Loop W Ste 430</t>
  </si>
  <si>
    <t>77008-1539</t>
  </si>
  <si>
    <t>DRNF</t>
  </si>
  <si>
    <t>Pediatric Associates</t>
  </si>
  <si>
    <t>3030 North St Ste 410</t>
  </si>
  <si>
    <t>Beaumont</t>
  </si>
  <si>
    <t>77702-1434</t>
  </si>
  <si>
    <t>(409) 899-1433</t>
  </si>
  <si>
    <t>Pediatrics</t>
  </si>
  <si>
    <t>DRNG</t>
  </si>
  <si>
    <t>Kayani Nargis MD</t>
  </si>
  <si>
    <t>3560 Delaware St Ste 1202</t>
  </si>
  <si>
    <t>77706-3061</t>
  </si>
  <si>
    <t>(409) 896-0922</t>
  </si>
  <si>
    <t>DRNH</t>
  </si>
  <si>
    <t>Drs Harmon and Yen</t>
  </si>
  <si>
    <t>2900 North St Ste 315</t>
  </si>
  <si>
    <t>(409) 899-2764</t>
  </si>
  <si>
    <t>DRNJ</t>
  </si>
  <si>
    <t>St Joseph Pediatrics Associates</t>
  </si>
  <si>
    <t>1315 Calhoun St Ste 1602</t>
  </si>
  <si>
    <t>Medical Place 1</t>
  </si>
  <si>
    <t>77002-8232</t>
  </si>
  <si>
    <t>DRNI</t>
  </si>
  <si>
    <t>St John Pediatric Group</t>
  </si>
  <si>
    <t>2100 Space Park Dr Ste 100</t>
  </si>
  <si>
    <t>77058-3661</t>
  </si>
  <si>
    <t>(713) 335-3256</t>
  </si>
  <si>
    <t>DRNK</t>
  </si>
  <si>
    <t>St Joseph Healthcare Tanglewood</t>
  </si>
  <si>
    <t>6401 Woodway Dr Ste 185</t>
  </si>
  <si>
    <t>77057-1668</t>
  </si>
  <si>
    <t>(713) 974-0500</t>
  </si>
  <si>
    <t>DRNL</t>
  </si>
  <si>
    <t>South Shore Healthcare Center</t>
  </si>
  <si>
    <t>100 Enterprise Ave</t>
  </si>
  <si>
    <t>League City</t>
  </si>
  <si>
    <t>77573-2940</t>
  </si>
  <si>
    <t>(713) 334-7771</t>
  </si>
  <si>
    <t>DRNN</t>
  </si>
  <si>
    <t>Southeast Memorial Physician Associates</t>
  </si>
  <si>
    <t>807 S Friendswood Dr Ste 3</t>
  </si>
  <si>
    <t>Friendswood</t>
  </si>
  <si>
    <t>77546-4536</t>
  </si>
  <si>
    <t>DRNO</t>
  </si>
  <si>
    <t>MHMG SW PRIMARY CARE</t>
  </si>
  <si>
    <t>1414 Cross St Ste 230</t>
  </si>
  <si>
    <t>(713) 777-3000</t>
  </si>
  <si>
    <t>Memorial Hermann Medical Group</t>
  </si>
  <si>
    <t>DRNQ</t>
  </si>
  <si>
    <t>MSCH Family Practice Center - Sugarland</t>
  </si>
  <si>
    <t>1211 Hwy 6</t>
  </si>
  <si>
    <t>DRNV</t>
  </si>
  <si>
    <t>MSCH Home Care</t>
  </si>
  <si>
    <t>2600 N Loop W Ste 620</t>
  </si>
  <si>
    <t>DRNR</t>
  </si>
  <si>
    <t>St Joseph Timeshare I</t>
  </si>
  <si>
    <t>1315 Calhoun St Ste 1605</t>
  </si>
  <si>
    <t>(713) 756-8800</t>
  </si>
  <si>
    <t>DRNS</t>
  </si>
  <si>
    <t>St Joseph Timeshare II</t>
  </si>
  <si>
    <t>(713) 756-8555</t>
  </si>
  <si>
    <t>DRNT</t>
  </si>
  <si>
    <t>Vidor Family Medical Clinic</t>
  </si>
  <si>
    <t>395 N Main St</t>
  </si>
  <si>
    <t>Vidor</t>
  </si>
  <si>
    <t>77662-4935</t>
  </si>
  <si>
    <t>(409) 769-1680</t>
  </si>
  <si>
    <t>DRMC</t>
  </si>
  <si>
    <t>Franz Charles DO</t>
  </si>
  <si>
    <t>6265 39th St</t>
  </si>
  <si>
    <t>Groves</t>
  </si>
  <si>
    <t>77619-4614</t>
  </si>
  <si>
    <t>(409) 962-1121</t>
  </si>
  <si>
    <t>KWBM</t>
  </si>
  <si>
    <t>Sentara Health Plans</t>
  </si>
  <si>
    <t>4417 Corporation Ln</t>
  </si>
  <si>
    <t>(757) 552-7306</t>
  </si>
  <si>
    <t>Andrea Allstun</t>
  </si>
  <si>
    <t>andrea.allstun@vizientinc.com</t>
  </si>
  <si>
    <t>Health Plan Alliance</t>
  </si>
  <si>
    <t>Q448</t>
  </si>
  <si>
    <t>Akron Childrens Hospital</t>
  </si>
  <si>
    <t>One Perkins Square</t>
  </si>
  <si>
    <t>(330) 543-1000</t>
  </si>
  <si>
    <t>DSBN</t>
  </si>
  <si>
    <t>(860) 533-3400</t>
  </si>
  <si>
    <t>S195</t>
  </si>
  <si>
    <t>Miriam Hospital</t>
  </si>
  <si>
    <t>164 Summit Ave</t>
  </si>
  <si>
    <t>(401) 793-2500</t>
  </si>
  <si>
    <t>S258</t>
  </si>
  <si>
    <t>Prospect Rockville Hospital</t>
  </si>
  <si>
    <t>31 Union St</t>
  </si>
  <si>
    <t>Vernon</t>
  </si>
  <si>
    <t>(860) 872-0501</t>
  </si>
  <si>
    <t>DSAX</t>
  </si>
  <si>
    <t>Network Data Systems Inc</t>
  </si>
  <si>
    <t>30 Campion Rd</t>
  </si>
  <si>
    <t>13413-1602</t>
  </si>
  <si>
    <t>(315) 624-5800</t>
  </si>
  <si>
    <t>Info Technology Service</t>
  </si>
  <si>
    <t>JJKL</t>
  </si>
  <si>
    <t>Lower Umpqua Hospital</t>
  </si>
  <si>
    <t>600 Ranch Road</t>
  </si>
  <si>
    <t>Reedsport</t>
  </si>
  <si>
    <t>Strategic Resource Partners (SRP)</t>
  </si>
  <si>
    <t>JJKO</t>
  </si>
  <si>
    <t>Third Street Community Clinic</t>
  </si>
  <si>
    <t>600 W 3rd St</t>
  </si>
  <si>
    <t>Delta Purchasing Alliance</t>
  </si>
  <si>
    <t>(419) 526-8115</t>
  </si>
  <si>
    <t>DLCW</t>
  </si>
  <si>
    <t>Allina Health Mercy Pharmacy</t>
  </si>
  <si>
    <t>11850 Blackfoot St Nw Ste 190</t>
  </si>
  <si>
    <t>55433-2583</t>
  </si>
  <si>
    <t>(763) 422-4664</t>
  </si>
  <si>
    <t>DLC3</t>
  </si>
  <si>
    <t>New England Life Care-Portland</t>
  </si>
  <si>
    <t>45 Center St Ste A</t>
  </si>
  <si>
    <t>Scarborough</t>
  </si>
  <si>
    <t>(207) 878-1288</t>
  </si>
  <si>
    <t>New England Life Care - Corporate Offices</t>
  </si>
  <si>
    <t>DLCZ</t>
  </si>
  <si>
    <t>St Francis Retail Pharmacy</t>
  </si>
  <si>
    <t>(318) 327-4147</t>
  </si>
  <si>
    <t>DLCU</t>
  </si>
  <si>
    <t>Allina Health Unity Pharmacy</t>
  </si>
  <si>
    <t>(763) 421-2222</t>
  </si>
  <si>
    <t>DTBA</t>
  </si>
  <si>
    <t>Beauregard Infusion Care</t>
  </si>
  <si>
    <t>600 S Pine St Ste 3e</t>
  </si>
  <si>
    <t>(318) 462-7156</t>
  </si>
  <si>
    <t>DTAT</t>
  </si>
  <si>
    <t>Piedmont Pharmacy-Family Health</t>
  </si>
  <si>
    <t>1800 10th Ave</t>
  </si>
  <si>
    <t>31901-1513</t>
  </si>
  <si>
    <t>(706) 571-1995</t>
  </si>
  <si>
    <t>Piedmont Columbus Regional - Midtown</t>
  </si>
  <si>
    <t>Eddie Gomez</t>
  </si>
  <si>
    <t>eddie.gomez@vizientinc.com</t>
  </si>
  <si>
    <t>DTED</t>
  </si>
  <si>
    <t>Doctors Choice Home Health - Daytona</t>
  </si>
  <si>
    <t>1801 S Nova R Ste 130</t>
  </si>
  <si>
    <t>South Daytona</t>
  </si>
  <si>
    <t>(386) 872-4700</t>
  </si>
  <si>
    <t>DTEH</t>
  </si>
  <si>
    <t>Family Care Pharmacy at Christian Hospital NE</t>
  </si>
  <si>
    <t>11125 Dunn Rd</t>
  </si>
  <si>
    <t>(314) 653-5200</t>
  </si>
  <si>
    <t>DTEI</t>
  </si>
  <si>
    <t>Family Care Pharmacy at Graham Medical Center</t>
  </si>
  <si>
    <t>1224 Graham Rd</t>
  </si>
  <si>
    <t>(314) 953-6744</t>
  </si>
  <si>
    <t>DTEG</t>
  </si>
  <si>
    <t>Home Care Pharmacy #4</t>
  </si>
  <si>
    <t>62002-6722</t>
  </si>
  <si>
    <t>(618) 463-7424</t>
  </si>
  <si>
    <t>DTEK</t>
  </si>
  <si>
    <t>Home Care Pharmacy LTC</t>
  </si>
  <si>
    <t>DTBQ</t>
  </si>
  <si>
    <t>Hospice of the Hills Pharmacy</t>
  </si>
  <si>
    <t>(434) 947-3179</t>
  </si>
  <si>
    <t>Hospice</t>
  </si>
  <si>
    <t>DTEF</t>
  </si>
  <si>
    <t>Hospice of Volusia/Flagler</t>
  </si>
  <si>
    <t>3800 Woodbriar Trl</t>
  </si>
  <si>
    <t>32129-9626</t>
  </si>
  <si>
    <t>(386) 322-4701</t>
  </si>
  <si>
    <t>DTBL</t>
  </si>
  <si>
    <t>Lewis Hall Singletary Oncology Center</t>
  </si>
  <si>
    <t>919 S Broad St</t>
  </si>
  <si>
    <t>31792-6114</t>
  </si>
  <si>
    <t>(229) 228-2752</t>
  </si>
  <si>
    <t>DTBP</t>
  </si>
  <si>
    <t>Mt Graham Pharmacy</t>
  </si>
  <si>
    <t>(928) 348-4075</t>
  </si>
  <si>
    <t>DTBS</t>
  </si>
  <si>
    <t>Northwest Louisiana Surgical Center</t>
  </si>
  <si>
    <t>3200 Mable St</t>
  </si>
  <si>
    <t>71109-2230</t>
  </si>
  <si>
    <t>(318) 631-8222</t>
  </si>
  <si>
    <t>DLDA</t>
  </si>
  <si>
    <t>New England Life Care - Concord</t>
  </si>
  <si>
    <t>41 C Terrill Park Dr</t>
  </si>
  <si>
    <t>(603) 224-3100</t>
  </si>
  <si>
    <t>JJKR</t>
  </si>
  <si>
    <t>Summit Healthcare Regional Medical Center</t>
  </si>
  <si>
    <t>2200 E Show Low Lake Rd</t>
  </si>
  <si>
    <t>Show Low</t>
  </si>
  <si>
    <t>85901-7831</t>
  </si>
  <si>
    <t>(928) 537-4375</t>
  </si>
  <si>
    <t>DTQL</t>
  </si>
  <si>
    <t>Greater Valley Pharmacy</t>
  </si>
  <si>
    <t>1135 S Sunset Ave</t>
  </si>
  <si>
    <t>91790-3937</t>
  </si>
  <si>
    <t>(626) 962-4899</t>
  </si>
  <si>
    <t>JJKU</t>
  </si>
  <si>
    <t>Johnson Memorial Health Services</t>
  </si>
  <si>
    <t>1282 Walnut St</t>
  </si>
  <si>
    <t>Dawson</t>
  </si>
  <si>
    <t>(320) 769-4323</t>
  </si>
  <si>
    <t>JJLH</t>
  </si>
  <si>
    <t>Holy Family Memorial Medical Center</t>
  </si>
  <si>
    <t>2300 Western Ave</t>
  </si>
  <si>
    <t>Manitowoc</t>
  </si>
  <si>
    <t>54220-3712</t>
  </si>
  <si>
    <t>(920) 320-2011</t>
  </si>
  <si>
    <t>JAOK</t>
  </si>
  <si>
    <t>UCLA Medical Center Le Conte</t>
  </si>
  <si>
    <t>10833 Le Conte Ave</t>
  </si>
  <si>
    <t>Los Angeles</t>
  </si>
  <si>
    <t>90095-1730</t>
  </si>
  <si>
    <t>(310) 825-9111</t>
  </si>
  <si>
    <t>UCLA Health System</t>
  </si>
  <si>
    <t>JJLR</t>
  </si>
  <si>
    <t>Richard Young Behavioral Health Center</t>
  </si>
  <si>
    <t>1755 Prairie View Pl</t>
  </si>
  <si>
    <t>Kearney</t>
  </si>
  <si>
    <t>68845-8300</t>
  </si>
  <si>
    <t>DTRL</t>
  </si>
  <si>
    <t>Ambulatory Care Center Pharmacy</t>
  </si>
  <si>
    <t>Outpatient Retail Pharmacy</t>
  </si>
  <si>
    <t>(330) 384-7732</t>
  </si>
  <si>
    <t>DTRP</t>
  </si>
  <si>
    <t>Physician Partners Blountstown</t>
  </si>
  <si>
    <t>17808 Ne Charlie Johns St</t>
  </si>
  <si>
    <t>Blountstown</t>
  </si>
  <si>
    <t>32424-1052</t>
  </si>
  <si>
    <t>(850) 674-4524</t>
  </si>
  <si>
    <t>DTRT</t>
  </si>
  <si>
    <t>Family Care Pharmacy</t>
  </si>
  <si>
    <t>3023 N Ballas Rd</t>
  </si>
  <si>
    <t>(314) 525-0415</t>
  </si>
  <si>
    <t>DTRV</t>
  </si>
  <si>
    <t>FHCP Pharmacy Mail Order</t>
  </si>
  <si>
    <t>1510 Ridgewood Ave Ste 101</t>
  </si>
  <si>
    <t>Holly Hill</t>
  </si>
  <si>
    <t>32117-2259</t>
  </si>
  <si>
    <t>PurNet Inc</t>
  </si>
  <si>
    <t>Stephanie Miller</t>
  </si>
  <si>
    <t>stephanie.miller@provista.com</t>
  </si>
  <si>
    <t>Pharmacy - Closed Door</t>
  </si>
  <si>
    <t>Purnet</t>
  </si>
  <si>
    <t>DTRW</t>
  </si>
  <si>
    <t>HH Holdings - Pharmacy Edgewater</t>
  </si>
  <si>
    <t>239 N Ridgewood Ave</t>
  </si>
  <si>
    <t>Edgewater</t>
  </si>
  <si>
    <t>DTRX</t>
  </si>
  <si>
    <t>FHCP Pharmacy Palm Coast</t>
  </si>
  <si>
    <t>309 Palm Coast Pkwy Ne</t>
  </si>
  <si>
    <t>Palm Coast</t>
  </si>
  <si>
    <t>32137-3886</t>
  </si>
  <si>
    <t>(386) 676-7173</t>
  </si>
  <si>
    <t>DTRY</t>
  </si>
  <si>
    <t>FHCP Pharmacy Orange City</t>
  </si>
  <si>
    <t>2777 Enterprise Rd</t>
  </si>
  <si>
    <t>DTRZ</t>
  </si>
  <si>
    <t>Florida Health Care Plan Inc</t>
  </si>
  <si>
    <t>2440 Mason Ave</t>
  </si>
  <si>
    <t>DTSA</t>
  </si>
  <si>
    <t>GHMA Medical Center</t>
  </si>
  <si>
    <t>4500 E Speedway Blvd Ste 112</t>
  </si>
  <si>
    <t>85712-5304</t>
  </si>
  <si>
    <t>DTSK</t>
  </si>
  <si>
    <t>Medical Plaza Pharmacy</t>
  </si>
  <si>
    <t>7777 Hennessy Blvd Ste 114</t>
  </si>
  <si>
    <t>70808-4363</t>
  </si>
  <si>
    <t>(225) 765-8951</t>
  </si>
  <si>
    <t>DTSM</t>
  </si>
  <si>
    <t>Ochsner HCC - Metairie</t>
  </si>
  <si>
    <t>4901 Veterans Memorial Blvd</t>
  </si>
  <si>
    <t>Fl 1 Rothscd Ped Front Dsk</t>
  </si>
  <si>
    <t>Metairie</t>
  </si>
  <si>
    <t>70006-5210</t>
  </si>
  <si>
    <t>(504) 842-3420</t>
  </si>
  <si>
    <t>DTSV</t>
  </si>
  <si>
    <t>Queens Physicians Office Building I Rx</t>
  </si>
  <si>
    <t>1380 Lusitana St</t>
  </si>
  <si>
    <t>96813-2449</t>
  </si>
  <si>
    <t>(808) 547-4560</t>
  </si>
  <si>
    <t>Nicole Williams</t>
  </si>
  <si>
    <t>nicole.williams@vizientinc.com</t>
  </si>
  <si>
    <t>DTSW</t>
  </si>
  <si>
    <t>Queens Physicians Office Building II Rx</t>
  </si>
  <si>
    <t>1329 Lusitana St Ste 101</t>
  </si>
  <si>
    <t>DTTA</t>
  </si>
  <si>
    <t>Tallahassee Memorial Home Health Care</t>
  </si>
  <si>
    <t>1619 Physicians Dr</t>
  </si>
  <si>
    <t>32303-4620</t>
  </si>
  <si>
    <t>(850) 431-6800</t>
  </si>
  <si>
    <t>DTYD</t>
  </si>
  <si>
    <t>San Manuel Healthcare Center Pharmacy</t>
  </si>
  <si>
    <t>Highway 76 &amp; Mcnab Pkwy</t>
  </si>
  <si>
    <t>(520) 381-0363</t>
  </si>
  <si>
    <t>DTYE</t>
  </si>
  <si>
    <t>TMC Pharmacy at CCCSA</t>
  </si>
  <si>
    <t>2625 N Craycroft Rd</t>
  </si>
  <si>
    <t>85712-2254</t>
  </si>
  <si>
    <t>(520) 324-2290</t>
  </si>
  <si>
    <t>DTXP</t>
  </si>
  <si>
    <t>Ochsner Health Center - Algiers</t>
  </si>
  <si>
    <t>3401 Behrman Pl</t>
  </si>
  <si>
    <t>70114-8216</t>
  </si>
  <si>
    <t>(504) 371-9223</t>
  </si>
  <si>
    <t>DTXS</t>
  </si>
  <si>
    <t>Ochsner Westside Pediatrics Clinic</t>
  </si>
  <si>
    <t>4225 Lapalco Blvd</t>
  </si>
  <si>
    <t>Marrero</t>
  </si>
  <si>
    <t>DTXT</t>
  </si>
  <si>
    <t>Ochsner Health Center - Mandeville</t>
  </si>
  <si>
    <t>2810 E Causeway Approach</t>
  </si>
  <si>
    <t>Mandeville</t>
  </si>
  <si>
    <t>70448-3599</t>
  </si>
  <si>
    <t>DTXV</t>
  </si>
  <si>
    <t>Ochsner Clinic New Orleans East</t>
  </si>
  <si>
    <t>5701 Deer Park Blvd</t>
  </si>
  <si>
    <t>Oak Valley Hospital</t>
  </si>
  <si>
    <t>350 S Oak Ave</t>
  </si>
  <si>
    <t>Oakdale</t>
  </si>
  <si>
    <t>95361-3519</t>
  </si>
  <si>
    <t>(209) 847-3011</t>
  </si>
  <si>
    <t>DTVC</t>
  </si>
  <si>
    <t>Audiology Clinic</t>
  </si>
  <si>
    <t>2530 Bert Kouns Industrial Loop Ste 131</t>
  </si>
  <si>
    <t>71118-6114</t>
  </si>
  <si>
    <t>(318) 212-5488</t>
  </si>
  <si>
    <t>DTVD</t>
  </si>
  <si>
    <t>Holliway Brondwyn MD</t>
  </si>
  <si>
    <t>3300 Virginia Ave Ste 8</t>
  </si>
  <si>
    <t>71103-3900</t>
  </si>
  <si>
    <t>DTVF</t>
  </si>
  <si>
    <t>Henry David MD</t>
  </si>
  <si>
    <t>8848 Youree Dr</t>
  </si>
  <si>
    <t>71115-2512</t>
  </si>
  <si>
    <t>(318) 459-2187</t>
  </si>
  <si>
    <t>DTVG</t>
  </si>
  <si>
    <t>Rushing Donna MD</t>
  </si>
  <si>
    <t>2748 Virginia Ave Ste A</t>
  </si>
  <si>
    <t>DTVN</t>
  </si>
  <si>
    <t>ENT</t>
  </si>
  <si>
    <t>2508 Bert Kouns Loop Ste 306</t>
  </si>
  <si>
    <t>71118-3154</t>
  </si>
  <si>
    <t>(318) 688-6571</t>
  </si>
  <si>
    <t>DTVP</t>
  </si>
  <si>
    <t>WK Fertility Clinic</t>
  </si>
  <si>
    <t>2401 Greenwood Rd</t>
  </si>
  <si>
    <t>71103-4010</t>
  </si>
  <si>
    <t>(318) 212-8270</t>
  </si>
  <si>
    <t>DTVS</t>
  </si>
  <si>
    <t>TriState Neurology</t>
  </si>
  <si>
    <t>2551 Greenwood Rd Ste 240</t>
  </si>
  <si>
    <t>71103-3985</t>
  </si>
  <si>
    <t>(318) 212-8675</t>
  </si>
  <si>
    <t>Neurology</t>
  </si>
  <si>
    <t>DTVU</t>
  </si>
  <si>
    <t>Do Jacqueline MD</t>
  </si>
  <si>
    <t>1535 Doctors Dr</t>
  </si>
  <si>
    <t>Bossier City</t>
  </si>
  <si>
    <t>(318) 747-7584</t>
  </si>
  <si>
    <t>DTVV</t>
  </si>
  <si>
    <t>Flake-Larry Pierremont Family Practice</t>
  </si>
  <si>
    <t>1811 Bert Kouns Ste 400</t>
  </si>
  <si>
    <t>DTVW</t>
  </si>
  <si>
    <t>Frederick Melanie MD</t>
  </si>
  <si>
    <t>2514 Bert Kouns Loop Ste 8</t>
  </si>
  <si>
    <t>71118-3146</t>
  </si>
  <si>
    <t>(318) 687-5277</t>
  </si>
  <si>
    <t>DTWB</t>
  </si>
  <si>
    <t>WK Primary Care South</t>
  </si>
  <si>
    <t>2508 Bert Kouns Industrial Loop Ste 102</t>
  </si>
  <si>
    <t>71118-3175</t>
  </si>
  <si>
    <t>(318) 688-6630</t>
  </si>
  <si>
    <t>DTWE</t>
  </si>
  <si>
    <t>Horton Rita MD</t>
  </si>
  <si>
    <t>2514 Bert Kouns Loop Ste 7</t>
  </si>
  <si>
    <t>(318) 742-3000</t>
  </si>
  <si>
    <t>DTWG</t>
  </si>
  <si>
    <t>Savory Robert MD</t>
  </si>
  <si>
    <t>DTWH</t>
  </si>
  <si>
    <t>South Shreveport Family Practice</t>
  </si>
  <si>
    <t>2520 Bert Kouns Loop Ste 102</t>
  </si>
  <si>
    <t>(318) 686-7451</t>
  </si>
  <si>
    <t>DTWI</t>
  </si>
  <si>
    <t>South Shreveport Internal Medicine</t>
  </si>
  <si>
    <t>2508 Bert Kouns Loop Ste 301</t>
  </si>
  <si>
    <t>71118-3100</t>
  </si>
  <si>
    <t>(318) 212-5991</t>
  </si>
  <si>
    <t>DTWJ</t>
  </si>
  <si>
    <t>South Shreveport Medical Plaza</t>
  </si>
  <si>
    <t>2520 Bert Kouns Loop Ste 105</t>
  </si>
  <si>
    <t>DTWO</t>
  </si>
  <si>
    <t>Warren Ted MD</t>
  </si>
  <si>
    <t>2910 Shed Rd</t>
  </si>
  <si>
    <t>71111-3154</t>
  </si>
  <si>
    <t>(318) 747-5787</t>
  </si>
  <si>
    <t>R694</t>
  </si>
  <si>
    <t>Childrens Hospital of Philadelphia</t>
  </si>
  <si>
    <t>3401 Civic Center Blvd</t>
  </si>
  <si>
    <t>19104-4319</t>
  </si>
  <si>
    <t>(215) 590-1000</t>
  </si>
  <si>
    <t>DUFD</t>
  </si>
  <si>
    <t>Bellin Health Pulaski</t>
  </si>
  <si>
    <t>723 S Wisconsin St</t>
  </si>
  <si>
    <t>Pulaski</t>
  </si>
  <si>
    <t>54162-9303</t>
  </si>
  <si>
    <t>(920) 822-1100</t>
  </si>
  <si>
    <t>DTTE</t>
  </si>
  <si>
    <t>Allina Health Piper Building Pharmacy</t>
  </si>
  <si>
    <t>800 E 28th St Chicago Ave</t>
  </si>
  <si>
    <t>(612) 863-8581</t>
  </si>
  <si>
    <t>DTTL</t>
  </si>
  <si>
    <t>Family Medical Center Bonduel</t>
  </si>
  <si>
    <t>401 W Mill St</t>
  </si>
  <si>
    <t>Bonduel</t>
  </si>
  <si>
    <t>(715) 758-2167</t>
  </si>
  <si>
    <t>DTTM</t>
  </si>
  <si>
    <t>Family Medical Center Brillion</t>
  </si>
  <si>
    <t>964 W Ryan St Ste B</t>
  </si>
  <si>
    <t>Brillion</t>
  </si>
  <si>
    <t>54110-1077</t>
  </si>
  <si>
    <t>(920) 756-2055</t>
  </si>
  <si>
    <t>DTTN</t>
  </si>
  <si>
    <t>Bellin Health Daggett</t>
  </si>
  <si>
    <t>106 S School Rd</t>
  </si>
  <si>
    <t>Daggett</t>
  </si>
  <si>
    <t>49821-0037</t>
  </si>
  <si>
    <t>(906) 753-2155</t>
  </si>
  <si>
    <t>DTTO</t>
  </si>
  <si>
    <t>Family Medical Center Denmark</t>
  </si>
  <si>
    <t>595 County Rd R</t>
  </si>
  <si>
    <t>Denmark</t>
  </si>
  <si>
    <t>54208-0188</t>
  </si>
  <si>
    <t>(920) 756-2005</t>
  </si>
  <si>
    <t>DTTP</t>
  </si>
  <si>
    <t>Bellin Family Medical Center Webster Ave</t>
  </si>
  <si>
    <t>704 S Webster Ave 2nd Flr</t>
  </si>
  <si>
    <t>54301-3528</t>
  </si>
  <si>
    <t>(920) 433-3456</t>
  </si>
  <si>
    <t>DTTR</t>
  </si>
  <si>
    <t>North Reach Peshtigo Family Practice</t>
  </si>
  <si>
    <t>441 French St</t>
  </si>
  <si>
    <t>Peshtigo</t>
  </si>
  <si>
    <t>54157-1203</t>
  </si>
  <si>
    <t>(715) 582-9949</t>
  </si>
  <si>
    <t>DTUT</t>
  </si>
  <si>
    <t>UAP Clinic Pharmacy</t>
  </si>
  <si>
    <t>221 S 6th St</t>
  </si>
  <si>
    <t>47807-4214</t>
  </si>
  <si>
    <t>(765) 548-4033</t>
  </si>
  <si>
    <t>Union Associated Physicians</t>
  </si>
  <si>
    <t>DTTJ</t>
  </si>
  <si>
    <t>Bay Medical Out Patient Pharmacy</t>
  </si>
  <si>
    <t>801 E 6th St</t>
  </si>
  <si>
    <t>(850) 747-6018</t>
  </si>
  <si>
    <t>DTUB</t>
  </si>
  <si>
    <t>Highland Apothecary</t>
  </si>
  <si>
    <t>877 South Ave</t>
  </si>
  <si>
    <t>(585) 242-7350</t>
  </si>
  <si>
    <t>DTUM</t>
  </si>
  <si>
    <t>Integrated Oncology Services LLC</t>
  </si>
  <si>
    <t>4950 Essen Ln</t>
  </si>
  <si>
    <t>(504) 767-0847</t>
  </si>
  <si>
    <t>DTUC</t>
  </si>
  <si>
    <t>JCMH Home Health Products</t>
  </si>
  <si>
    <t>1208 E Tamarack Rd</t>
  </si>
  <si>
    <t>73521-1234</t>
  </si>
  <si>
    <t>(580) 482-0455</t>
  </si>
  <si>
    <t>DTUO</t>
  </si>
  <si>
    <t>Sentara RMH Medical Center Outpatient Pharmacy</t>
  </si>
  <si>
    <t>22801-3248</t>
  </si>
  <si>
    <t>(540) 564-5552</t>
  </si>
  <si>
    <t>Pharmacy - Acute</t>
  </si>
  <si>
    <t>DTTF</t>
  </si>
  <si>
    <t>Allina Health Westhealth Pharmacy</t>
  </si>
  <si>
    <t>2855 Campus Dr</t>
  </si>
  <si>
    <t>Plymouth</t>
  </si>
  <si>
    <t>55441-2649</t>
  </si>
  <si>
    <t>(763) 577-7007</t>
  </si>
  <si>
    <t>JJLX</t>
  </si>
  <si>
    <t>MUHA Columbia Downtown Hospital</t>
  </si>
  <si>
    <t>2435 Forest Drive</t>
  </si>
  <si>
    <t>29204-2098</t>
  </si>
  <si>
    <t>(803) 256-5487</t>
  </si>
  <si>
    <t>MUSC Medical Center</t>
  </si>
  <si>
    <t>DUFG</t>
  </si>
  <si>
    <t>Martin Memorial Family Care at Hobe Sound</t>
  </si>
  <si>
    <t>10730 Se Federal Hwy</t>
  </si>
  <si>
    <t>Hobe Sound</t>
  </si>
  <si>
    <t>33455-4920</t>
  </si>
  <si>
    <t>(772) 223-4943</t>
  </si>
  <si>
    <t>DUFI</t>
  </si>
  <si>
    <t>Martin Memorial Family Care at St Lucie West</t>
  </si>
  <si>
    <t>1095 Nw St Lucie West Blvd</t>
  </si>
  <si>
    <t>Port Saint Lucie</t>
  </si>
  <si>
    <t>34986-1719</t>
  </si>
  <si>
    <t>(772) 785-5511</t>
  </si>
  <si>
    <t>DUFN</t>
  </si>
  <si>
    <t>Martin Memorial Medicenter of Hobe Sound</t>
  </si>
  <si>
    <t>8803 Se Bridge Rd</t>
  </si>
  <si>
    <t>33455-5310</t>
  </si>
  <si>
    <t>(407) 546-8564</t>
  </si>
  <si>
    <t>JAZS</t>
  </si>
  <si>
    <t>Martin Memorial Medicenter of Palm City</t>
  </si>
  <si>
    <t>3228 Sw Martin Downs Blvd</t>
  </si>
  <si>
    <t>Palm Beach</t>
  </si>
  <si>
    <t>(407) 287-7333</t>
  </si>
  <si>
    <t>DUFP</t>
  </si>
  <si>
    <t>Martin Memorial Family Family Care at Palm Ci</t>
  </si>
  <si>
    <t>(407) 288-5880</t>
  </si>
  <si>
    <t>DUFQ</t>
  </si>
  <si>
    <t>Martin Memorial Family Care at Stuart</t>
  </si>
  <si>
    <t>921 E Ocean Blvd</t>
  </si>
  <si>
    <t>34994-2400</t>
  </si>
  <si>
    <t>(407) 287-2950</t>
  </si>
  <si>
    <t>DUFR</t>
  </si>
  <si>
    <t>Martin Memorial Pediatric Care</t>
  </si>
  <si>
    <t>2150 Se Salerno Rd Suite 116</t>
  </si>
  <si>
    <t>(772) 223-5777</t>
  </si>
  <si>
    <t>DUFU</t>
  </si>
  <si>
    <t>Atrium Pharmacy</t>
  </si>
  <si>
    <t>34761-3498</t>
  </si>
  <si>
    <t>(407) 296-1912</t>
  </si>
  <si>
    <t>DUGI</t>
  </si>
  <si>
    <t>Family Medical Center Oconto</t>
  </si>
  <si>
    <t>820 Arbutus Ave</t>
  </si>
  <si>
    <t>Oconto</t>
  </si>
  <si>
    <t>54153-2004</t>
  </si>
  <si>
    <t>(920) 834-8833</t>
  </si>
  <si>
    <t>DUGK</t>
  </si>
  <si>
    <t>Family Medical Center Kewaunee</t>
  </si>
  <si>
    <t>575 4th St</t>
  </si>
  <si>
    <t>Kewaunee</t>
  </si>
  <si>
    <t>54216-1785</t>
  </si>
  <si>
    <t>(920) 388-4640</t>
  </si>
  <si>
    <t>DUGM</t>
  </si>
  <si>
    <t>Bellin Health Ashwaubenon Clinic</t>
  </si>
  <si>
    <t>1630 Commanche Ave</t>
  </si>
  <si>
    <t>(920) 430-4700</t>
  </si>
  <si>
    <t>DUGO</t>
  </si>
  <si>
    <t>Andover Surgery Center LP</t>
  </si>
  <si>
    <t>138 Haverhill St</t>
  </si>
  <si>
    <t>Andover</t>
  </si>
  <si>
    <t>(978) 475-2880</t>
  </si>
  <si>
    <t>Becky Russell</t>
  </si>
  <si>
    <t>becky.russell@vizientinc.com</t>
  </si>
  <si>
    <t>HDJR</t>
  </si>
  <si>
    <t>Carney Hospital</t>
  </si>
  <si>
    <t>2100 Dorchester Ave</t>
  </si>
  <si>
    <t>Dorchester</t>
  </si>
  <si>
    <t>(617) 296-4000</t>
  </si>
  <si>
    <t>P290</t>
  </si>
  <si>
    <t>Athens-Limestone Hospital</t>
  </si>
  <si>
    <t>700 W Market St</t>
  </si>
  <si>
    <t>35611-2422</t>
  </si>
  <si>
    <t>(256) 233-9292</t>
  </si>
  <si>
    <t>DUCG</t>
  </si>
  <si>
    <t>Highland Health System</t>
  </si>
  <si>
    <t>14620-2733</t>
  </si>
  <si>
    <t>DUCH</t>
  </si>
  <si>
    <t>1450 Production Rd</t>
  </si>
  <si>
    <t>46808-1167</t>
  </si>
  <si>
    <t>DUCE</t>
  </si>
  <si>
    <t>Bethesda Health Inc</t>
  </si>
  <si>
    <t>S105</t>
  </si>
  <si>
    <t>Advocate Illinois Masonic Medical Center</t>
  </si>
  <si>
    <t>836 W Wellington Ave</t>
  </si>
  <si>
    <t>60657-5147</t>
  </si>
  <si>
    <t>(773) 975-1600</t>
  </si>
  <si>
    <t>R904</t>
  </si>
  <si>
    <t>Taylorville Memorial Hospital</t>
  </si>
  <si>
    <t>201 E Pleasant St</t>
  </si>
  <si>
    <t>Taylorville</t>
  </si>
  <si>
    <t>62568-1562</t>
  </si>
  <si>
    <t>(217) 824-3331</t>
  </si>
  <si>
    <t>V967</t>
  </si>
  <si>
    <t>Carolinas Medical Center - Union</t>
  </si>
  <si>
    <t>600 Hospital Dr</t>
  </si>
  <si>
    <t>(704) 283-3100</t>
  </si>
  <si>
    <t>DUCF</t>
  </si>
  <si>
    <t>Connecticut Childrens Medical Center</t>
  </si>
  <si>
    <t>282 Washington St</t>
  </si>
  <si>
    <t>Hartford</t>
  </si>
  <si>
    <t>(860) 545-9000</t>
  </si>
  <si>
    <t>T208</t>
  </si>
  <si>
    <t>Boone Memorial Hospital</t>
  </si>
  <si>
    <t>701 Madison Ave</t>
  </si>
  <si>
    <t>25130-1699</t>
  </si>
  <si>
    <t>(304) 369-1230</t>
  </si>
  <si>
    <t>Q733</t>
  </si>
  <si>
    <t>Parkview Huntington Hospital</t>
  </si>
  <si>
    <t>2001 Stults Rd</t>
  </si>
  <si>
    <t>46750-1291</t>
  </si>
  <si>
    <t>(260) 356-3000</t>
  </si>
  <si>
    <t>Q701</t>
  </si>
  <si>
    <t>Parkview Whitley Hospital</t>
  </si>
  <si>
    <t>1260 E State Rd 205</t>
  </si>
  <si>
    <t>Columbia City</t>
  </si>
  <si>
    <t>46725-9492</t>
  </si>
  <si>
    <t>(260) 248-9000</t>
  </si>
  <si>
    <t>T595</t>
  </si>
  <si>
    <t>Crete Area Medical Center</t>
  </si>
  <si>
    <t>2910 Betten Dr</t>
  </si>
  <si>
    <t>Crete</t>
  </si>
  <si>
    <t>68333-3084</t>
  </si>
  <si>
    <t>(402) 826-6800</t>
  </si>
  <si>
    <t>DUCL</t>
  </si>
  <si>
    <t>Highland Facilities Development Corporation</t>
  </si>
  <si>
    <t>(585) 275-2121</t>
  </si>
  <si>
    <t>Strong Memorial Hospital</t>
  </si>
  <si>
    <t>DUCO</t>
  </si>
  <si>
    <t>Highlands at Pittsford</t>
  </si>
  <si>
    <t>100 Hahnemann Trl</t>
  </si>
  <si>
    <t>Pittsford</t>
  </si>
  <si>
    <t>14534-2355</t>
  </si>
  <si>
    <t>(585) 586-7600</t>
  </si>
  <si>
    <t>DUCN</t>
  </si>
  <si>
    <t>Highland Living Center Inc</t>
  </si>
  <si>
    <t>500 Hahnemann Trl</t>
  </si>
  <si>
    <t>14534-2356</t>
  </si>
  <si>
    <t>(585) 383-1700</t>
  </si>
  <si>
    <t>DUCM</t>
  </si>
  <si>
    <t>Highland Hospital Foundation</t>
  </si>
  <si>
    <t>(585) 341-6726</t>
  </si>
  <si>
    <t>Foundation</t>
  </si>
  <si>
    <t>DCBM</t>
  </si>
  <si>
    <t>PAMF-Palo Alto Center</t>
  </si>
  <si>
    <t>795 El Camino Real</t>
  </si>
  <si>
    <t>Palo Alto</t>
  </si>
  <si>
    <t>(650) 321-4121</t>
  </si>
  <si>
    <t>DUDT</t>
  </si>
  <si>
    <t>SGMF Coffee Rd</t>
  </si>
  <si>
    <t>600 Coffee Rd</t>
  </si>
  <si>
    <t>95355-4201</t>
  </si>
  <si>
    <t>(209) 524-1211</t>
  </si>
  <si>
    <t>DUDV</t>
  </si>
  <si>
    <t>Mountain View Care Center</t>
  </si>
  <si>
    <t>2309 Stafford Ave</t>
  </si>
  <si>
    <t>18505-3691</t>
  </si>
  <si>
    <t>(570) 341-0050</t>
  </si>
  <si>
    <t>Alliance Healthcare</t>
  </si>
  <si>
    <t>DUEC</t>
  </si>
  <si>
    <t>Central Medical Center</t>
  </si>
  <si>
    <t>3102 E Bellevue St</t>
  </si>
  <si>
    <t>85716-3904</t>
  </si>
  <si>
    <t>DUED</t>
  </si>
  <si>
    <t>Urgent Care Medical Center</t>
  </si>
  <si>
    <t>(520) 795-8888</t>
  </si>
  <si>
    <t>DUEK</t>
  </si>
  <si>
    <t>Westside Medical Center</t>
  </si>
  <si>
    <t>1702 W St Marys Rd</t>
  </si>
  <si>
    <t>(520) 622-7675</t>
  </si>
  <si>
    <t>DUEP</t>
  </si>
  <si>
    <t>Orange Grove Pediatrics</t>
  </si>
  <si>
    <t>6060 N Fountain Plaza Dr Ste 200</t>
  </si>
  <si>
    <t>(520) 797-3888</t>
  </si>
  <si>
    <t>DUES</t>
  </si>
  <si>
    <t>Kries Siegfried MD</t>
  </si>
  <si>
    <t>5230 E Farness Dr Ste 100</t>
  </si>
  <si>
    <t>85712-2141</t>
  </si>
  <si>
    <t>DUEU</t>
  </si>
  <si>
    <t>Bohey Gary MD</t>
  </si>
  <si>
    <t>523 E Farness Dr 100</t>
  </si>
  <si>
    <t>DUEV</t>
  </si>
  <si>
    <t>Green Valley Health Care</t>
  </si>
  <si>
    <t>275 W Continental Rd</t>
  </si>
  <si>
    <t>Green Valley</t>
  </si>
  <si>
    <t>85622-3624</t>
  </si>
  <si>
    <t>(520) 625-9494</t>
  </si>
  <si>
    <t>DUEW</t>
  </si>
  <si>
    <t>Park Centre Health Center</t>
  </si>
  <si>
    <t>501 S La Posada Cir</t>
  </si>
  <si>
    <t>85614-5101</t>
  </si>
  <si>
    <t>(520) 648-8381</t>
  </si>
  <si>
    <t>JJMF</t>
  </si>
  <si>
    <t>Childrens Hospital of Wisconsin</t>
  </si>
  <si>
    <t>9000 W Wisconsin Ave</t>
  </si>
  <si>
    <t>Milwaukee</t>
  </si>
  <si>
    <t>53226-4874</t>
  </si>
  <si>
    <t>Q882</t>
  </si>
  <si>
    <t>Doylestown Hospital</t>
  </si>
  <si>
    <t>595 W State St</t>
  </si>
  <si>
    <t>Doylestown</t>
  </si>
  <si>
    <t>(215) 345-2200</t>
  </si>
  <si>
    <t>JJMH</t>
  </si>
  <si>
    <t>325 Maine St</t>
  </si>
  <si>
    <t>66044-1360</t>
  </si>
  <si>
    <t>(785) 749-6100</t>
  </si>
  <si>
    <t>V413</t>
  </si>
  <si>
    <t>UF Health Leesburg Hospital</t>
  </si>
  <si>
    <t>600 E Dixie Ave</t>
  </si>
  <si>
    <t>Leesburg</t>
  </si>
  <si>
    <t>(352) 323-5762</t>
  </si>
  <si>
    <t>UF Health Central Florida</t>
  </si>
  <si>
    <t>T096</t>
  </si>
  <si>
    <t>University Health Truman Medical Center</t>
  </si>
  <si>
    <t>2301 Holmes St</t>
  </si>
  <si>
    <t>(816) 404-1000</t>
  </si>
  <si>
    <t>University Health Truman Medical Centers</t>
  </si>
  <si>
    <t>R127</t>
  </si>
  <si>
    <t>Good Samaritan Hospital</t>
  </si>
  <si>
    <t>255 Lafayette Avenue</t>
  </si>
  <si>
    <t>Suffern</t>
  </si>
  <si>
    <t>(914) 368-5000</t>
  </si>
  <si>
    <t>Westchester Medical Center Health Network</t>
  </si>
  <si>
    <t>Bon Secours Charity Health System Inc</t>
  </si>
  <si>
    <t>JJMN</t>
  </si>
  <si>
    <t>Presence Saint Francis Hospital</t>
  </si>
  <si>
    <t>355 Ridge Ave</t>
  </si>
  <si>
    <t>60202-3328</t>
  </si>
  <si>
    <t>S754</t>
  </si>
  <si>
    <t>Monmouth Medical Center</t>
  </si>
  <si>
    <t>300 2nd Ave</t>
  </si>
  <si>
    <t>Long Branch</t>
  </si>
  <si>
    <t>(732) 222-5200</t>
  </si>
  <si>
    <t>JJMS</t>
  </si>
  <si>
    <t>Chandler Regional Medical Center</t>
  </si>
  <si>
    <t>1955 W Frye Rd</t>
  </si>
  <si>
    <t>Chandler</t>
  </si>
  <si>
    <t>85224-6282</t>
  </si>
  <si>
    <t>(480) 728-3000</t>
  </si>
  <si>
    <t>HCJK</t>
  </si>
  <si>
    <t>Onslow Memorial Hospital</t>
  </si>
  <si>
    <t>317 Western Blvd</t>
  </si>
  <si>
    <t>(910) 577-2345</t>
  </si>
  <si>
    <t>JJMW</t>
  </si>
  <si>
    <t>Saint Agnes Hospital</t>
  </si>
  <si>
    <t>900 Caton Ave</t>
  </si>
  <si>
    <t>21229-5201</t>
  </si>
  <si>
    <t>(410) 368-6000</t>
  </si>
  <si>
    <t>Diane Bruno-Markel</t>
  </si>
  <si>
    <t>dbruno@mhaprime.org</t>
  </si>
  <si>
    <t>JJNA</t>
  </si>
  <si>
    <t>CHI St Vincent Hot Springs</t>
  </si>
  <si>
    <t>300 Werner St</t>
  </si>
  <si>
    <t>Hot Springs</t>
  </si>
  <si>
    <t>71913-6406</t>
  </si>
  <si>
    <t>(501) 622-1000</t>
  </si>
  <si>
    <t>R440</t>
  </si>
  <si>
    <t>Cooper University Hospital</t>
  </si>
  <si>
    <t>1 Cooper Plaza</t>
  </si>
  <si>
    <t>(856) 342-2000</t>
  </si>
  <si>
    <t>Cooper University Health Care</t>
  </si>
  <si>
    <t>DYCZ</t>
  </si>
  <si>
    <t>St Francis Hospital</t>
  </si>
  <si>
    <t>25 Mcwilliams Pl</t>
  </si>
  <si>
    <t>(201) 714-8900</t>
  </si>
  <si>
    <t>Bon Secours/Canterbury Partnership</t>
  </si>
  <si>
    <t>JJNI</t>
  </si>
  <si>
    <t>Essentia Health St Josephs Medical Center</t>
  </si>
  <si>
    <t>523 N 3rd St</t>
  </si>
  <si>
    <t>56401-3098</t>
  </si>
  <si>
    <t>(218) 829-2861</t>
  </si>
  <si>
    <t>JAIN</t>
  </si>
  <si>
    <t>Loyola University Medical Center</t>
  </si>
  <si>
    <t>2160 S 1st Ave</t>
  </si>
  <si>
    <t>Maywood</t>
  </si>
  <si>
    <t>(708) 216-9000</t>
  </si>
  <si>
    <t>HEEZ</t>
  </si>
  <si>
    <t>Holy Family Medical Center</t>
  </si>
  <si>
    <t>100 North River Road</t>
  </si>
  <si>
    <t>Des Plaines</t>
  </si>
  <si>
    <t>(847) 297-1800</t>
  </si>
  <si>
    <t>JJOA</t>
  </si>
  <si>
    <t>Veterans Memorial Hospital</t>
  </si>
  <si>
    <t>40 1st St Se</t>
  </si>
  <si>
    <t>Waukon</t>
  </si>
  <si>
    <t>52172-2022</t>
  </si>
  <si>
    <t>(563) 568-3411</t>
  </si>
  <si>
    <t>DVJJ</t>
  </si>
  <si>
    <t>Northside/Alpharetta Medical Campus</t>
  </si>
  <si>
    <t>3400 Old Milton Pkwy</t>
  </si>
  <si>
    <t>Alpharetta</t>
  </si>
  <si>
    <t>30005-3707</t>
  </si>
  <si>
    <t>(770) 667-4010</t>
  </si>
  <si>
    <t>DVJG</t>
  </si>
  <si>
    <t>Pavilion Employee Pharmacy</t>
  </si>
  <si>
    <t>2525 W University Ave</t>
  </si>
  <si>
    <t>47303-3421</t>
  </si>
  <si>
    <t>(765) 747-8461</t>
  </si>
  <si>
    <t>DVIS</t>
  </si>
  <si>
    <t>Waukesha Pharmacy</t>
  </si>
  <si>
    <t>53188-5031</t>
  </si>
  <si>
    <t>(262) 928-2279</t>
  </si>
  <si>
    <t>DVIW</t>
  </si>
  <si>
    <t>Russo John E MD Rural Health Clinic</t>
  </si>
  <si>
    <t>711b E End Blvd S</t>
  </si>
  <si>
    <t>(903) 628-5951</t>
  </si>
  <si>
    <t>DVIX</t>
  </si>
  <si>
    <t>Bryan Plaza Pharmacy</t>
  </si>
  <si>
    <t>1500 S 48th St</t>
  </si>
  <si>
    <t>68506-1276</t>
  </si>
  <si>
    <t>(402) 481-8383</t>
  </si>
  <si>
    <t>DVIY</t>
  </si>
  <si>
    <t>West Michigan Cancer Center</t>
  </si>
  <si>
    <t>200 N Park St</t>
  </si>
  <si>
    <t>49007-3731</t>
  </si>
  <si>
    <t>(269) 382-2500</t>
  </si>
  <si>
    <t>DVJC</t>
  </si>
  <si>
    <t>Sewickley Ambulatory Care Pharmacy</t>
  </si>
  <si>
    <t>701 Broad St</t>
  </si>
  <si>
    <t>(412) 749-7329</t>
  </si>
  <si>
    <t>Q817</t>
  </si>
  <si>
    <t>Geisinger Lewistown Hospital</t>
  </si>
  <si>
    <t>400 Highland Ave</t>
  </si>
  <si>
    <t>Lewistown</t>
  </si>
  <si>
    <t>(717) 248-5411</t>
  </si>
  <si>
    <t>JJOP</t>
  </si>
  <si>
    <t>Memorial Health System - Marietta Memorial Hospital</t>
  </si>
  <si>
    <t>401 Matthew St</t>
  </si>
  <si>
    <t>45750-1635</t>
  </si>
  <si>
    <t>(740) 374-1400</t>
  </si>
  <si>
    <t>JALX</t>
  </si>
  <si>
    <t>Emory University Hospital Midtown</t>
  </si>
  <si>
    <t>550 Peachtree St Ne</t>
  </si>
  <si>
    <t>(404) 686-4411</t>
  </si>
  <si>
    <t>V311</t>
  </si>
  <si>
    <t>ThedaCare Regional Medical Center-Appleton</t>
  </si>
  <si>
    <t>1818 N Meade St</t>
  </si>
  <si>
    <t>Appleton</t>
  </si>
  <si>
    <t>54911-3496</t>
  </si>
  <si>
    <t>(920) 731-4101</t>
  </si>
  <si>
    <t>W024</t>
  </si>
  <si>
    <t>Carolinas Medical Center - NorthEast</t>
  </si>
  <si>
    <t>920 Church St N</t>
  </si>
  <si>
    <t>(704) 783-3000</t>
  </si>
  <si>
    <t>JJOY</t>
  </si>
  <si>
    <t>Norwegian American Hospital</t>
  </si>
  <si>
    <t>1044 N Francisco Ave</t>
  </si>
  <si>
    <t>60622-2743</t>
  </si>
  <si>
    <t>JJPE</t>
  </si>
  <si>
    <t>Southeast Georgia Health System</t>
  </si>
  <si>
    <t>2415 Parkwood Dr</t>
  </si>
  <si>
    <t>Brunswick</t>
  </si>
  <si>
    <t>31520-4722</t>
  </si>
  <si>
    <t>(912) 466-7000</t>
  </si>
  <si>
    <t>Coastal Community Health</t>
  </si>
  <si>
    <t>Excelerate - HVI &amp; Surgical</t>
  </si>
  <si>
    <t>JJPF</t>
  </si>
  <si>
    <t>4605 Maccorkle Ave Sw</t>
  </si>
  <si>
    <t>South Charleston</t>
  </si>
  <si>
    <t>25309-1311</t>
  </si>
  <si>
    <t>JJPO</t>
  </si>
  <si>
    <t>Ochsner Medical Center - Westbank</t>
  </si>
  <si>
    <t>2500 Belle Chasse Hwy</t>
  </si>
  <si>
    <t>Gretna</t>
  </si>
  <si>
    <t>(504) 392-3131</t>
  </si>
  <si>
    <t>JJPT</t>
  </si>
  <si>
    <t>South Shore University Hospital</t>
  </si>
  <si>
    <t>301 E Main St</t>
  </si>
  <si>
    <t>Bay Shore</t>
  </si>
  <si>
    <t>11706-8458</t>
  </si>
  <si>
    <t>(631) 968-3000</t>
  </si>
  <si>
    <t>JJPU</t>
  </si>
  <si>
    <t>University Health Resources Inc</t>
  </si>
  <si>
    <t>1350 Walton Way</t>
  </si>
  <si>
    <t>Augusta</t>
  </si>
  <si>
    <t>30901-2629</t>
  </si>
  <si>
    <t>(706) 774-2719</t>
  </si>
  <si>
    <t>Piedmont Augusta Hospital</t>
  </si>
  <si>
    <t>DWFX</t>
  </si>
  <si>
    <t>(860) 344-6000</t>
  </si>
  <si>
    <t>T779</t>
  </si>
  <si>
    <t>Ochsner Abrom Kaplan Memorial Hospital</t>
  </si>
  <si>
    <t>1310 West Seventh Street</t>
  </si>
  <si>
    <t>Kaplan</t>
  </si>
  <si>
    <t>(318) 643-8300</t>
  </si>
  <si>
    <t>Ochsner Lafayette General Medical Center</t>
  </si>
  <si>
    <t>DWGE</t>
  </si>
  <si>
    <t>BSW Pediatric Center</t>
  </si>
  <si>
    <t>9101 N Central Expy Ste 420</t>
  </si>
  <si>
    <t>75231-5945</t>
  </si>
  <si>
    <t>(972) 860-8600</t>
  </si>
  <si>
    <t>Baylor Scott &amp; White Health</t>
  </si>
  <si>
    <t>HealthTexas Provider Network (Corporate)</t>
  </si>
  <si>
    <t>DQYQ</t>
  </si>
  <si>
    <t>Middlesex Surgical Center</t>
  </si>
  <si>
    <t>530 Saybrook Rd</t>
  </si>
  <si>
    <t>(860) 346-2608</t>
  </si>
  <si>
    <t>DWGV</t>
  </si>
  <si>
    <t>Middlesex Visiting Nursing &amp; Home Health Svc</t>
  </si>
  <si>
    <t>1 Broad St</t>
  </si>
  <si>
    <t>(860) 704-5600</t>
  </si>
  <si>
    <t>DWGW</t>
  </si>
  <si>
    <t>Meridian Medical Group</t>
  </si>
  <si>
    <t>(814) 534-3171</t>
  </si>
  <si>
    <t>DWHB</t>
  </si>
  <si>
    <t>Associated Hospital Services Inc</t>
  </si>
  <si>
    <t>7639 Townsend Pl</t>
  </si>
  <si>
    <t>70126-1111</t>
  </si>
  <si>
    <t>(504) 242-6254</t>
  </si>
  <si>
    <t>Ship To Locations</t>
  </si>
  <si>
    <t>DWHE</t>
  </si>
  <si>
    <t>Progressive Care Center</t>
  </si>
  <si>
    <t>2715 Albert L Bicknell Dr</t>
  </si>
  <si>
    <t>71103-3925</t>
  </si>
  <si>
    <t>(318) 212-8200</t>
  </si>
  <si>
    <t>DWEU</t>
  </si>
  <si>
    <t>Bolivar Medical Center</t>
  </si>
  <si>
    <t>2nd And Mckinley St</t>
  </si>
  <si>
    <t>DWEV</t>
  </si>
  <si>
    <t>Ebandjieff Medical Center</t>
  </si>
  <si>
    <t>1060 Lloyd St</t>
  </si>
  <si>
    <t>Nanty Glo</t>
  </si>
  <si>
    <t>15943-1232</t>
  </si>
  <si>
    <t>DWEW</t>
  </si>
  <si>
    <t>Lilly Medical Center</t>
  </si>
  <si>
    <t>520 Church St</t>
  </si>
  <si>
    <t>Lilly</t>
  </si>
  <si>
    <t>15938-1118</t>
  </si>
  <si>
    <t>DWEX</t>
  </si>
  <si>
    <t>Portage Medical Center</t>
  </si>
  <si>
    <t>813 Jefferson Ave</t>
  </si>
  <si>
    <t>Portage</t>
  </si>
  <si>
    <t>15946-1706</t>
  </si>
  <si>
    <t>(814) 736-9692</t>
  </si>
  <si>
    <t>DWEY</t>
  </si>
  <si>
    <t>Richland Medical Center</t>
  </si>
  <si>
    <t>Hills Plaza 1523 Scalp Ave</t>
  </si>
  <si>
    <t>(814) 266-6256</t>
  </si>
  <si>
    <t>DWEZ</t>
  </si>
  <si>
    <t>969 Eisenhower Boulevard</t>
  </si>
  <si>
    <t>Oak Ridge East</t>
  </si>
  <si>
    <t>(814) 262-0520</t>
  </si>
  <si>
    <t>DWFA</t>
  </si>
  <si>
    <t>Bedford Medical Center</t>
  </si>
  <si>
    <t>Box 357</t>
  </si>
  <si>
    <t>New Paris</t>
  </si>
  <si>
    <t>(814) 839-4108</t>
  </si>
  <si>
    <t>DWFB</t>
  </si>
  <si>
    <t>Confluence Medical Center</t>
  </si>
  <si>
    <t>710 Oden St</t>
  </si>
  <si>
    <t>Confluence</t>
  </si>
  <si>
    <t>15424-1036</t>
  </si>
  <si>
    <t>(814) 395-5420</t>
  </si>
  <si>
    <t>DWFC</t>
  </si>
  <si>
    <t>South Fork Medical Center</t>
  </si>
  <si>
    <t>501 Maple St</t>
  </si>
  <si>
    <t>South Fork</t>
  </si>
  <si>
    <t>15956-1241</t>
  </si>
  <si>
    <t>DWFD</t>
  </si>
  <si>
    <t>Berkley West Hills Medical Center</t>
  </si>
  <si>
    <t>318 Goucher St</t>
  </si>
  <si>
    <t>15905-3423</t>
  </si>
  <si>
    <t>DWFE</t>
  </si>
  <si>
    <t>Towers Medical Center</t>
  </si>
  <si>
    <t>527 Vine St</t>
  </si>
  <si>
    <t>Fulton I Connor Towers</t>
  </si>
  <si>
    <t>15901-2034</t>
  </si>
  <si>
    <t>(814) 535-1545</t>
  </si>
  <si>
    <t>DWFF</t>
  </si>
  <si>
    <t>Vinco Medical Center</t>
  </si>
  <si>
    <t>2766 William Penn Ave</t>
  </si>
  <si>
    <t>15909-1031</t>
  </si>
  <si>
    <t>(814) 322-1519</t>
  </si>
  <si>
    <t>DWFG</t>
  </si>
  <si>
    <t>Meyersdale Family Health Care</t>
  </si>
  <si>
    <t>200 Beachley St</t>
  </si>
  <si>
    <t>(814) 635-5935</t>
  </si>
  <si>
    <t>DWFH</t>
  </si>
  <si>
    <t>124 Miller St</t>
  </si>
  <si>
    <t>Grantsville</t>
  </si>
  <si>
    <t>21536-1383</t>
  </si>
  <si>
    <t>(301) 895-5197</t>
  </si>
  <si>
    <t>DWFI</t>
  </si>
  <si>
    <t>131 Ord St</t>
  </si>
  <si>
    <t>Salisbury</t>
  </si>
  <si>
    <t>(814) 662-2621</t>
  </si>
  <si>
    <t>DWFJ</t>
  </si>
  <si>
    <t>Ebensburg Family Practice</t>
  </si>
  <si>
    <t>1100 W High St</t>
  </si>
  <si>
    <t>Ebensburg</t>
  </si>
  <si>
    <t>15931-1706</t>
  </si>
  <si>
    <t>(814) 472-7933</t>
  </si>
  <si>
    <t>DWFK</t>
  </si>
  <si>
    <t>Richland Family Health Care</t>
  </si>
  <si>
    <t>338 Bloomfield St</t>
  </si>
  <si>
    <t>15904-3272</t>
  </si>
  <si>
    <t>(814) 266-8393</t>
  </si>
  <si>
    <t>JJQI</t>
  </si>
  <si>
    <t>Weirton Medical Center</t>
  </si>
  <si>
    <t>601 Colliers Way</t>
  </si>
  <si>
    <t>Weirton</t>
  </si>
  <si>
    <t>26062-5014</t>
  </si>
  <si>
    <t>Matt Archer</t>
  </si>
  <si>
    <t>marcher@wvha.org</t>
  </si>
  <si>
    <t>JJQM</t>
  </si>
  <si>
    <t>The University of Texas MD Anderson Cancer Center</t>
  </si>
  <si>
    <t>1515 Holcombe Blvd</t>
  </si>
  <si>
    <t>77030-4000</t>
  </si>
  <si>
    <t>(713) 745-8300</t>
  </si>
  <si>
    <t>University of Texas System</t>
  </si>
  <si>
    <t>Cancer Hospital</t>
  </si>
  <si>
    <t>HEZV</t>
  </si>
  <si>
    <t>Holy Cross Hospital MRI Center</t>
  </si>
  <si>
    <t>2701 W 68th St</t>
  </si>
  <si>
    <t>(773) 918-6477</t>
  </si>
  <si>
    <t>Mount Sinai Hospital Medical Center</t>
  </si>
  <si>
    <t>Holy Cross Hospital</t>
  </si>
  <si>
    <t>Q462</t>
  </si>
  <si>
    <t>Mary Rutan Hospital</t>
  </si>
  <si>
    <t>205 E Palmer Rd</t>
  </si>
  <si>
    <t>Bellefontaine</t>
  </si>
  <si>
    <t>43311-2281</t>
  </si>
  <si>
    <t>(937) 592-4015</t>
  </si>
  <si>
    <t>The Ohio State University Health System</t>
  </si>
  <si>
    <t>Scott Madsen</t>
  </si>
  <si>
    <t>scott.madsen@vizientinc.com</t>
  </si>
  <si>
    <t>Ohio State Health Network</t>
  </si>
  <si>
    <t>JJQQ</t>
  </si>
  <si>
    <t>Rady Childrens Hospital-San Diego</t>
  </si>
  <si>
    <t>3020 Childrens Way</t>
  </si>
  <si>
    <t>92123-4223</t>
  </si>
  <si>
    <t>(858) 966-1700</t>
  </si>
  <si>
    <t>Scott LeBel</t>
  </si>
  <si>
    <t>scott.lebel@vizientinc.com</t>
  </si>
  <si>
    <t>DXXI</t>
  </si>
  <si>
    <t>Allina Health Ramsey Clinic</t>
  </si>
  <si>
    <t>7231 Sunwood Dr Nw Ste A</t>
  </si>
  <si>
    <t>Ramsey</t>
  </si>
  <si>
    <t>55303-5190</t>
  </si>
  <si>
    <t>(612) 427-7180</t>
  </si>
  <si>
    <t>HFOE</t>
  </si>
  <si>
    <t>MedStar St Mary's Hospital</t>
  </si>
  <si>
    <t>25500 Point Lookout Rd</t>
  </si>
  <si>
    <t>Leonardtown</t>
  </si>
  <si>
    <t>(301) 475-8981</t>
  </si>
  <si>
    <t>HCGW</t>
  </si>
  <si>
    <t>Catawba Valley Medical Center</t>
  </si>
  <si>
    <t>810 Fairgrove Church Rd Se</t>
  </si>
  <si>
    <t>Hickory</t>
  </si>
  <si>
    <t>(828) 326-3582</t>
  </si>
  <si>
    <t>S747</t>
  </si>
  <si>
    <t>HackensackUMC Mountainside</t>
  </si>
  <si>
    <t>1 Bay Ave</t>
  </si>
  <si>
    <t>Montclair</t>
  </si>
  <si>
    <t>(973) 429-6000</t>
  </si>
  <si>
    <t>T697</t>
  </si>
  <si>
    <t>West Calcasieu Cameron Hospital</t>
  </si>
  <si>
    <t>701 Cypress St</t>
  </si>
  <si>
    <t>Sulphur</t>
  </si>
  <si>
    <t>70663-5053</t>
  </si>
  <si>
    <t>(337) 527-7034</t>
  </si>
  <si>
    <t>DWMN</t>
  </si>
  <si>
    <t>56303-1900</t>
  </si>
  <si>
    <t>Q687</t>
  </si>
  <si>
    <t>Indiana University Health Bedford Hospital</t>
  </si>
  <si>
    <t>2900 W 16th St</t>
  </si>
  <si>
    <t>Bedford</t>
  </si>
  <si>
    <t>47421-3510</t>
  </si>
  <si>
    <t>(812) 275-1200</t>
  </si>
  <si>
    <t>V323</t>
  </si>
  <si>
    <t>Sanford Medical Center Westbrook</t>
  </si>
  <si>
    <t>920 Bell Ave</t>
  </si>
  <si>
    <t>Westbrook</t>
  </si>
  <si>
    <t>56183-9669</t>
  </si>
  <si>
    <t>(507) 274-6121</t>
  </si>
  <si>
    <t>U483</t>
  </si>
  <si>
    <t>Childrens Minnesota - St Paul</t>
  </si>
  <si>
    <t>345 N Smith Ave</t>
  </si>
  <si>
    <t>55102-2346</t>
  </si>
  <si>
    <t>(612) 220-6000</t>
  </si>
  <si>
    <t>DUEY</t>
  </si>
  <si>
    <t>Visionary Enterprises Inc</t>
  </si>
  <si>
    <t>7330 Shadeland Station</t>
  </si>
  <si>
    <t>46256-3957</t>
  </si>
  <si>
    <t>(317) 621-7400</t>
  </si>
  <si>
    <t>DLJO</t>
  </si>
  <si>
    <t>VEI - Community Surgery Center North</t>
  </si>
  <si>
    <t>8040 Clearvista Pkwy Ste 150</t>
  </si>
  <si>
    <t>46256-4673</t>
  </si>
  <si>
    <t>(317) 621-2000</t>
  </si>
  <si>
    <t>DWMV</t>
  </si>
  <si>
    <t>VEI - Community Surgery Center South</t>
  </si>
  <si>
    <t>1550 E County Line Rd Ste 100</t>
  </si>
  <si>
    <t>46227-7217</t>
  </si>
  <si>
    <t>(317) 887-7072</t>
  </si>
  <si>
    <t>JJRF</t>
  </si>
  <si>
    <t>Saint Ritas Medical Center</t>
  </si>
  <si>
    <t>730 W Market St</t>
  </si>
  <si>
    <t>45801-4602</t>
  </si>
  <si>
    <t>JJRH</t>
  </si>
  <si>
    <t>Camden-Clark Medical Center - Memorial Campus</t>
  </si>
  <si>
    <t>800 Garfield Ave</t>
  </si>
  <si>
    <t>Parkersburg</t>
  </si>
  <si>
    <t>26101-5340</t>
  </si>
  <si>
    <t>JJRL</t>
  </si>
  <si>
    <t>Oak Forest Health Center</t>
  </si>
  <si>
    <t>15900 S Cicero Ave</t>
  </si>
  <si>
    <t>Oak Forest</t>
  </si>
  <si>
    <t>(708) 345-8100</t>
  </si>
  <si>
    <t>Cook County Health</t>
  </si>
  <si>
    <t>JJRN</t>
  </si>
  <si>
    <t>St Catherine Hospital</t>
  </si>
  <si>
    <t>4321 Fir St</t>
  </si>
  <si>
    <t>A/m/ Of Community Foundation Of Nw In</t>
  </si>
  <si>
    <t>East Chicago</t>
  </si>
  <si>
    <t>(219) 392-1700</t>
  </si>
  <si>
    <t>Community Foundation of Northwest Indiana Inc</t>
  </si>
  <si>
    <t>T811</t>
  </si>
  <si>
    <t>St Tammany Health System</t>
  </si>
  <si>
    <t>1202 S Tyler St</t>
  </si>
  <si>
    <t>70433-2330</t>
  </si>
  <si>
    <t>(985) 898-4000</t>
  </si>
  <si>
    <t>DXCE</t>
  </si>
  <si>
    <t>Sutter Maternity and Surgery Center of Santa Cruz</t>
  </si>
  <si>
    <t>2900 Chanticleer Ave</t>
  </si>
  <si>
    <t>Santa Cruz</t>
  </si>
  <si>
    <t>95065-1816</t>
  </si>
  <si>
    <t>(831) 477-2200</t>
  </si>
  <si>
    <t>P677</t>
  </si>
  <si>
    <t>Emanate Health Foothill Presbyterian Hospital</t>
  </si>
  <si>
    <t>250 S Grand Ave</t>
  </si>
  <si>
    <t>91741-4218</t>
  </si>
  <si>
    <t>(626) 963-8411</t>
  </si>
  <si>
    <t>P989</t>
  </si>
  <si>
    <t>Santa Ynez Valley Hospital</t>
  </si>
  <si>
    <t>2050 Viborg Rd</t>
  </si>
  <si>
    <t>Solvang</t>
  </si>
  <si>
    <t>93463-2220</t>
  </si>
  <si>
    <t>(805) 688-6431</t>
  </si>
  <si>
    <t>DXKL</t>
  </si>
  <si>
    <t>Spaulding Rehabilitation Hospital Cape Cod</t>
  </si>
  <si>
    <t>311 Service Rd</t>
  </si>
  <si>
    <t>East Sandwich</t>
  </si>
  <si>
    <t>(508) 833-4000</t>
  </si>
  <si>
    <t>DXCG</t>
  </si>
  <si>
    <t>Covenant HomeCare Home Health</t>
  </si>
  <si>
    <t>3001 Lake Brook Blvd Ste 102</t>
  </si>
  <si>
    <t>(865) 374-0850</t>
  </si>
  <si>
    <t>DXCI</t>
  </si>
  <si>
    <t>Baptist MRI</t>
  </si>
  <si>
    <t>(501) 225-3750</t>
  </si>
  <si>
    <t>DXCJ</t>
  </si>
  <si>
    <t>Medical Laboratories of Arkansas</t>
  </si>
  <si>
    <t>9601 Lile Dr Ste 108</t>
  </si>
  <si>
    <t>(501) 202-6522</t>
  </si>
  <si>
    <t>X917</t>
  </si>
  <si>
    <t>Corewell Health Farmington Hills Hospital</t>
  </si>
  <si>
    <t>28050 Grand River Avenue</t>
  </si>
  <si>
    <t>Farmington Hills</t>
  </si>
  <si>
    <t>(248) 471-8000</t>
  </si>
  <si>
    <t>Q540</t>
  </si>
  <si>
    <t>Good Samaritan Hospital-OH</t>
  </si>
  <si>
    <t>2222 Philadelphia Dr</t>
  </si>
  <si>
    <t>45406-1891</t>
  </si>
  <si>
    <t>(937) 278-2612</t>
  </si>
  <si>
    <t>JJRY</t>
  </si>
  <si>
    <t>Arkansas Childrens System</t>
  </si>
  <si>
    <t>1 Childrens Way</t>
  </si>
  <si>
    <t>72202-3500</t>
  </si>
  <si>
    <t>(501) 364-1100</t>
  </si>
  <si>
    <t>DXIC</t>
  </si>
  <si>
    <t>43604-1516</t>
  </si>
  <si>
    <t>(419) 291-7183</t>
  </si>
  <si>
    <t>DWOA</t>
  </si>
  <si>
    <t>(419) 526-8588</t>
  </si>
  <si>
    <t>Q641</t>
  </si>
  <si>
    <t>ProMedica Flower Hospital</t>
  </si>
  <si>
    <t>5200 Harroun Rd</t>
  </si>
  <si>
    <t>Sylvania</t>
  </si>
  <si>
    <t>43560-2168</t>
  </si>
  <si>
    <t>(419) 824-1444</t>
  </si>
  <si>
    <t>S388</t>
  </si>
  <si>
    <t>Mass General Brigham - Salem Hospital</t>
  </si>
  <si>
    <t>500 Lynnfield St</t>
  </si>
  <si>
    <t>Lynn</t>
  </si>
  <si>
    <t>(781) 581-9200</t>
  </si>
  <si>
    <t>The North Shore Medical Center Inc</t>
  </si>
  <si>
    <t>ECOF</t>
  </si>
  <si>
    <t>Sewickley Valley Healthcare Services</t>
  </si>
  <si>
    <t>DXHN</t>
  </si>
  <si>
    <t>Mentor Surgery Center Ltd</t>
  </si>
  <si>
    <t>9485 Mentor Ave Ste 1</t>
  </si>
  <si>
    <t>Mentor</t>
  </si>
  <si>
    <t>44060-8711</t>
  </si>
  <si>
    <t>(440) 205-5474</t>
  </si>
  <si>
    <t>Allyson Freeman</t>
  </si>
  <si>
    <t>allyson.freeman@provista.com</t>
  </si>
  <si>
    <t>DXIA</t>
  </si>
  <si>
    <t>Saint Paul Medical Clinic</t>
  </si>
  <si>
    <t>200 Carroll St</t>
  </si>
  <si>
    <t>66771-4044</t>
  </si>
  <si>
    <t>(316) 449-2582</t>
  </si>
  <si>
    <t>DXIB</t>
  </si>
  <si>
    <t>405 N Section St</t>
  </si>
  <si>
    <t>V987</t>
  </si>
  <si>
    <t>High Point Regional Health System</t>
  </si>
  <si>
    <t>601 N Elm St</t>
  </si>
  <si>
    <t>High Point</t>
  </si>
  <si>
    <t>27262-4398</t>
  </si>
  <si>
    <t>(336) 878-6000</t>
  </si>
  <si>
    <t>Wake Forest University Baptist Med Center</t>
  </si>
  <si>
    <t>Jody Fleming</t>
  </si>
  <si>
    <t>jfleming@ncha.org</t>
  </si>
  <si>
    <t>Southern Atlantic Healthcare Alliance</t>
  </si>
  <si>
    <t>W088</t>
  </si>
  <si>
    <t>Cone Health Womens and Childrens Center at Moses Cone Hospital</t>
  </si>
  <si>
    <t>1121 N Church St Entrance C</t>
  </si>
  <si>
    <t>(336) 832-6500</t>
  </si>
  <si>
    <t>JJSC</t>
  </si>
  <si>
    <t>300 56th St Se</t>
  </si>
  <si>
    <t>25304-2308</t>
  </si>
  <si>
    <t>Q921</t>
  </si>
  <si>
    <t>801 Ostrum St</t>
  </si>
  <si>
    <t>(610) 954-4000</t>
  </si>
  <si>
    <t>DXKB</t>
  </si>
  <si>
    <t>UPMC Altoona</t>
  </si>
  <si>
    <t>620 Howard Ave</t>
  </si>
  <si>
    <t>Altoona</t>
  </si>
  <si>
    <t>16601-4804</t>
  </si>
  <si>
    <t>(814) 946-2011</t>
  </si>
  <si>
    <t>DXKC</t>
  </si>
  <si>
    <t>(724) 773-2026</t>
  </si>
  <si>
    <t>DXKD</t>
  </si>
  <si>
    <t>64804-3599</t>
  </si>
  <si>
    <t>(417) 347-1111</t>
  </si>
  <si>
    <t>P977</t>
  </si>
  <si>
    <t>Sutter Santa Rosa Regional Hospital</t>
  </si>
  <si>
    <t>30 Mark West Springs Rd</t>
  </si>
  <si>
    <t>Santa Rosa</t>
  </si>
  <si>
    <t>95403-1436</t>
  </si>
  <si>
    <t>(707) 576-4000</t>
  </si>
  <si>
    <t>T113</t>
  </si>
  <si>
    <t>Freeman East Campus</t>
  </si>
  <si>
    <t>932 E 34th St</t>
  </si>
  <si>
    <t>64804-3932</t>
  </si>
  <si>
    <t>(417) 623-4640</t>
  </si>
  <si>
    <t>DXKF</t>
  </si>
  <si>
    <t>Fellowship Village</t>
  </si>
  <si>
    <t>300 E Jefferson St</t>
  </si>
  <si>
    <t>Inwood</t>
  </si>
  <si>
    <t>51240-7766</t>
  </si>
  <si>
    <t>(712) 753-4663</t>
  </si>
  <si>
    <t>DXKG</t>
  </si>
  <si>
    <t>High Point Surgery Center</t>
  </si>
  <si>
    <t>600 N Lindsay St</t>
  </si>
  <si>
    <t>27262-4306</t>
  </si>
  <si>
    <t>(336) 878-6702</t>
  </si>
  <si>
    <t>HDCC</t>
  </si>
  <si>
    <t>San Antonio Regional Hospital</t>
  </si>
  <si>
    <t>999 San Bernardino Rd</t>
  </si>
  <si>
    <t>Upland</t>
  </si>
  <si>
    <t>(909) 920-4705</t>
  </si>
  <si>
    <t>JJSL</t>
  </si>
  <si>
    <t>Bronson Battle Creek Hospital</t>
  </si>
  <si>
    <t>300 North Ave</t>
  </si>
  <si>
    <t>Battle Creek</t>
  </si>
  <si>
    <t>49017-3307</t>
  </si>
  <si>
    <t>(269) 341-7647</t>
  </si>
  <si>
    <t>JAXE</t>
  </si>
  <si>
    <t>Capital Region Medical Center</t>
  </si>
  <si>
    <t>1125 Madison St</t>
  </si>
  <si>
    <t>Po Box 1128</t>
  </si>
  <si>
    <t>Jefferson City</t>
  </si>
  <si>
    <t>(573) 635-7141</t>
  </si>
  <si>
    <t>University of Missouri Health Care</t>
  </si>
  <si>
    <t>The Health Network of Missouri</t>
  </si>
  <si>
    <t>U320</t>
  </si>
  <si>
    <t>Providence Hood River Memorial Hospital</t>
  </si>
  <si>
    <t>810 12th St</t>
  </si>
  <si>
    <t>Hood River</t>
  </si>
  <si>
    <t>97031-1204</t>
  </si>
  <si>
    <t>(541) 386-3911</t>
  </si>
  <si>
    <t>V888</t>
  </si>
  <si>
    <t>Bon Secours - St Francis Xavier Hospital</t>
  </si>
  <si>
    <t>2095 Henry Tecklenburg Dr</t>
  </si>
  <si>
    <t>(843) 402-1000</t>
  </si>
  <si>
    <t>JJSX</t>
  </si>
  <si>
    <t>Valley General Hospital</t>
  </si>
  <si>
    <t>14701 179th Ave Se</t>
  </si>
  <si>
    <t>98272-1108</t>
  </si>
  <si>
    <t>JJTE</t>
  </si>
  <si>
    <t>North Memorial Health Care</t>
  </si>
  <si>
    <t>3300 Oakdale Ave N</t>
  </si>
  <si>
    <t>Robbinsdale</t>
  </si>
  <si>
    <t>55422-2900</t>
  </si>
  <si>
    <t>(763) 520-5200</t>
  </si>
  <si>
    <t>Q803</t>
  </si>
  <si>
    <t>Indiana University Health Tipton Hospital</t>
  </si>
  <si>
    <t>1000 S Main St</t>
  </si>
  <si>
    <t>Tipton</t>
  </si>
  <si>
    <t>46072-9753</t>
  </si>
  <si>
    <t>(765) 675-8500</t>
  </si>
  <si>
    <t>Q750</t>
  </si>
  <si>
    <t>Community Howard Regional Health</t>
  </si>
  <si>
    <t>3500 S Lafountain St</t>
  </si>
  <si>
    <t>Kokomo</t>
  </si>
  <si>
    <t>46902-3803</t>
  </si>
  <si>
    <t>(765) 453-0702</t>
  </si>
  <si>
    <t>DVPA</t>
  </si>
  <si>
    <t>Omaha Surgical Center</t>
  </si>
  <si>
    <t>8051 W Center Rd</t>
  </si>
  <si>
    <t>(402) 391-3333</t>
  </si>
  <si>
    <t>HBKN</t>
  </si>
  <si>
    <t>Good Samaritan Medical Center</t>
  </si>
  <si>
    <t>235 N Pearl St</t>
  </si>
  <si>
    <t>(508) 427-3000</t>
  </si>
  <si>
    <t>Boston Medical Center</t>
  </si>
  <si>
    <t>S548</t>
  </si>
  <si>
    <t>Sentara Williamsburg Regional Medical Center</t>
  </si>
  <si>
    <t>100 Sentara Cir</t>
  </si>
  <si>
    <t>Williamsburg</t>
  </si>
  <si>
    <t>23188-5713</t>
  </si>
  <si>
    <t>(757) 984-6000</t>
  </si>
  <si>
    <t>DXRG</t>
  </si>
  <si>
    <t>Montrose Diagnostics</t>
  </si>
  <si>
    <t>4125 Medina Rd</t>
  </si>
  <si>
    <t>Oncology/Radiation Center</t>
  </si>
  <si>
    <t>DXQZ</t>
  </si>
  <si>
    <t>Akron Surgical Associates LLC</t>
  </si>
  <si>
    <t>4125 Medina Rd Ste 104</t>
  </si>
  <si>
    <t>44333-4514</t>
  </si>
  <si>
    <t>(330) 344-6075</t>
  </si>
  <si>
    <t>V779</t>
  </si>
  <si>
    <t>Clara Barton Hospital</t>
  </si>
  <si>
    <t>250 W 9th St</t>
  </si>
  <si>
    <t>Hoisington</t>
  </si>
  <si>
    <t>67544-1706</t>
  </si>
  <si>
    <t>(620) 653-2114</t>
  </si>
  <si>
    <t>S157</t>
  </si>
  <si>
    <t>Endeavor Health - Northwest Community Hospital</t>
  </si>
  <si>
    <t>800 W Central Rd</t>
  </si>
  <si>
    <t>Arlington Heights</t>
  </si>
  <si>
    <t>60005-2349</t>
  </si>
  <si>
    <t>(847) 618-1000</t>
  </si>
  <si>
    <t>Endeavor Health - Northwest Community Healthcare</t>
  </si>
  <si>
    <t>DXPX</t>
  </si>
  <si>
    <t>Tuality at Tanasbourne</t>
  </si>
  <si>
    <t>1881 Nw 185th Ave Ste 207</t>
  </si>
  <si>
    <t>Aloha</t>
  </si>
  <si>
    <t>97006-6823</t>
  </si>
  <si>
    <t>(503) 690-8195</t>
  </si>
  <si>
    <t>DXPY</t>
  </si>
  <si>
    <t>Tuality Family Practice</t>
  </si>
  <si>
    <t>364 Se 8th Ave Ste 300</t>
  </si>
  <si>
    <t>97123-4253</t>
  </si>
  <si>
    <t>DXPZ</t>
  </si>
  <si>
    <t>Tuality Internal Medicine</t>
  </si>
  <si>
    <t>364 Se 8th Ave Ste 200</t>
  </si>
  <si>
    <t>97123-4249</t>
  </si>
  <si>
    <t>DXQC</t>
  </si>
  <si>
    <t>High Point Regional Hospital Clinic Pharmacy</t>
  </si>
  <si>
    <t>624 Quaker Ln Ste 100c</t>
  </si>
  <si>
    <t>27262-3832</t>
  </si>
  <si>
    <t>(336) 878-6033</t>
  </si>
  <si>
    <t>DXQF</t>
  </si>
  <si>
    <t>Advanced Home Care</t>
  </si>
  <si>
    <t>4001 Piedmont Pkwy</t>
  </si>
  <si>
    <t>27265-9402</t>
  </si>
  <si>
    <t>(336) 878-8822</t>
  </si>
  <si>
    <t>Visiting Nurse Associations of America</t>
  </si>
  <si>
    <t>DXQJ</t>
  </si>
  <si>
    <t>North Hills Dialysis Center</t>
  </si>
  <si>
    <t>107 E Monte Painter Dr</t>
  </si>
  <si>
    <t>72703-4002</t>
  </si>
  <si>
    <t>(479) 463-7000</t>
  </si>
  <si>
    <t>DXQT</t>
  </si>
  <si>
    <t>Hospice Care of Rhode Island</t>
  </si>
  <si>
    <t>(401) 727-7070</t>
  </si>
  <si>
    <t>DXQV</t>
  </si>
  <si>
    <t>VNA Support Services</t>
  </si>
  <si>
    <t>67 Cedar St</t>
  </si>
  <si>
    <t>T445</t>
  </si>
  <si>
    <t>Sanford Medical Center Webster</t>
  </si>
  <si>
    <t>1401 W 1st St</t>
  </si>
  <si>
    <t>Webster</t>
  </si>
  <si>
    <t>57274-1054</t>
  </si>
  <si>
    <t>(605) 345-3336</t>
  </si>
  <si>
    <t>P816</t>
  </si>
  <si>
    <t>Adventist Health White Memorial Montebello</t>
  </si>
  <si>
    <t>309 W Beverly Blvd</t>
  </si>
  <si>
    <t>Montebello</t>
  </si>
  <si>
    <t>(323) 725-4257</t>
  </si>
  <si>
    <t>DXVU</t>
  </si>
  <si>
    <t>Allina Health Champlin Clinic</t>
  </si>
  <si>
    <t>11269 Jefferson Hwy N</t>
  </si>
  <si>
    <t>Champlin</t>
  </si>
  <si>
    <t>55316-3123</t>
  </si>
  <si>
    <t>(612) 427-9620</t>
  </si>
  <si>
    <t>DXVV</t>
  </si>
  <si>
    <t>Allina Health Cokato Clinic</t>
  </si>
  <si>
    <t>110 Olsen Blvd Ne</t>
  </si>
  <si>
    <t>Cokato</t>
  </si>
  <si>
    <t>55321-4359</t>
  </si>
  <si>
    <t>(320) 286-2123</t>
  </si>
  <si>
    <t>DXVX</t>
  </si>
  <si>
    <t>Allina Health Mercy Womens Health Clinic</t>
  </si>
  <si>
    <t>3960 Coon Rapids Blvd Nw Ste 101</t>
  </si>
  <si>
    <t>55433-2521</t>
  </si>
  <si>
    <t>(612) 427-9150</t>
  </si>
  <si>
    <t>DXWA</t>
  </si>
  <si>
    <t>Allina Health Eagan Womens Health Clinic</t>
  </si>
  <si>
    <t>2805 Dodd Rd Ste 100</t>
  </si>
  <si>
    <t>Eagan</t>
  </si>
  <si>
    <t>55121-2160</t>
  </si>
  <si>
    <t>(651) 454-3970</t>
  </si>
  <si>
    <t>DXWC</t>
  </si>
  <si>
    <t>Allina Health Edina Clinic</t>
  </si>
  <si>
    <t>7500 France Ave S</t>
  </si>
  <si>
    <t>(612) 863-1017</t>
  </si>
  <si>
    <t>DTLH</t>
  </si>
  <si>
    <t>Allina Health Faribault Clinic</t>
  </si>
  <si>
    <t>100 State Ave</t>
  </si>
  <si>
    <t>55021-6337</t>
  </si>
  <si>
    <t>(507) 334-3921</t>
  </si>
  <si>
    <t>DXWE</t>
  </si>
  <si>
    <t>Allina Health Farmington Clinic</t>
  </si>
  <si>
    <t>21260 Chippendale Ave W</t>
  </si>
  <si>
    <t>55024-1427</t>
  </si>
  <si>
    <t>(651) 463-7181</t>
  </si>
  <si>
    <t>DXWG</t>
  </si>
  <si>
    <t>Allina Health Fridley Clinic</t>
  </si>
  <si>
    <t>500 Osborne Rd Ne Ste 255</t>
  </si>
  <si>
    <t>55432-2768</t>
  </si>
  <si>
    <t>(763) 786-6011</t>
  </si>
  <si>
    <t>R447</t>
  </si>
  <si>
    <t>Clara Maass Medical Center</t>
  </si>
  <si>
    <t>DXWJ</t>
  </si>
  <si>
    <t>Allina Health First Street Clinic</t>
  </si>
  <si>
    <t>1880 N Frontage Rd</t>
  </si>
  <si>
    <t>55033-2687</t>
  </si>
  <si>
    <t>(657) 438-1800</t>
  </si>
  <si>
    <t>DXWK</t>
  </si>
  <si>
    <t>Allina Health Nininger Road Clinic</t>
  </si>
  <si>
    <t>1285 Nininger Rd</t>
  </si>
  <si>
    <t>(651) 480-4200</t>
  </si>
  <si>
    <t>DXWQ</t>
  </si>
  <si>
    <t>Allina Health Maple Grove Clinic</t>
  </si>
  <si>
    <t>7840 Vinewood Ln N</t>
  </si>
  <si>
    <t>Maple Grove</t>
  </si>
  <si>
    <t>55369-7185</t>
  </si>
  <si>
    <t>(763) 236-0200</t>
  </si>
  <si>
    <t>DXWU</t>
  </si>
  <si>
    <t>Allina Health Uptown Clinic</t>
  </si>
  <si>
    <t>1221 W Lake St Ste 201</t>
  </si>
  <si>
    <t>55408-3565</t>
  </si>
  <si>
    <t>(612) 824-1772</t>
  </si>
  <si>
    <t>DXWW</t>
  </si>
  <si>
    <t>Allina Health Isles Clinic</t>
  </si>
  <si>
    <t>2800 Hennepin Ave</t>
  </si>
  <si>
    <t>55408-1906</t>
  </si>
  <si>
    <t>(612) 871-1696</t>
  </si>
  <si>
    <t>DTLV</t>
  </si>
  <si>
    <t>MCHS in Mankato Northridge</t>
  </si>
  <si>
    <t>1695 Lor Ray Dr</t>
  </si>
  <si>
    <t>North Mankato</t>
  </si>
  <si>
    <t>(507) 387-8231</t>
  </si>
  <si>
    <t>DXXD</t>
  </si>
  <si>
    <t>Allina Health Northfield Clinic</t>
  </si>
  <si>
    <t>1400 Jefferson Rd</t>
  </si>
  <si>
    <t>Northfield</t>
  </si>
  <si>
    <t>55057-3081</t>
  </si>
  <si>
    <t>(507) 645-2000</t>
  </si>
  <si>
    <t>DXXH</t>
  </si>
  <si>
    <t>Allina Health Plymouth Clinic</t>
  </si>
  <si>
    <t>2855 Campus Dr Ste 400</t>
  </si>
  <si>
    <t>55441-2659</t>
  </si>
  <si>
    <t>(763) 577-7400</t>
  </si>
  <si>
    <t>DXXJ</t>
  </si>
  <si>
    <t>Allina Health Richfield Clinic</t>
  </si>
  <si>
    <t>407 W 66th St</t>
  </si>
  <si>
    <t>Richfield</t>
  </si>
  <si>
    <t>55423-2374</t>
  </si>
  <si>
    <t>(612) 798-8800</t>
  </si>
  <si>
    <t>DXXR</t>
  </si>
  <si>
    <t>Allina Health United Womens Health Clinic</t>
  </si>
  <si>
    <t>347 Smith Ave N Ste 203</t>
  </si>
  <si>
    <t>55102-2388</t>
  </si>
  <si>
    <t>(651) 220-7733</t>
  </si>
  <si>
    <t>DXXT</t>
  </si>
  <si>
    <t>Allina Health United Medical Specialties</t>
  </si>
  <si>
    <t>225 Smith Ave N Ste 300</t>
  </si>
  <si>
    <t>55102-2592</t>
  </si>
  <si>
    <t>(651) 221-2517</t>
  </si>
  <si>
    <t>DXXV</t>
  </si>
  <si>
    <t>MCHS in St Peter</t>
  </si>
  <si>
    <t>1900 N Sunrise Dr Ste 200</t>
  </si>
  <si>
    <t>Saint Peter</t>
  </si>
  <si>
    <t>(507) 931-2110</t>
  </si>
  <si>
    <t>FXXZ</t>
  </si>
  <si>
    <t>Allina Health Woodbury Clinic</t>
  </si>
  <si>
    <t>8675 Valley Creek Rd</t>
  </si>
  <si>
    <t>Ahc Woodbury Noonant</t>
  </si>
  <si>
    <t>Woodbury</t>
  </si>
  <si>
    <t>55125-2337</t>
  </si>
  <si>
    <t>(651) 501-3000</t>
  </si>
  <si>
    <t>R500</t>
  </si>
  <si>
    <t>UM Shore Medical Center at Dorchester</t>
  </si>
  <si>
    <t>300 Byrn Street</t>
  </si>
  <si>
    <t>(410) 228-5511</t>
  </si>
  <si>
    <t>DYBR</t>
  </si>
  <si>
    <t>Cleveland Clinic - Martin South Hospital</t>
  </si>
  <si>
    <t>2100 Se Salerno Rd</t>
  </si>
  <si>
    <t>34997-6503</t>
  </si>
  <si>
    <t>(772) 223-2300</t>
  </si>
  <si>
    <t>T900</t>
  </si>
  <si>
    <t>Sweeny Community Hospital</t>
  </si>
  <si>
    <t>305 N Mckinney St</t>
  </si>
  <si>
    <t>Sweeny</t>
  </si>
  <si>
    <t>77480-2801</t>
  </si>
  <si>
    <t>(979) 548-3311</t>
  </si>
  <si>
    <t>DYBT</t>
  </si>
  <si>
    <t>DYBV</t>
  </si>
  <si>
    <t>Deerpath Medical Associates Inc</t>
  </si>
  <si>
    <t>660 N Westmoreland Rd</t>
  </si>
  <si>
    <t>C/o Lake Forest Hospital</t>
  </si>
  <si>
    <t>60045-1659</t>
  </si>
  <si>
    <t>(847) 295-1500</t>
  </si>
  <si>
    <t>Northwestern Medical Group</t>
  </si>
  <si>
    <t>DYBW</t>
  </si>
  <si>
    <t>Deerpath Medical Associates</t>
  </si>
  <si>
    <t>707 Lake Cook Road Suite 130</t>
  </si>
  <si>
    <t>Deerfield</t>
  </si>
  <si>
    <t>(847) 498-1500</t>
  </si>
  <si>
    <t>DYBX</t>
  </si>
  <si>
    <t>870 W End Ct</t>
  </si>
  <si>
    <t>Vernon Hills</t>
  </si>
  <si>
    <t>60061-1383</t>
  </si>
  <si>
    <t>(847) 680-3666</t>
  </si>
  <si>
    <t>DYCA</t>
  </si>
  <si>
    <t>Fredericksburg Ambulatory Surgery Center 4604025</t>
  </si>
  <si>
    <t>1201 Sam Perry Blvd</t>
  </si>
  <si>
    <t>22401-4490</t>
  </si>
  <si>
    <t>(540) 741-7000</t>
  </si>
  <si>
    <t>Snowden Services Inc</t>
  </si>
  <si>
    <t>DYCC</t>
  </si>
  <si>
    <t>Doctors Health Group Inc</t>
  </si>
  <si>
    <t>Po Box 1331</t>
  </si>
  <si>
    <t>72403-1331</t>
  </si>
  <si>
    <t>(870) 932-7024</t>
  </si>
  <si>
    <t>DYCD</t>
  </si>
  <si>
    <t>The Paragould Doctors Clinic</t>
  </si>
  <si>
    <t>4000 Linwood Dr Ste A</t>
  </si>
  <si>
    <t>Paragould</t>
  </si>
  <si>
    <t>72450-7224</t>
  </si>
  <si>
    <t>(870) 239-8503</t>
  </si>
  <si>
    <t>DYCH</t>
  </si>
  <si>
    <t>Creekside Family Medicine</t>
  </si>
  <si>
    <t>810 Franklin St</t>
  </si>
  <si>
    <t>35801-4310</t>
  </si>
  <si>
    <t>(256) 533-8909</t>
  </si>
  <si>
    <t>DYCI</t>
  </si>
  <si>
    <t>Huntsville Pediatric Associates</t>
  </si>
  <si>
    <t>2004 Airport Rd Sw Ste 1</t>
  </si>
  <si>
    <t>35801-5846</t>
  </si>
  <si>
    <t>(256) 265-2464</t>
  </si>
  <si>
    <t>DYCM</t>
  </si>
  <si>
    <t>Mountain View Family Medicine</t>
  </si>
  <si>
    <t>5995 Hwy 72 E</t>
  </si>
  <si>
    <t>Gurley</t>
  </si>
  <si>
    <t>35748-9460</t>
  </si>
  <si>
    <t>(256) 776-2094</t>
  </si>
  <si>
    <t>DYCT</t>
  </si>
  <si>
    <t>North Alabama Primary Care</t>
  </si>
  <si>
    <t>1015 Us Hwy 72 E Ste A</t>
  </si>
  <si>
    <t>Koneru Vijaya-Chandra Md</t>
  </si>
  <si>
    <t>35611-4334</t>
  </si>
  <si>
    <t>(256) 232-2505</t>
  </si>
  <si>
    <t>DYCV</t>
  </si>
  <si>
    <t>Medical Plaza</t>
  </si>
  <si>
    <t>1215 7th St Se</t>
  </si>
  <si>
    <t>35601-3337</t>
  </si>
  <si>
    <t>(205) 381-0210</t>
  </si>
  <si>
    <t>DYBA</t>
  </si>
  <si>
    <t>IU Health Southway Retail Pharmacy</t>
  </si>
  <si>
    <t>3813 S Madison St</t>
  </si>
  <si>
    <t>47302-5758</t>
  </si>
  <si>
    <t>(765) 751-2324</t>
  </si>
  <si>
    <t>R364</t>
  </si>
  <si>
    <t>Guthrie Corning Hospital</t>
  </si>
  <si>
    <t>One Guthrie Dr</t>
  </si>
  <si>
    <t>Corning</t>
  </si>
  <si>
    <t>(607) 937-7200</t>
  </si>
  <si>
    <t>FLGI</t>
  </si>
  <si>
    <t>Health Park Medical Center - Clinic</t>
  </si>
  <si>
    <t>9981 S Healthpark Dr</t>
  </si>
  <si>
    <t>Fort Myers</t>
  </si>
  <si>
    <t>33908-3618</t>
  </si>
  <si>
    <t>(239) 343-5000</t>
  </si>
  <si>
    <t>Lee Health System Inc</t>
  </si>
  <si>
    <t>JJTY</t>
  </si>
  <si>
    <t>Sentara Halifax Regional Health System Inc</t>
  </si>
  <si>
    <t>2204 Wilborne Ave</t>
  </si>
  <si>
    <t>South Boston</t>
  </si>
  <si>
    <t>(804) 575-3100</t>
  </si>
  <si>
    <t>DYAZ</t>
  </si>
  <si>
    <t>Piedmont Pharmacy - North</t>
  </si>
  <si>
    <t>5601 Veterans Pkwy Ste 1800</t>
  </si>
  <si>
    <t>31904-9001</t>
  </si>
  <si>
    <t>(706) 571-1198</t>
  </si>
  <si>
    <t>DYBL</t>
  </si>
  <si>
    <t>Crawford Family Medicine</t>
  </si>
  <si>
    <t>106 Mccrary Ave</t>
  </si>
  <si>
    <t>Roberta</t>
  </si>
  <si>
    <t>(478) 836-2819</t>
  </si>
  <si>
    <t>Georgia Physicians for Accountable Care</t>
  </si>
  <si>
    <t>Sloan Fioresi</t>
  </si>
  <si>
    <t>sloan.fioresi@provista.com</t>
  </si>
  <si>
    <t>DYJB</t>
  </si>
  <si>
    <t>San Vicente Pharmacy</t>
  </si>
  <si>
    <t>444 S San Vicente Blvd</t>
  </si>
  <si>
    <t>90048-4165</t>
  </si>
  <si>
    <t>(310) 855-1416</t>
  </si>
  <si>
    <t>DYJC</t>
  </si>
  <si>
    <t>Yorktown Health Care Pharmacy</t>
  </si>
  <si>
    <t>1420 S Pilgrim Blvd</t>
  </si>
  <si>
    <t>Yorktown</t>
  </si>
  <si>
    <t>47396-9250</t>
  </si>
  <si>
    <t>(765) 759-4064</t>
  </si>
  <si>
    <t>DYIR</t>
  </si>
  <si>
    <t>Pathways Home Care</t>
  </si>
  <si>
    <t>487 Lake Concord Rd</t>
  </si>
  <si>
    <t>(704) 784-2110</t>
  </si>
  <si>
    <t>DYLT</t>
  </si>
  <si>
    <t>Batte Cancer Center Pharmacy</t>
  </si>
  <si>
    <t>200 Medical Park Dr Ste 520</t>
  </si>
  <si>
    <t>(704) 783-1375</t>
  </si>
  <si>
    <t>DYNC</t>
  </si>
  <si>
    <t>901 E 104th St</t>
  </si>
  <si>
    <t>64131-4517</t>
  </si>
  <si>
    <t>(816) 932-5100</t>
  </si>
  <si>
    <t>DYNE</t>
  </si>
  <si>
    <t>UM Shore Regional Health</t>
  </si>
  <si>
    <t>S419</t>
  </si>
  <si>
    <t>CHA Everett Hospital</t>
  </si>
  <si>
    <t>103 Garland Street</t>
  </si>
  <si>
    <t>Everett</t>
  </si>
  <si>
    <t>(617) 389-6270</t>
  </si>
  <si>
    <t>The Cambridge Health Alliance</t>
  </si>
  <si>
    <t>T499</t>
  </si>
  <si>
    <t>Sanford Medical Center Clear Lake</t>
  </si>
  <si>
    <t>701 3rd Ave S</t>
  </si>
  <si>
    <t>Clear Lake</t>
  </si>
  <si>
    <t>57226-2016</t>
  </si>
  <si>
    <t>(605) 874-2141</t>
  </si>
  <si>
    <t>DYIS</t>
  </si>
  <si>
    <t>Madison Surgery Center</t>
  </si>
  <si>
    <t>1 S Park St Fl 3</t>
  </si>
  <si>
    <t>53715-1375</t>
  </si>
  <si>
    <t>(608) 287-2200</t>
  </si>
  <si>
    <t>DYIU</t>
  </si>
  <si>
    <t>NHCC Medical Associates</t>
  </si>
  <si>
    <t>275 Broadway Unit 2</t>
  </si>
  <si>
    <t>(401) 845-1465</t>
  </si>
  <si>
    <t>DYNI</t>
  </si>
  <si>
    <t>MedStar Surgery Center-Lafayette-Bldg 2</t>
  </si>
  <si>
    <t>1133 21st St NW Ste 1000</t>
  </si>
  <si>
    <t>20036-3390</t>
  </si>
  <si>
    <t>(202) 223-9040</t>
  </si>
  <si>
    <t>DYJT</t>
  </si>
  <si>
    <t>Northshire Medical Center</t>
  </si>
  <si>
    <t>5957 Main St</t>
  </si>
  <si>
    <t>Route 7a North</t>
  </si>
  <si>
    <t>Manchester Center</t>
  </si>
  <si>
    <t>(802) 362-4440</t>
  </si>
  <si>
    <t>DYJV</t>
  </si>
  <si>
    <t>Bennington Allergy Practice</t>
  </si>
  <si>
    <t>120 Hospital Dr</t>
  </si>
  <si>
    <t>(802) 447-5087</t>
  </si>
  <si>
    <t>DYNH</t>
  </si>
  <si>
    <t>Childrens Home Health Care</t>
  </si>
  <si>
    <t>3000 S 84th St</t>
  </si>
  <si>
    <t>68124-3215</t>
  </si>
  <si>
    <t>(402) 738-6801</t>
  </si>
  <si>
    <t>DQEE</t>
  </si>
  <si>
    <t>Saint Francis Hospital and Medical Center</t>
  </si>
  <si>
    <t>114 Woodland St</t>
  </si>
  <si>
    <t>(860) 714-4000</t>
  </si>
  <si>
    <t>JJUL</t>
  </si>
  <si>
    <t>Sacred Heart Hospital</t>
  </si>
  <si>
    <t>5151 N 9th Ave</t>
  </si>
  <si>
    <t>32504-8721</t>
  </si>
  <si>
    <t>Sacred Heart Health System Inc</t>
  </si>
  <si>
    <t>V961</t>
  </si>
  <si>
    <t>CarolinaEast Health System</t>
  </si>
  <si>
    <t>2000 Neuse Blvd</t>
  </si>
  <si>
    <t>New Bern</t>
  </si>
  <si>
    <t>28560-3449</t>
  </si>
  <si>
    <t>(252) 633-8111</t>
  </si>
  <si>
    <t>U347</t>
  </si>
  <si>
    <t>Multicare Yakima Memorial Hospital MYMH</t>
  </si>
  <si>
    <t>2811 Tieton Dr</t>
  </si>
  <si>
    <t>Yakima</t>
  </si>
  <si>
    <t>98902-3799</t>
  </si>
  <si>
    <t>(509) 575-8000</t>
  </si>
  <si>
    <t>DYQD</t>
  </si>
  <si>
    <t>3400 Spruce St Penn Tower 21st Flr</t>
  </si>
  <si>
    <t>DYQE</t>
  </si>
  <si>
    <t>Genesis HealthCare System DBA Genesis Hospital</t>
  </si>
  <si>
    <t>2951 Maple Ave</t>
  </si>
  <si>
    <t>Zanesville</t>
  </si>
  <si>
    <t>43701-1406</t>
  </si>
  <si>
    <t>(740) 454-5000</t>
  </si>
  <si>
    <t>DRRM</t>
  </si>
  <si>
    <t>Memorial Medical Center-Main Campus</t>
  </si>
  <si>
    <t>(814) 533-1000</t>
  </si>
  <si>
    <t>DYQG</t>
  </si>
  <si>
    <t>Crozer-Keystone Health Network - CKHN</t>
  </si>
  <si>
    <t>(610) 490-7970</t>
  </si>
  <si>
    <t>DYQH</t>
  </si>
  <si>
    <t>Aspirus St Luke's Superior Clinic</t>
  </si>
  <si>
    <t>109 N 28th St E</t>
  </si>
  <si>
    <t>Superior</t>
  </si>
  <si>
    <t>54880-6548</t>
  </si>
  <si>
    <t>(218) 726-5389</t>
  </si>
  <si>
    <t>DYQI</t>
  </si>
  <si>
    <t>Snowden at Fredericksburg</t>
  </si>
  <si>
    <t>1200 Sam Perry Blvd</t>
  </si>
  <si>
    <t>(540) 741-3900</t>
  </si>
  <si>
    <t>DYQJ</t>
  </si>
  <si>
    <t>Medical Imaging of Fredericksburg LLC</t>
  </si>
  <si>
    <t>1201 Sam Perry Blvd Ste 102</t>
  </si>
  <si>
    <t>(540) 741-7025</t>
  </si>
  <si>
    <t>U733</t>
  </si>
  <si>
    <t>Winneshiek Medical Center</t>
  </si>
  <si>
    <t>901 Montgomery St</t>
  </si>
  <si>
    <t>Decorah</t>
  </si>
  <si>
    <t>52101-2325</t>
  </si>
  <si>
    <t>(563) 387-3109</t>
  </si>
  <si>
    <t>S046</t>
  </si>
  <si>
    <t>Ferrell Hospital</t>
  </si>
  <si>
    <t>1201 Pine St</t>
  </si>
  <si>
    <t>Eldorado</t>
  </si>
  <si>
    <t>62930-1634</t>
  </si>
  <si>
    <t>(618) 273-3361</t>
  </si>
  <si>
    <t>R313</t>
  </si>
  <si>
    <t>Bassett HC Network-Little Falls Hospital</t>
  </si>
  <si>
    <t>140 Burwell St</t>
  </si>
  <si>
    <t>13365-1794</t>
  </si>
  <si>
    <t>(315) 823-1000</t>
  </si>
  <si>
    <t>DYXF</t>
  </si>
  <si>
    <t>St Lukes Home Residential Health Care Facili</t>
  </si>
  <si>
    <t>1650 Champlin Ave</t>
  </si>
  <si>
    <t>13413-1069</t>
  </si>
  <si>
    <t>(315) 731-2600</t>
  </si>
  <si>
    <t>DYXG</t>
  </si>
  <si>
    <t>The Center for Living And Rehabilitation</t>
  </si>
  <si>
    <t>160 Hospital Dr</t>
  </si>
  <si>
    <t>(802) 447-1547</t>
  </si>
  <si>
    <t>Allaire Health Systems</t>
  </si>
  <si>
    <t>Madison Bayless</t>
  </si>
  <si>
    <t>madison.bayless@provista.com</t>
  </si>
  <si>
    <t>DYXJ</t>
  </si>
  <si>
    <t>Sentara Ambulatory Services Division</t>
  </si>
  <si>
    <t>1300 Sentara Park Fl 3</t>
  </si>
  <si>
    <t>23464-5884</t>
  </si>
  <si>
    <t>(757) 687-1300</t>
  </si>
  <si>
    <t>Network - NonAcute</t>
  </si>
  <si>
    <t>DYXK</t>
  </si>
  <si>
    <t>Sentara Family Medicine Phys-Thoroughgood</t>
  </si>
  <si>
    <t>2017 Pleasure House Rd</t>
  </si>
  <si>
    <t>23455-2709</t>
  </si>
  <si>
    <t>(757) 318-6900</t>
  </si>
  <si>
    <t>DYXM</t>
  </si>
  <si>
    <t>Sentara Family Medicine Phys-Providence Rd</t>
  </si>
  <si>
    <t>5320 Providence Rd Ste 301</t>
  </si>
  <si>
    <t>(757) 424-8888</t>
  </si>
  <si>
    <t>DYXN</t>
  </si>
  <si>
    <t>Sentara Family Medicine Phys-Independence</t>
  </si>
  <si>
    <t>816 Independence Blvd Ste 100</t>
  </si>
  <si>
    <t>(757) 490-3171</t>
  </si>
  <si>
    <t>DYXP</t>
  </si>
  <si>
    <t>Sentara Internal Medicine Phys-Fort Norfolk</t>
  </si>
  <si>
    <t>301 Riverview Ave Ste 710</t>
  </si>
  <si>
    <t>23510-1065</t>
  </si>
  <si>
    <t>(757) 622-4204</t>
  </si>
  <si>
    <t>DYXS</t>
  </si>
  <si>
    <t>Sentara NDC Medical Center</t>
  </si>
  <si>
    <t>850 Kempsville Rd</t>
  </si>
  <si>
    <t>(757) 466-5910</t>
  </si>
  <si>
    <t>DYXY</t>
  </si>
  <si>
    <t>Sentara Family Medicine WalkIn Providence</t>
  </si>
  <si>
    <t>5320 Providence Rd Ste 101</t>
  </si>
  <si>
    <t>23464-4122</t>
  </si>
  <si>
    <t>(757) 413-7900</t>
  </si>
  <si>
    <t>DYYB</t>
  </si>
  <si>
    <t>Sentara Family Medicine Phys-Little Neck</t>
  </si>
  <si>
    <t>2859 Virginia Beach Blvd</t>
  </si>
  <si>
    <t>23452-7613</t>
  </si>
  <si>
    <t>(757) 340-4901</t>
  </si>
  <si>
    <t>DYYF</t>
  </si>
  <si>
    <t>SNGH Ambulatory Care Clinic</t>
  </si>
  <si>
    <t>130 Colley Ave</t>
  </si>
  <si>
    <t>DYYH</t>
  </si>
  <si>
    <t>Sentara Home Care Greater Peninsula</t>
  </si>
  <si>
    <t>11844 Rock Landing Dr Ste A</t>
  </si>
  <si>
    <t>23606-4206</t>
  </si>
  <si>
    <t>(757) 736-0700</t>
  </si>
  <si>
    <t>JADF</t>
  </si>
  <si>
    <t>Methodist Phys Clinic- Indian Hills</t>
  </si>
  <si>
    <t>8901 W Dodge Rd</t>
  </si>
  <si>
    <t>68114-3321</t>
  </si>
  <si>
    <t>(402) 354-8570</t>
  </si>
  <si>
    <t>DZDT</t>
  </si>
  <si>
    <t>Daughters of Miriam for the Aged</t>
  </si>
  <si>
    <t>155 Hazel St</t>
  </si>
  <si>
    <t>Clifton</t>
  </si>
  <si>
    <t>(973) 253-5210</t>
  </si>
  <si>
    <t>Jason Ellis</t>
  </si>
  <si>
    <t>jason.ellis@vizientinc.com</t>
  </si>
  <si>
    <t>R441</t>
  </si>
  <si>
    <t>Deborah Heart and Lung Center</t>
  </si>
  <si>
    <t>200 Trenton Rd</t>
  </si>
  <si>
    <t>Browns Mills</t>
  </si>
  <si>
    <t>(609) 893-6611</t>
  </si>
  <si>
    <t>Excelerate - HVI</t>
  </si>
  <si>
    <t>Q878</t>
  </si>
  <si>
    <t>Eagleville Hospital</t>
  </si>
  <si>
    <t>100 Eagleville Rd</t>
  </si>
  <si>
    <t>Eagleville</t>
  </si>
  <si>
    <t>(610) 539-6000</t>
  </si>
  <si>
    <t>HP15</t>
  </si>
  <si>
    <t>Eastern Shore Nursing &amp; Rehabilitation</t>
  </si>
  <si>
    <t>1419 N Rt 9</t>
  </si>
  <si>
    <t>Cape May Court House</t>
  </si>
  <si>
    <t>(609) 465-2260</t>
  </si>
  <si>
    <t>Hospicomm - Administration Office</t>
  </si>
  <si>
    <t>R700</t>
  </si>
  <si>
    <t>Jefferson Einstein Hospital</t>
  </si>
  <si>
    <t>5501 Old York Rd</t>
  </si>
  <si>
    <t>(215) 456-7890</t>
  </si>
  <si>
    <t>HP16</t>
  </si>
  <si>
    <t>Trinitas Regional Medical Center New Point Campus</t>
  </si>
  <si>
    <t>655 E Jersey St</t>
  </si>
  <si>
    <t>Elizabeth</t>
  </si>
  <si>
    <t>(908) 629-8998</t>
  </si>
  <si>
    <t>Trinitas Regional Medical Center</t>
  </si>
  <si>
    <t>R609</t>
  </si>
  <si>
    <t>Elk Regional Health Center Inc</t>
  </si>
  <si>
    <t>94 Hospital St</t>
  </si>
  <si>
    <t>Ridgway</t>
  </si>
  <si>
    <t>15853-1931</t>
  </si>
  <si>
    <t>(814) 776-6111</t>
  </si>
  <si>
    <t>Penn Highlands Elk</t>
  </si>
  <si>
    <t>S780</t>
  </si>
  <si>
    <t>Englewood Hospital and Medical Center</t>
  </si>
  <si>
    <t>350 Engle St</t>
  </si>
  <si>
    <t>(201) 894-3000</t>
  </si>
  <si>
    <t>R436</t>
  </si>
  <si>
    <t>Essex County Hospital Center</t>
  </si>
  <si>
    <t>125 Fairfiew Ave</t>
  </si>
  <si>
    <t>Cedar Grove</t>
  </si>
  <si>
    <t>(973) 228-8000</t>
  </si>
  <si>
    <t>DZNB</t>
  </si>
  <si>
    <t>Ocean Medical Center</t>
  </si>
  <si>
    <t>425 Jack Martin Blvd</t>
  </si>
  <si>
    <t>Ocean Medical</t>
  </si>
  <si>
    <t>Brick</t>
  </si>
  <si>
    <t>(732) 840-2200</t>
  </si>
  <si>
    <t>DMIJ</t>
  </si>
  <si>
    <t>Mercy Fitzgerald Hospital</t>
  </si>
  <si>
    <t>1500 Lansdowne Ave</t>
  </si>
  <si>
    <t>Darby</t>
  </si>
  <si>
    <t>(610) 237-4000</t>
  </si>
  <si>
    <t>Catholic Health East</t>
  </si>
  <si>
    <t>DHSZ</t>
  </si>
  <si>
    <t>Franciscan Hospital for Children</t>
  </si>
  <si>
    <t>30 Warren St</t>
  </si>
  <si>
    <t>Brighton</t>
  </si>
  <si>
    <t>(617) 254-3800</t>
  </si>
  <si>
    <t>HP21</t>
  </si>
  <si>
    <t>Franklin Care Center</t>
  </si>
  <si>
    <t>3371 Rt 27</t>
  </si>
  <si>
    <t>Franklin Park</t>
  </si>
  <si>
    <t>(732) 821-8000</t>
  </si>
  <si>
    <t>JAMP</t>
  </si>
  <si>
    <t>Friends Hospital</t>
  </si>
  <si>
    <t>4641 Roosevelt Blvd</t>
  </si>
  <si>
    <t>19124-2389</t>
  </si>
  <si>
    <t>(215) 831-4600</t>
  </si>
  <si>
    <t>Q812</t>
  </si>
  <si>
    <t>Fulton County Medical Center</t>
  </si>
  <si>
    <t>214 Peach Orchard Rd</t>
  </si>
  <si>
    <t>Mcconnellsburg</t>
  </si>
  <si>
    <t>(717) 485-3155</t>
  </si>
  <si>
    <t>Q886</t>
  </si>
  <si>
    <t>Geisinger Medical Center</t>
  </si>
  <si>
    <t>100 N Academy Ave</t>
  </si>
  <si>
    <t>17822-9800</t>
  </si>
  <si>
    <t>(570) 271-6211</t>
  </si>
  <si>
    <t>R557</t>
  </si>
  <si>
    <t>Geisinger Wyoming Valley M/C</t>
  </si>
  <si>
    <t>1000 E Mountain Blvd</t>
  </si>
  <si>
    <t>Wilkes Barre</t>
  </si>
  <si>
    <t>18711-0027</t>
  </si>
  <si>
    <t>(570) 826-7300</t>
  </si>
  <si>
    <t>R689</t>
  </si>
  <si>
    <t>Germantown Hospital and Comm Hlth Svs</t>
  </si>
  <si>
    <t>1 Penn Blvd</t>
  </si>
  <si>
    <t>(215) 951-8000</t>
  </si>
  <si>
    <t>Einstein Healthcare Network</t>
  </si>
  <si>
    <t>Q932</t>
  </si>
  <si>
    <t>Good Shepherd Rehabilitation Hospital</t>
  </si>
  <si>
    <t>850 South Fifth Street</t>
  </si>
  <si>
    <t>Good Shepherd Plaza</t>
  </si>
  <si>
    <t>(610) 776-3299</t>
  </si>
  <si>
    <t>HP23</t>
  </si>
  <si>
    <t>Greenbrook Manor</t>
  </si>
  <si>
    <t>303 Rock Rd</t>
  </si>
  <si>
    <t>Green Brook</t>
  </si>
  <si>
    <t>(732) 968-5500</t>
  </si>
  <si>
    <t>Veira Medical Group Corp</t>
  </si>
  <si>
    <t>Veira Medical Group</t>
  </si>
  <si>
    <t>HP24</t>
  </si>
  <si>
    <t>Greenwood Home for the Jewish Aged</t>
  </si>
  <si>
    <t>53 Walter St</t>
  </si>
  <si>
    <t>Ewing</t>
  </si>
  <si>
    <t>(609) 883-5391</t>
  </si>
  <si>
    <t>Prime Source National Corporation</t>
  </si>
  <si>
    <t>S775</t>
  </si>
  <si>
    <t>Greystone Park Psychiatric</t>
  </si>
  <si>
    <t>99 Central Ave</t>
  </si>
  <si>
    <t>Greystone Park</t>
  </si>
  <si>
    <t>(973) 538-1800</t>
  </si>
  <si>
    <t>S774</t>
  </si>
  <si>
    <t>Hackensack University Medical Center</t>
  </si>
  <si>
    <t>30 Prospect Ave</t>
  </si>
  <si>
    <t>Hackensack</t>
  </si>
  <si>
    <t>(201) 996-2000</t>
  </si>
  <si>
    <t>HP29</t>
  </si>
  <si>
    <t>Hamilton Continuing Care Center</t>
  </si>
  <si>
    <t>1059 Edinburg Rd</t>
  </si>
  <si>
    <t>(609) 588-0091</t>
  </si>
  <si>
    <t>HP30</t>
  </si>
  <si>
    <t>Hamilton Plaza Nursing Center</t>
  </si>
  <si>
    <t>56 Hamilton Ave</t>
  </si>
  <si>
    <t>Passaic</t>
  </si>
  <si>
    <t>(973) 773-7070</t>
  </si>
  <si>
    <t>DZEC</t>
  </si>
  <si>
    <t>Hampton Behavioral Health Center</t>
  </si>
  <si>
    <t>650 Rancocas Rd</t>
  </si>
  <si>
    <t>Po Box 7000</t>
  </si>
  <si>
    <t>Westampton</t>
  </si>
  <si>
    <t>(609) 267-7000</t>
  </si>
  <si>
    <t>HP33</t>
  </si>
  <si>
    <t>Harrogate</t>
  </si>
  <si>
    <t>400 Locust St</t>
  </si>
  <si>
    <t>(732) 905-7070</t>
  </si>
  <si>
    <t>Q846</t>
  </si>
  <si>
    <t>Hazleton-St Joseph Medical Ctr</t>
  </si>
  <si>
    <t>687 N Church St</t>
  </si>
  <si>
    <t>18201-3198</t>
  </si>
  <si>
    <t>(570) 501-6000</t>
  </si>
  <si>
    <t>HP36</t>
  </si>
  <si>
    <t>Encompass Health Rehab Hsp Toms River</t>
  </si>
  <si>
    <t>14 Hospital Dr</t>
  </si>
  <si>
    <t>(732) 244-3100</t>
  </si>
  <si>
    <t>Encompass Health Corporation</t>
  </si>
  <si>
    <t>S695</t>
  </si>
  <si>
    <t>Capital Health System at Fuld</t>
  </si>
  <si>
    <t>750 Brunswick Ave</t>
  </si>
  <si>
    <t>(609) 394-6000</t>
  </si>
  <si>
    <t>Capital Health System Inc</t>
  </si>
  <si>
    <t>Q845</t>
  </si>
  <si>
    <t>Penn State Health Milton S Hershey Medical Center</t>
  </si>
  <si>
    <t>500 University Dr</t>
  </si>
  <si>
    <t>Hershey</t>
  </si>
  <si>
    <t>17033-2360</t>
  </si>
  <si>
    <t>(717) 531-8521</t>
  </si>
  <si>
    <t>S410</t>
  </si>
  <si>
    <t>Heywood Hospital</t>
  </si>
  <si>
    <t>242 Green St</t>
  </si>
  <si>
    <t>Gardner</t>
  </si>
  <si>
    <t>(978) 632-3420</t>
  </si>
  <si>
    <t>Heywood Healthcare</t>
  </si>
  <si>
    <t>HP39</t>
  </si>
  <si>
    <t>Holland Christian Home</t>
  </si>
  <si>
    <t>151 Graham Ave</t>
  </si>
  <si>
    <t>North Haledon</t>
  </si>
  <si>
    <t>(973) 427-4087</t>
  </si>
  <si>
    <t>S379</t>
  </si>
  <si>
    <t>Holy Family Hospital - Methuen</t>
  </si>
  <si>
    <t>70 East St</t>
  </si>
  <si>
    <t>Methuen</t>
  </si>
  <si>
    <t>(978) 687-0156</t>
  </si>
  <si>
    <t>S698</t>
  </si>
  <si>
    <t>Holy Name Medical Center</t>
  </si>
  <si>
    <t>718 Teaneck Rd</t>
  </si>
  <si>
    <t>Teaneck</t>
  </si>
  <si>
    <t>(201) 833-3000</t>
  </si>
  <si>
    <t>Q809</t>
  </si>
  <si>
    <t>Holy Redeemer Hospital and Medical Center</t>
  </si>
  <si>
    <t>1648 Huntingdon Pike</t>
  </si>
  <si>
    <t>Meadowbrook</t>
  </si>
  <si>
    <t>(215) 947-3000</t>
  </si>
  <si>
    <t>Redeemer Health</t>
  </si>
  <si>
    <t>HP42</t>
  </si>
  <si>
    <t>Hunterdon Care Center</t>
  </si>
  <si>
    <t>1 Leisure Court</t>
  </si>
  <si>
    <t>(908) 788-9292</t>
  </si>
  <si>
    <t>HP43</t>
  </si>
  <si>
    <t>Inglemoor Center</t>
  </si>
  <si>
    <t>333 Grand Ave</t>
  </si>
  <si>
    <t>(201) 568-0900</t>
  </si>
  <si>
    <t>Complete Care Management</t>
  </si>
  <si>
    <t>HP44</t>
  </si>
  <si>
    <t>Inglemoor Care Center of Livingston</t>
  </si>
  <si>
    <t>311 S Livingston Ave</t>
  </si>
  <si>
    <t>Livingston</t>
  </si>
  <si>
    <t>(973) 994-0221</t>
  </si>
  <si>
    <t>Chelsea Senior Living</t>
  </si>
  <si>
    <t>R651</t>
  </si>
  <si>
    <t>Thomas Jefferson Univ Hosp- Ford Rd Campus</t>
  </si>
  <si>
    <t>3905 Ford Rd</t>
  </si>
  <si>
    <t>(215) 578-3400</t>
  </si>
  <si>
    <t>HP48</t>
  </si>
  <si>
    <t>Franciscan Home &amp; Rehabilitation Center</t>
  </si>
  <si>
    <t>198 Stevens Ave</t>
  </si>
  <si>
    <t>(201) 451-9000</t>
  </si>
  <si>
    <t>HP49</t>
  </si>
  <si>
    <t>Job Haines Home for Aged</t>
  </si>
  <si>
    <t>250 Bloomfield Ave</t>
  </si>
  <si>
    <t>Bloomfield</t>
  </si>
  <si>
    <t>(973) 743-0792</t>
  </si>
  <si>
    <t>HP50</t>
  </si>
  <si>
    <t>JFK Medical Center Pharmacy SW</t>
  </si>
  <si>
    <t>3001 Walnut St</t>
  </si>
  <si>
    <t>(215) 386-4708</t>
  </si>
  <si>
    <t>R430</t>
  </si>
  <si>
    <t>JFK Medical Center</t>
  </si>
  <si>
    <t>65 James St</t>
  </si>
  <si>
    <t>Edison</t>
  </si>
  <si>
    <t>(908) 321-7000</t>
  </si>
  <si>
    <t>P169</t>
  </si>
  <si>
    <t>Jefferson Stratford Hospital</t>
  </si>
  <si>
    <t>18 E Laurel Rd</t>
  </si>
  <si>
    <t>Stratford</t>
  </si>
  <si>
    <t>(856) 346-6000</t>
  </si>
  <si>
    <t>P170</t>
  </si>
  <si>
    <t>Jefferson Cherry Hill Hospital</t>
  </si>
  <si>
    <t>2201 Chapel Ave W</t>
  </si>
  <si>
    <t>Cherry Hill</t>
  </si>
  <si>
    <t>(856) 488-6500</t>
  </si>
  <si>
    <t>P168</t>
  </si>
  <si>
    <t>Jefferson Washington Township Hospital</t>
  </si>
  <si>
    <t>435 Hurffville-Cross Keys Rd</t>
  </si>
  <si>
    <t>Turnersville</t>
  </si>
  <si>
    <t>(856) 582-2500</t>
  </si>
  <si>
    <t>R679</t>
  </si>
  <si>
    <t>Kensington Hospital</t>
  </si>
  <si>
    <t>136 W Diamond St</t>
  </si>
  <si>
    <t>(215) 426-8100</t>
  </si>
  <si>
    <t>R678</t>
  </si>
  <si>
    <t>Lankenau Medical Center</t>
  </si>
  <si>
    <t>100 Lancaster Ave</t>
  </si>
  <si>
    <t>Wynnewood</t>
  </si>
  <si>
    <t>(610) 645-2000</t>
  </si>
  <si>
    <t>Main Line Health Inc</t>
  </si>
  <si>
    <t>DTFK</t>
  </si>
  <si>
    <t>Jersey City Medical Center</t>
  </si>
  <si>
    <t>355 Grand St</t>
  </si>
  <si>
    <t>(201) 915-2000</t>
  </si>
  <si>
    <t>S706</t>
  </si>
  <si>
    <t>Hudson Regional Hospital</t>
  </si>
  <si>
    <t>55 Meadowlands Pkwy</t>
  </si>
  <si>
    <t>Secaucus</t>
  </si>
  <si>
    <t>(201) 392-3100</t>
  </si>
  <si>
    <t>R676</t>
  </si>
  <si>
    <t>Magee Rehabilitation Hospital</t>
  </si>
  <si>
    <t>1513 Race St</t>
  </si>
  <si>
    <t>6 Franklin Plaza</t>
  </si>
  <si>
    <t>19102-1125</t>
  </si>
  <si>
    <t>(800) 966-2433</t>
  </si>
  <si>
    <t>DMIT</t>
  </si>
  <si>
    <t>Marian Community Hospital</t>
  </si>
  <si>
    <t>100 Lincoln Ave</t>
  </si>
  <si>
    <t>(570) 281-1000</t>
  </si>
  <si>
    <t>HP79</t>
  </si>
  <si>
    <t>Parker At Somerset</t>
  </si>
  <si>
    <t>15 Dellwood Ln</t>
  </si>
  <si>
    <t>Somerset</t>
  </si>
  <si>
    <t>(732) 545-4200</t>
  </si>
  <si>
    <t>Parker Health Group Inc</t>
  </si>
  <si>
    <t>R558</t>
  </si>
  <si>
    <t>Geisinger South Wilkes-Barre Hospital</t>
  </si>
  <si>
    <t>25 Church St</t>
  </si>
  <si>
    <t>Wilkes-Barre</t>
  </si>
  <si>
    <t>18702-3507</t>
  </si>
  <si>
    <t>(570) 826-3100</t>
  </si>
  <si>
    <t>DMBH</t>
  </si>
  <si>
    <t>St Lukes Miners Memorial Hospital</t>
  </si>
  <si>
    <t>360 W Ruddle St</t>
  </si>
  <si>
    <t>Coaldale</t>
  </si>
  <si>
    <t>(570) 645-2131</t>
  </si>
  <si>
    <t>DMIW</t>
  </si>
  <si>
    <t>Hospital of the University of Pennsylvania 54th and Cedar</t>
  </si>
  <si>
    <t>501 S 54th St</t>
  </si>
  <si>
    <t>(215) 748-9000</t>
  </si>
  <si>
    <t>R719</t>
  </si>
  <si>
    <t>Endless Mountains Health Systems</t>
  </si>
  <si>
    <t>Montrose</t>
  </si>
  <si>
    <t>18801-1106</t>
  </si>
  <si>
    <t>(717) 278-3801</t>
  </si>
  <si>
    <t>R601</t>
  </si>
  <si>
    <t>Moses Taylor Hospital</t>
  </si>
  <si>
    <t>700 Quincy Avenue</t>
  </si>
  <si>
    <t>(570) 340-2100</t>
  </si>
  <si>
    <t>R670</t>
  </si>
  <si>
    <t>Moss Rehabilitation Hospital</t>
  </si>
  <si>
    <t>1200 W Tabor Rd</t>
  </si>
  <si>
    <t>Elkins Park</t>
  </si>
  <si>
    <t>(215) 329-5715</t>
  </si>
  <si>
    <t>DRSD</t>
  </si>
  <si>
    <t>Mount Carmel Guild Hospital</t>
  </si>
  <si>
    <t>17 Mulberry St</t>
  </si>
  <si>
    <t>(973) 596-4077</t>
  </si>
  <si>
    <t>HP95</t>
  </si>
  <si>
    <t>Mount Laurel Convalescent Center</t>
  </si>
  <si>
    <t>Church Rd</t>
  </si>
  <si>
    <t>Mount Laurel</t>
  </si>
  <si>
    <t>(856) 235-7100</t>
  </si>
  <si>
    <t>R607</t>
  </si>
  <si>
    <t>Conemaugh Nason Medical Center</t>
  </si>
  <si>
    <t>105 Nason Dr</t>
  </si>
  <si>
    <t>Roaring Spring</t>
  </si>
  <si>
    <t>16673-1202</t>
  </si>
  <si>
    <t>(814) 224-2141</t>
  </si>
  <si>
    <t>R668</t>
  </si>
  <si>
    <t>Nazareth Hospital</t>
  </si>
  <si>
    <t>2601 Holme Ave</t>
  </si>
  <si>
    <t>(215) 335-6000</t>
  </si>
  <si>
    <t>Q877</t>
  </si>
  <si>
    <t>Lehigh Valley Hospital-Pocono</t>
  </si>
  <si>
    <t>206 E Brown St</t>
  </si>
  <si>
    <t>East Stroudsburg</t>
  </si>
  <si>
    <t>S333</t>
  </si>
  <si>
    <t>New England Sinai Hospital &amp; Rehab Center</t>
  </si>
  <si>
    <t>150 York St</t>
  </si>
  <si>
    <t>Stoughton</t>
  </si>
  <si>
    <t>(781) 344-0600</t>
  </si>
  <si>
    <t>HP99</t>
  </si>
  <si>
    <t>Newark Beth Israel Medical Center</t>
  </si>
  <si>
    <t>201 Lyons Ave At Osborne</t>
  </si>
  <si>
    <t>(973) 926-7000</t>
  </si>
  <si>
    <t>S689</t>
  </si>
  <si>
    <t>Inspira Health Network - Vineland Health Center</t>
  </si>
  <si>
    <t>1038 E Chestnut Ave</t>
  </si>
  <si>
    <t>Vineland</t>
  </si>
  <si>
    <t>(856) 691-9000</t>
  </si>
  <si>
    <t>R709</t>
  </si>
  <si>
    <t>Norristown State Hospital</t>
  </si>
  <si>
    <t>1001 Sterigere Street</t>
  </si>
  <si>
    <t>(610) 270-1000</t>
  </si>
  <si>
    <t>R667</t>
  </si>
  <si>
    <t>Temple East - Northeastern Hospital</t>
  </si>
  <si>
    <t>2301 East Allegheny Avenue</t>
  </si>
  <si>
    <t>(215) 291-3000</t>
  </si>
  <si>
    <t>S730</t>
  </si>
  <si>
    <t>Palisades Medical Center</t>
  </si>
  <si>
    <t>7600 River Rd</t>
  </si>
  <si>
    <t>North Bergen</t>
  </si>
  <si>
    <t>(201) 854-5000</t>
  </si>
  <si>
    <t>R703</t>
  </si>
  <si>
    <t>R702</t>
  </si>
  <si>
    <t>Paoli Hospital</t>
  </si>
  <si>
    <t>255 W Lancaster Ave</t>
  </si>
  <si>
    <t>Paoli</t>
  </si>
  <si>
    <t>19301-1763</t>
  </si>
  <si>
    <t>(610) 648-1000</t>
  </si>
  <si>
    <t>S684</t>
  </si>
  <si>
    <t>HackensackUMC at Pascack Valley</t>
  </si>
  <si>
    <t>250 Old Hook Rd</t>
  </si>
  <si>
    <t>Westwood</t>
  </si>
  <si>
    <t>(201) 358-3000</t>
  </si>
  <si>
    <t>JAQH</t>
  </si>
  <si>
    <t>Penn Presbyterian Medical Center</t>
  </si>
  <si>
    <t>51 N 39th St</t>
  </si>
  <si>
    <t>19104-2640</t>
  </si>
  <si>
    <t>(215) 662-8000</t>
  </si>
  <si>
    <t>DRSE</t>
  </si>
  <si>
    <t>Ramapo Ridge Behavioral Health</t>
  </si>
  <si>
    <t>301 Sicomac Ave</t>
  </si>
  <si>
    <t>Wyckoff</t>
  </si>
  <si>
    <t>(201) 848-5858</t>
  </si>
  <si>
    <t>Christian Health</t>
  </si>
  <si>
    <t>S721</t>
  </si>
  <si>
    <t>Raritan Bay Medical Center Perth Amboy</t>
  </si>
  <si>
    <t>530 New Brunswick Ave</t>
  </si>
  <si>
    <t>Perth Amboy</t>
  </si>
  <si>
    <t>(732) 442-3700</t>
  </si>
  <si>
    <t>R723</t>
  </si>
  <si>
    <t>Riddle Memorial Hospital</t>
  </si>
  <si>
    <t>1068 W Baltimore Pike</t>
  </si>
  <si>
    <t>Media</t>
  </si>
  <si>
    <t>(610) 566-9400</t>
  </si>
  <si>
    <t>R428</t>
  </si>
  <si>
    <t>Royal Health at Roosevelt</t>
  </si>
  <si>
    <t>1 Roosevelt Dr</t>
  </si>
  <si>
    <t>(732) 321-6800</t>
  </si>
  <si>
    <t>Roosevelt Care Center</t>
  </si>
  <si>
    <t>R675</t>
  </si>
  <si>
    <t>TPI - Roxborough</t>
  </si>
  <si>
    <t>5800 Ridge Avenue</t>
  </si>
  <si>
    <t>(215) 483-9900</t>
  </si>
  <si>
    <t>R446</t>
  </si>
  <si>
    <t>Runnells Specialized Hospital</t>
  </si>
  <si>
    <t>40 Watchung Way</t>
  </si>
  <si>
    <t>Berkeley Heights</t>
  </si>
  <si>
    <t>(908) 771-5700</t>
  </si>
  <si>
    <t>Q930</t>
  </si>
  <si>
    <t>421 Chew St</t>
  </si>
  <si>
    <t>(610) 776-4500</t>
  </si>
  <si>
    <t>S756</t>
  </si>
  <si>
    <t>Cooperman Barnabas Medical Center Inc</t>
  </si>
  <si>
    <t>94 Old Short Hills Rd</t>
  </si>
  <si>
    <t>(973) 322-5000</t>
  </si>
  <si>
    <t>S448</t>
  </si>
  <si>
    <t>St Elizabeths Medical Center</t>
  </si>
  <si>
    <t>736 Cambridge St</t>
  </si>
  <si>
    <t>(617) 789-3000</t>
  </si>
  <si>
    <t>R595</t>
  </si>
  <si>
    <t>Geisinger Shamokin Hospital</t>
  </si>
  <si>
    <t>4200 Hospital Rd</t>
  </si>
  <si>
    <t>Coal Township</t>
  </si>
  <si>
    <t>(570) 644-4200</t>
  </si>
  <si>
    <t>XX37</t>
  </si>
  <si>
    <t>Sidney Hillman Medical Center</t>
  </si>
  <si>
    <t>2116 Chestnut Ave</t>
  </si>
  <si>
    <t>(215) 568-4080</t>
  </si>
  <si>
    <t>R176</t>
  </si>
  <si>
    <t>Soldiers &amp; Sailors Memorial Hospital</t>
  </si>
  <si>
    <t>418 N Main St</t>
  </si>
  <si>
    <t>Penn Yan</t>
  </si>
  <si>
    <t>14527-1070</t>
  </si>
  <si>
    <t>(315) 531-2000</t>
  </si>
  <si>
    <t>S704</t>
  </si>
  <si>
    <t>Robert Wood Johnson University Hospital Somerset</t>
  </si>
  <si>
    <t>110 Rehill Ave</t>
  </si>
  <si>
    <t>Somerville</t>
  </si>
  <si>
    <t>(908) 685-2200</t>
  </si>
  <si>
    <t>R658</t>
  </si>
  <si>
    <t>St Agnes Continuing Care Center</t>
  </si>
  <si>
    <t>1900 S Broad St</t>
  </si>
  <si>
    <t>(215) 339-4100</t>
  </si>
  <si>
    <t>R425</t>
  </si>
  <si>
    <t>225 Williamson St</t>
  </si>
  <si>
    <t>(908) 994-5000</t>
  </si>
  <si>
    <t>S692</t>
  </si>
  <si>
    <t>St Francis Medical Center</t>
  </si>
  <si>
    <t>601 Hamilton Ave</t>
  </si>
  <si>
    <t>(609) 599-5000</t>
  </si>
  <si>
    <t>S722</t>
  </si>
  <si>
    <t>St Josephs University Medical Center</t>
  </si>
  <si>
    <t>703 Main St</t>
  </si>
  <si>
    <t>Paterson</t>
  </si>
  <si>
    <t>(973) 754-2000</t>
  </si>
  <si>
    <t>St Josephs Health System - SJUMC Inc</t>
  </si>
  <si>
    <t>R614</t>
  </si>
  <si>
    <t>St Lukes Quakertown Hospital</t>
  </si>
  <si>
    <t>1021 Park Ave</t>
  </si>
  <si>
    <t>Quakertown</t>
  </si>
  <si>
    <t>(215) 538-4500</t>
  </si>
  <si>
    <t>Q828</t>
  </si>
  <si>
    <t>St Mary Medical Center</t>
  </si>
  <si>
    <t>1201 Langhorne-Newtown Rd</t>
  </si>
  <si>
    <t>Langhorne</t>
  </si>
  <si>
    <t>(215) 710-2000</t>
  </si>
  <si>
    <t>R707</t>
  </si>
  <si>
    <t>Suburban Community Hospital</t>
  </si>
  <si>
    <t>2701 Dekalb Pike</t>
  </si>
  <si>
    <t>(610) 278-2000</t>
  </si>
  <si>
    <t>R654</t>
  </si>
  <si>
    <t>3401 N Broad St</t>
  </si>
  <si>
    <t>S708</t>
  </si>
  <si>
    <t>Inspira Medical Center Mannington</t>
  </si>
  <si>
    <t>310 Woodstown Rd</t>
  </si>
  <si>
    <t>Salem</t>
  </si>
  <si>
    <t>(856) 935-1000</t>
  </si>
  <si>
    <t>S711</t>
  </si>
  <si>
    <t>Valley Hospital</t>
  </si>
  <si>
    <t>223 N Van Dien Ave</t>
  </si>
  <si>
    <t>Ridgewood</t>
  </si>
  <si>
    <t>(201) 447-8000</t>
  </si>
  <si>
    <t>Valley Health System</t>
  </si>
  <si>
    <t>The Valley Hospital - Paramus Campus</t>
  </si>
  <si>
    <t>DZRE</t>
  </si>
  <si>
    <t>Wanaque Convalescent Ctr for Nursing &amp; Rehab</t>
  </si>
  <si>
    <t>1433 Ringwood Ave</t>
  </si>
  <si>
    <t>Haskell</t>
  </si>
  <si>
    <t>(973) 839-2119</t>
  </si>
  <si>
    <t>Seniors Management Inc</t>
  </si>
  <si>
    <t>JAQF</t>
  </si>
  <si>
    <t>111 S 11th St</t>
  </si>
  <si>
    <t>(215) 955-6000</t>
  </si>
  <si>
    <t>S691</t>
  </si>
  <si>
    <t>Trenton Psychiatric Hospital</t>
  </si>
  <si>
    <t>Rt 29 N Sullivan Way</t>
  </si>
  <si>
    <t>(609) 633-1500</t>
  </si>
  <si>
    <t>S690</t>
  </si>
  <si>
    <t>Overlook Hospital Satellite Emergency Dept</t>
  </si>
  <si>
    <t>1000 Galloping Hill Rd</t>
  </si>
  <si>
    <t>Union</t>
  </si>
  <si>
    <t>(973) 660-3100</t>
  </si>
  <si>
    <t>Standalone Emergency Room</t>
  </si>
  <si>
    <t>DMJF</t>
  </si>
  <si>
    <t>Penn State Childrens Hopital</t>
  </si>
  <si>
    <t>Po Box 850</t>
  </si>
  <si>
    <t>17033-0850</t>
  </si>
  <si>
    <t>(717) 531-7101</t>
  </si>
  <si>
    <t>R706</t>
  </si>
  <si>
    <t>Valley Forge Medical Center and Hospital</t>
  </si>
  <si>
    <t>1033 West Germantown Park</t>
  </si>
  <si>
    <t>(215) 539-8500</t>
  </si>
  <si>
    <t>Lion Health System</t>
  </si>
  <si>
    <t>S686</t>
  </si>
  <si>
    <t>St Josephs Medical Center Wayne</t>
  </si>
  <si>
    <t>224 Hamburg Tpke</t>
  </si>
  <si>
    <t>Wayne</t>
  </si>
  <si>
    <t>(973) 942-6900</t>
  </si>
  <si>
    <t>Q844</t>
  </si>
  <si>
    <t>Wayne Memorial Hospital</t>
  </si>
  <si>
    <t>601 Park Ave</t>
  </si>
  <si>
    <t>Honesdale</t>
  </si>
  <si>
    <t>(570) 253-8100</t>
  </si>
  <si>
    <t>S759</t>
  </si>
  <si>
    <t>Clara Maass Medical Center West Hudson Div</t>
  </si>
  <si>
    <t>206 Bergen Ave</t>
  </si>
  <si>
    <t>Kearny</t>
  </si>
  <si>
    <t>(201) 955-7000</t>
  </si>
  <si>
    <t>R445</t>
  </si>
  <si>
    <t>Virtua Berlin</t>
  </si>
  <si>
    <t>100 Townsend Ave</t>
  </si>
  <si>
    <t>(856) 322-3000</t>
  </si>
  <si>
    <t>S750</t>
  </si>
  <si>
    <t>Virtua Marlton</t>
  </si>
  <si>
    <t>90 Brick Rd</t>
  </si>
  <si>
    <t>Marlton</t>
  </si>
  <si>
    <t>(856) 355-6000</t>
  </si>
  <si>
    <t>S687</t>
  </si>
  <si>
    <t>Virtua Voorhees</t>
  </si>
  <si>
    <t>100 Bowman Dr</t>
  </si>
  <si>
    <t>Voorhees</t>
  </si>
  <si>
    <t>(856) 325-3200</t>
  </si>
  <si>
    <t>S358</t>
  </si>
  <si>
    <t>Baystate Wing Hospital</t>
  </si>
  <si>
    <t>40 Wright Street</t>
  </si>
  <si>
    <t>Palmer</t>
  </si>
  <si>
    <t>(413) 283-7651</t>
  </si>
  <si>
    <t>XX73</t>
  </si>
  <si>
    <t>Woodcrest Center</t>
  </si>
  <si>
    <t>800 River Rd</t>
  </si>
  <si>
    <t>New Milford</t>
  </si>
  <si>
    <t>(201) 967-1700</t>
  </si>
  <si>
    <t>CareOne Management</t>
  </si>
  <si>
    <t>P963</t>
  </si>
  <si>
    <t>Goleta Valley Cottage Hospital</t>
  </si>
  <si>
    <t>351 S Patterson Ave</t>
  </si>
  <si>
    <t>93111-2403</t>
  </si>
  <si>
    <t>(805) 967-3411</t>
  </si>
  <si>
    <t>DZGU</t>
  </si>
  <si>
    <t>WK Bossier Health Center</t>
  </si>
  <si>
    <t>2400 Hospital Dr</t>
  </si>
  <si>
    <t>71111-2385</t>
  </si>
  <si>
    <t>(318) 212-7000</t>
  </si>
  <si>
    <t>R551</t>
  </si>
  <si>
    <t>Chan Soon-Shiong Medical Center at Windber</t>
  </si>
  <si>
    <t>600 Somerset Ave</t>
  </si>
  <si>
    <t>Windber</t>
  </si>
  <si>
    <t>15963-1331</t>
  </si>
  <si>
    <t>(814) 467-3000</t>
  </si>
  <si>
    <t>DZGW</t>
  </si>
  <si>
    <t>Diagnostic Laboratory Services Inc</t>
  </si>
  <si>
    <t>99-859 Iwaiwa St</t>
  </si>
  <si>
    <t>Aiea</t>
  </si>
  <si>
    <t>96701-3267</t>
  </si>
  <si>
    <t>(808) 589-5100</t>
  </si>
  <si>
    <t>DZGZ</t>
  </si>
  <si>
    <t>Rush Surgicenter LTD</t>
  </si>
  <si>
    <t>1725 W Harrison St Ste 556</t>
  </si>
  <si>
    <t>(312) 563-2269</t>
  </si>
  <si>
    <t>DZHB</t>
  </si>
  <si>
    <t>CentraCare Willmar Surgery Center</t>
  </si>
  <si>
    <t>1310 1st St S</t>
  </si>
  <si>
    <t>(320) 235-6506</t>
  </si>
  <si>
    <t>V325</t>
  </si>
  <si>
    <t>Mayo Clinic Health System in Waseca</t>
  </si>
  <si>
    <t>501 State St N</t>
  </si>
  <si>
    <t>Waseca</t>
  </si>
  <si>
    <t>56093-2811</t>
  </si>
  <si>
    <t>(507) 835-1210</t>
  </si>
  <si>
    <t>R808</t>
  </si>
  <si>
    <t>Fort Loudoun Medical Center</t>
  </si>
  <si>
    <t>550 Fort Loudoun Medical Center Dr</t>
  </si>
  <si>
    <t>Lenoir City</t>
  </si>
  <si>
    <t>37772-5673</t>
  </si>
  <si>
    <t>(865) 271-6500</t>
  </si>
  <si>
    <t>Q167</t>
  </si>
  <si>
    <t>Estes Park Health</t>
  </si>
  <si>
    <t>555 Prospect Ave</t>
  </si>
  <si>
    <t>Estes Park</t>
  </si>
  <si>
    <t>(970) 586-2317</t>
  </si>
  <si>
    <t>V102</t>
  </si>
  <si>
    <t>Archbold Grady General Hospital</t>
  </si>
  <si>
    <t>1155 5th St Se</t>
  </si>
  <si>
    <t>Cairo</t>
  </si>
  <si>
    <t>39828-3162</t>
  </si>
  <si>
    <t>(229) 377-1150</t>
  </si>
  <si>
    <t>W581</t>
  </si>
  <si>
    <t>Archbold Brooks County Hospital</t>
  </si>
  <si>
    <t>903 N Court St</t>
  </si>
  <si>
    <t>Quitman</t>
  </si>
  <si>
    <t>31643-1315</t>
  </si>
  <si>
    <t>(229) 263-4171</t>
  </si>
  <si>
    <t>R464</t>
  </si>
  <si>
    <t>CalvertHealth Medical Center</t>
  </si>
  <si>
    <t>100 Hospital Rd</t>
  </si>
  <si>
    <t>Prince Frederick</t>
  </si>
  <si>
    <t>20678-4016</t>
  </si>
  <si>
    <t>(410) 535-4000</t>
  </si>
  <si>
    <t>Calvert Health System Inc</t>
  </si>
  <si>
    <t>U510</t>
  </si>
  <si>
    <t>Perham Health</t>
  </si>
  <si>
    <t>1000 Coney St W</t>
  </si>
  <si>
    <t>Perham</t>
  </si>
  <si>
    <t>(218) 346-4500</t>
  </si>
  <si>
    <t>Q525</t>
  </si>
  <si>
    <t>OhioHealth Grant Medical Center</t>
  </si>
  <si>
    <t>111 S Grant Ave</t>
  </si>
  <si>
    <t>43215-1898</t>
  </si>
  <si>
    <t>(614) 566-9000</t>
  </si>
  <si>
    <t>W608</t>
  </si>
  <si>
    <t>MaineGeneral Rehabilitation &amp; Nursing Care at Gray Birch</t>
  </si>
  <si>
    <t>40 Glenridge Dr</t>
  </si>
  <si>
    <t>(207) 623-2593</t>
  </si>
  <si>
    <t>MaineHealth Supply Chain Network</t>
  </si>
  <si>
    <t>W609</t>
  </si>
  <si>
    <t>MaineGeneral Health Associates</t>
  </si>
  <si>
    <t>152 Dresden Ave</t>
  </si>
  <si>
    <t>Gardiner</t>
  </si>
  <si>
    <t>(207) 626-1760</t>
  </si>
  <si>
    <t>R080</t>
  </si>
  <si>
    <t>MaineGeneral Medical Center-Augusta Campus</t>
  </si>
  <si>
    <t>35 Medical Center Pkwy</t>
  </si>
  <si>
    <t>(207) 626-1000</t>
  </si>
  <si>
    <t>HCJX</t>
  </si>
  <si>
    <t>UNC Rex Health Care Inc</t>
  </si>
  <si>
    <t>4420 Lake Boone Trail</t>
  </si>
  <si>
    <t>(919) 784-3100</t>
  </si>
  <si>
    <t>JJVK</t>
  </si>
  <si>
    <t>1600 Albany St</t>
  </si>
  <si>
    <t>Beech Grove</t>
  </si>
  <si>
    <t>Franciscan Alliance Inc</t>
  </si>
  <si>
    <t>U567</t>
  </si>
  <si>
    <t>Harmony Community Healthcare Inc</t>
  </si>
  <si>
    <t>815 Main Ave S</t>
  </si>
  <si>
    <t>Harmony</t>
  </si>
  <si>
    <t>55939-6625</t>
  </si>
  <si>
    <t>(507) 886-6544</t>
  </si>
  <si>
    <t>U633</t>
  </si>
  <si>
    <t>Palmer Lutheran Health Center Inc</t>
  </si>
  <si>
    <t>112 Jefferson St</t>
  </si>
  <si>
    <t>Add Location Notes</t>
  </si>
  <si>
    <t>West Union</t>
  </si>
  <si>
    <t>52175-1022</t>
  </si>
  <si>
    <t>(563) 422-3811</t>
  </si>
  <si>
    <t>R825</t>
  </si>
  <si>
    <t>East Tennessee Childrens Hospital</t>
  </si>
  <si>
    <t>2018 W Clinch Ave</t>
  </si>
  <si>
    <t>37916-2301</t>
  </si>
  <si>
    <t>(865) 541-8000</t>
  </si>
  <si>
    <t>Q737</t>
  </si>
  <si>
    <t>Indiana University Health University Hospital</t>
  </si>
  <si>
    <t>550 University Blvd Rm R077</t>
  </si>
  <si>
    <t>46202-5149</t>
  </si>
  <si>
    <t>(317) 274-5000</t>
  </si>
  <si>
    <t>Indiana University Health Medical Group</t>
  </si>
  <si>
    <t>U482</t>
  </si>
  <si>
    <t>Gillette Childrens Specialty Healthcare</t>
  </si>
  <si>
    <t>200 University Ave East</t>
  </si>
  <si>
    <t>(651) 312-3199</t>
  </si>
  <si>
    <t>DLRR</t>
  </si>
  <si>
    <t>WellSpan Health</t>
  </si>
  <si>
    <t>45 Monument Rd Ste 200</t>
  </si>
  <si>
    <t>York</t>
  </si>
  <si>
    <t>(717) 851-2269</t>
  </si>
  <si>
    <t>Q782</t>
  </si>
  <si>
    <t>IU Health Jay Hospital</t>
  </si>
  <si>
    <t>500 W Votaw St</t>
  </si>
  <si>
    <t>Portland</t>
  </si>
  <si>
    <t>47371-1322</t>
  </si>
  <si>
    <t>(260) 726-7131</t>
  </si>
  <si>
    <t>Q918</t>
  </si>
  <si>
    <t>Bradford Regional Medical Center</t>
  </si>
  <si>
    <t>116-156 Interstate Pkwy</t>
  </si>
  <si>
    <t>Bradford</t>
  </si>
  <si>
    <t>(814) 368-4143</t>
  </si>
  <si>
    <t>S196</t>
  </si>
  <si>
    <t>Butler Hospital</t>
  </si>
  <si>
    <t>345 Blackstone Blvd Ste 2</t>
  </si>
  <si>
    <t>(401) 455-6200</t>
  </si>
  <si>
    <t>VV00</t>
  </si>
  <si>
    <t>VV05</t>
  </si>
  <si>
    <t>(800) 821-1535</t>
  </si>
  <si>
    <t>W123</t>
  </si>
  <si>
    <t>Froedtert Health - Froedtert Hospital</t>
  </si>
  <si>
    <t>9200 W Wisconsin Ave</t>
  </si>
  <si>
    <t>53226-3522</t>
  </si>
  <si>
    <t>(414) 259-3000</t>
  </si>
  <si>
    <t>U046</t>
  </si>
  <si>
    <t>Lamb Healthcare Center</t>
  </si>
  <si>
    <t>1500 S Sunset Ave</t>
  </si>
  <si>
    <t>Littlefield</t>
  </si>
  <si>
    <t>79339-4899</t>
  </si>
  <si>
    <t>(806) 385-6411</t>
  </si>
  <si>
    <t>PPN - RX</t>
  </si>
  <si>
    <t>W620</t>
  </si>
  <si>
    <t>MultiCare Allenmore Hospital</t>
  </si>
  <si>
    <t>(253) 459-6363</t>
  </si>
  <si>
    <t>P544</t>
  </si>
  <si>
    <t>Alameda Health System - Alameda</t>
  </si>
  <si>
    <t>2070 Clinton Ave</t>
  </si>
  <si>
    <t>Alameda</t>
  </si>
  <si>
    <t>(510) 522-3700</t>
  </si>
  <si>
    <t>Alameda Health System</t>
  </si>
  <si>
    <t>T451</t>
  </si>
  <si>
    <t>Sanford Medical Center Vermillion</t>
  </si>
  <si>
    <t>20 S Plum St</t>
  </si>
  <si>
    <t>Vermillion</t>
  </si>
  <si>
    <t>57069-3346</t>
  </si>
  <si>
    <t>(605) 624-2611</t>
  </si>
  <si>
    <t>DAFD</t>
  </si>
  <si>
    <t>Barnes-Jewish West County Hospital</t>
  </si>
  <si>
    <t>12634 Olive Blvd</t>
  </si>
  <si>
    <t>(314) 996-8000</t>
  </si>
  <si>
    <t>DAFE</t>
  </si>
  <si>
    <t>Community Hospital South</t>
  </si>
  <si>
    <t>1402 E County Line Rd</t>
  </si>
  <si>
    <t>46227-0963</t>
  </si>
  <si>
    <t>(317) 887-7000</t>
  </si>
  <si>
    <t>Q779</t>
  </si>
  <si>
    <t>Indiana University Health Paoli Hospital</t>
  </si>
  <si>
    <t>642 W Hospital Rd</t>
  </si>
  <si>
    <t>47454-9672</t>
  </si>
  <si>
    <t>(812) 723-2811</t>
  </si>
  <si>
    <t>Q808</t>
  </si>
  <si>
    <t>Meadville Medical Center</t>
  </si>
  <si>
    <t>751 Liberty St</t>
  </si>
  <si>
    <t>Meadville</t>
  </si>
  <si>
    <t>(814) 333-6000</t>
  </si>
  <si>
    <t>Q435</t>
  </si>
  <si>
    <t>Corewell Health Wayne Hospital</t>
  </si>
  <si>
    <t>33155 Annapolis St</t>
  </si>
  <si>
    <t>48184-2405</t>
  </si>
  <si>
    <t>(734) 467-4000</t>
  </si>
  <si>
    <t>Q427</t>
  </si>
  <si>
    <t>Corewell Health Trenton Hospital</t>
  </si>
  <si>
    <t>5450 Fort St</t>
  </si>
  <si>
    <t>(734) 671-3800</t>
  </si>
  <si>
    <t>Q420</t>
  </si>
  <si>
    <t>Corewell Health Taylor Hospital</t>
  </si>
  <si>
    <t>10000 Telegraph Rd</t>
  </si>
  <si>
    <t>48180-3330</t>
  </si>
  <si>
    <t>(313) 295-5000</t>
  </si>
  <si>
    <t>P565</t>
  </si>
  <si>
    <t>Sutter Auburn Faith Hospital</t>
  </si>
  <si>
    <t>11815 Education St</t>
  </si>
  <si>
    <t>Auburn</t>
  </si>
  <si>
    <t>(530) 888-4500</t>
  </si>
  <si>
    <t>DAJU</t>
  </si>
  <si>
    <t>Coosa Valley Medical Center</t>
  </si>
  <si>
    <t>315 W Hickory St</t>
  </si>
  <si>
    <t>Sylacauga</t>
  </si>
  <si>
    <t>35150-2913</t>
  </si>
  <si>
    <t>(256) 401-4000</t>
  </si>
  <si>
    <t>R587</t>
  </si>
  <si>
    <t>Crozer-Chester Med Ctr Springfield Divisio</t>
  </si>
  <si>
    <t>190 W Sproul Rd</t>
  </si>
  <si>
    <t>(610) 328-8700</t>
  </si>
  <si>
    <t>R165</t>
  </si>
  <si>
    <t>Canton-Potsdam Hospital</t>
  </si>
  <si>
    <t>50 Leroy St</t>
  </si>
  <si>
    <t>Potsdam</t>
  </si>
  <si>
    <t>13676-1799</t>
  </si>
  <si>
    <t>(315) 265-3300</t>
  </si>
  <si>
    <t>S151</t>
  </si>
  <si>
    <t>Memorial Hospital Belleville</t>
  </si>
  <si>
    <t>4500 Memorial Dr</t>
  </si>
  <si>
    <t>62226-5399</t>
  </si>
  <si>
    <t>(618) 233-7750</t>
  </si>
  <si>
    <t>Memorial Group Inc</t>
  </si>
  <si>
    <t>VV11</t>
  </si>
  <si>
    <t>Guthrie Medical Group PC</t>
  </si>
  <si>
    <t>Guthrie Sq</t>
  </si>
  <si>
    <t>(570) 888-5858</t>
  </si>
  <si>
    <t>VV15</t>
  </si>
  <si>
    <t>(802) 447-5015</t>
  </si>
  <si>
    <t>R821</t>
  </si>
  <si>
    <t>Parkwest Medical Center</t>
  </si>
  <si>
    <t>9352 Park West Blvd</t>
  </si>
  <si>
    <t>37923-4387</t>
  </si>
  <si>
    <t>(865) 373-1000</t>
  </si>
  <si>
    <t>P557</t>
  </si>
  <si>
    <t>Sutter Delta Medical Center</t>
  </si>
  <si>
    <t>3901 Lone Tree Way</t>
  </si>
  <si>
    <t>Antioch</t>
  </si>
  <si>
    <t>94509-6200</t>
  </si>
  <si>
    <t>(925) 779-7200</t>
  </si>
  <si>
    <t>DBOP</t>
  </si>
  <si>
    <t>Kaiser Permanente Manteca Medical Center</t>
  </si>
  <si>
    <t>1777 W Yosemite Ave</t>
  </si>
  <si>
    <t>Manteca</t>
  </si>
  <si>
    <t>95337-5130</t>
  </si>
  <si>
    <t>(209) 825-3700</t>
  </si>
  <si>
    <t>W495</t>
  </si>
  <si>
    <t>Citizens Memorial Hospital District</t>
  </si>
  <si>
    <t>1500 N Oakland Ave</t>
  </si>
  <si>
    <t>65613-3099</t>
  </si>
  <si>
    <t>(417) 326-6000</t>
  </si>
  <si>
    <t>Q758</t>
  </si>
  <si>
    <t>Greene County General Hospital</t>
  </si>
  <si>
    <t>1185 N 1000 W</t>
  </si>
  <si>
    <t>Linton</t>
  </si>
  <si>
    <t>47441-5282</t>
  </si>
  <si>
    <t>(812) 847-2281</t>
  </si>
  <si>
    <t>V100</t>
  </si>
  <si>
    <t>90 E Stephens St</t>
  </si>
  <si>
    <t>Camilla</t>
  </si>
  <si>
    <t>31730-1899</t>
  </si>
  <si>
    <t>(229) 336-5284</t>
  </si>
  <si>
    <t>P704</t>
  </si>
  <si>
    <t>Sutter Amador Hospital</t>
  </si>
  <si>
    <t>200 Mission Blvd</t>
  </si>
  <si>
    <t>95642-2564</t>
  </si>
  <si>
    <t>(209) 223-7500</t>
  </si>
  <si>
    <t>DBTG</t>
  </si>
  <si>
    <t>Sardis Nursing Home</t>
  </si>
  <si>
    <t>5151 Sardis Rd</t>
  </si>
  <si>
    <t>(704) 365-4202</t>
  </si>
  <si>
    <t>T085</t>
  </si>
  <si>
    <t>Liberty Hospital</t>
  </si>
  <si>
    <t>2525 Glenn Hendren Dr</t>
  </si>
  <si>
    <t>Liberty</t>
  </si>
  <si>
    <t>64068-9625</t>
  </si>
  <si>
    <t>(816) 781-7200</t>
  </si>
  <si>
    <t>Q436</t>
  </si>
  <si>
    <t>MyMichigan Medical Center West Branch</t>
  </si>
  <si>
    <t>2463 S M 30</t>
  </si>
  <si>
    <t>West Branch</t>
  </si>
  <si>
    <t>48661-8738</t>
  </si>
  <si>
    <t>(989) 345-3660</t>
  </si>
  <si>
    <t>MyMichigan Health</t>
  </si>
  <si>
    <t>DCPD</t>
  </si>
  <si>
    <t>Oakwood Common Retirement Community</t>
  </si>
  <si>
    <t>16351 Rotunda Dr</t>
  </si>
  <si>
    <t>(313) 253-9600</t>
  </si>
  <si>
    <t>V556</t>
  </si>
  <si>
    <t>(405) 372-1480</t>
  </si>
  <si>
    <t>S373</t>
  </si>
  <si>
    <t>Nantucket Cottage Hospital Inc</t>
  </si>
  <si>
    <t>57 Prospect St Unit 1</t>
  </si>
  <si>
    <t>Nantucket</t>
  </si>
  <si>
    <t>(508) 825-8100</t>
  </si>
  <si>
    <t>Q445</t>
  </si>
  <si>
    <t>Corewell Health Zeeland Hospital</t>
  </si>
  <si>
    <t>8333 Felch St</t>
  </si>
  <si>
    <t>Zeeland</t>
  </si>
  <si>
    <t>(616) 772-4644</t>
  </si>
  <si>
    <t>DDFI</t>
  </si>
  <si>
    <t>Community Hospital East</t>
  </si>
  <si>
    <t>1500 N Ritter Ave</t>
  </si>
  <si>
    <t>46219-3027</t>
  </si>
  <si>
    <t>Q598</t>
  </si>
  <si>
    <t>Cleveland Clinic - Medina Hospital</t>
  </si>
  <si>
    <t>1000 E Washington St</t>
  </si>
  <si>
    <t>Medina</t>
  </si>
  <si>
    <t>44256-2170</t>
  </si>
  <si>
    <t>(330) 725-1000</t>
  </si>
  <si>
    <t>V099</t>
  </si>
  <si>
    <t>Northside Hospital-Cherokee</t>
  </si>
  <si>
    <t>450 Northside Cherokee Blvd</t>
  </si>
  <si>
    <t>Canton</t>
  </si>
  <si>
    <t>(770) 722-1000</t>
  </si>
  <si>
    <t>S705</t>
  </si>
  <si>
    <t>Shore Medical Center</t>
  </si>
  <si>
    <t>1 E New York Ave</t>
  </si>
  <si>
    <t>Somers Point</t>
  </si>
  <si>
    <t>(609) 653-3500</t>
  </si>
  <si>
    <t>Shore Medical Center Health System</t>
  </si>
  <si>
    <t>DDLM</t>
  </si>
  <si>
    <t>Baptist Healthcare of Oklahoma Inc</t>
  </si>
  <si>
    <t>3366 Nw Expressway</t>
  </si>
  <si>
    <t>73112-4462</t>
  </si>
  <si>
    <t>(405) 848-6504</t>
  </si>
  <si>
    <t>V622</t>
  </si>
  <si>
    <t>INTEGRIS Grove Hospital</t>
  </si>
  <si>
    <t>1001 E 18th St</t>
  </si>
  <si>
    <t>Grove</t>
  </si>
  <si>
    <t>74344-2907</t>
  </si>
  <si>
    <t>(918) 786-2243</t>
  </si>
  <si>
    <t>V570</t>
  </si>
  <si>
    <t>INTEGRIS Mayes County Medical Center</t>
  </si>
  <si>
    <t>111 N Bailey St</t>
  </si>
  <si>
    <t>Pryor</t>
  </si>
  <si>
    <t>74361-4201</t>
  </si>
  <si>
    <t>(918) 825-1600</t>
  </si>
  <si>
    <t>Q890</t>
  </si>
  <si>
    <t>Corry Memorial Hospital</t>
  </si>
  <si>
    <t>965 Shamrock Ln</t>
  </si>
  <si>
    <t>Corry</t>
  </si>
  <si>
    <t>(814) 664-4641</t>
  </si>
  <si>
    <t>Q920</t>
  </si>
  <si>
    <t>Geisinger Bloomsburg Hospital</t>
  </si>
  <si>
    <t>549 E Fair St</t>
  </si>
  <si>
    <t>Bloomsburg</t>
  </si>
  <si>
    <t>17815-0340</t>
  </si>
  <si>
    <t>(570) 387-2100</t>
  </si>
  <si>
    <t>DDJT</t>
  </si>
  <si>
    <t>Saint Barnabas Behavioral Health Center Inc</t>
  </si>
  <si>
    <t>1691 Us Hwy Ste 9 - Cn-2025</t>
  </si>
  <si>
    <t>(732) 914-1688</t>
  </si>
  <si>
    <t>U951</t>
  </si>
  <si>
    <t>OCH Regional Medical Center</t>
  </si>
  <si>
    <t>400 Hospital Rd</t>
  </si>
  <si>
    <t>Starkville</t>
  </si>
  <si>
    <t>39759-2163</t>
  </si>
  <si>
    <t>(662) 323-4320</t>
  </si>
  <si>
    <t>S673</t>
  </si>
  <si>
    <t>Virginia Hospital Center</t>
  </si>
  <si>
    <t>1701 N George Mason Dr</t>
  </si>
  <si>
    <t>22205-3698</t>
  </si>
  <si>
    <t>(703) 558-5000</t>
  </si>
  <si>
    <t>VV16</t>
  </si>
  <si>
    <t>244 Fort Sanders West Blvd</t>
  </si>
  <si>
    <t>37922-3355</t>
  </si>
  <si>
    <t>(865) 531-5555</t>
  </si>
  <si>
    <t>U470</t>
  </si>
  <si>
    <t>Sanford Medical Center Tracy</t>
  </si>
  <si>
    <t>251 5th St E</t>
  </si>
  <si>
    <t>56175-1536</t>
  </si>
  <si>
    <t>(507) 629-3200</t>
  </si>
  <si>
    <t>S554</t>
  </si>
  <si>
    <t>Sentara Independence</t>
  </si>
  <si>
    <t>800 Independence Blvd</t>
  </si>
  <si>
    <t>(757) 363-6100</t>
  </si>
  <si>
    <t>Sentara Virginia Beach General Hospital</t>
  </si>
  <si>
    <t>V968</t>
  </si>
  <si>
    <t>Davie Medical Center</t>
  </si>
  <si>
    <t>223 Hospital St</t>
  </si>
  <si>
    <t>Mocksville</t>
  </si>
  <si>
    <t>(336) 751-8100</t>
  </si>
  <si>
    <t>W256</t>
  </si>
  <si>
    <t>Vail Health Hospital</t>
  </si>
  <si>
    <t>181 W Meadow Dr</t>
  </si>
  <si>
    <t>Vail</t>
  </si>
  <si>
    <t>81657-5242</t>
  </si>
  <si>
    <t>(970) 476-2451</t>
  </si>
  <si>
    <t>Vail Health Services</t>
  </si>
  <si>
    <t>V803</t>
  </si>
  <si>
    <t>Ellsworth County Medical Center</t>
  </si>
  <si>
    <t>1604 Aylward Ave</t>
  </si>
  <si>
    <t>Ellsworth</t>
  </si>
  <si>
    <t>67439-2541</t>
  </si>
  <si>
    <t>(785) 472-3111</t>
  </si>
  <si>
    <t>T450</t>
  </si>
  <si>
    <t>Pioneer Memorial Hospital &amp; Health Services</t>
  </si>
  <si>
    <t>315 N Washington St</t>
  </si>
  <si>
    <t>Viborg</t>
  </si>
  <si>
    <t>57070-2002</t>
  </si>
  <si>
    <t>(605) 326-5161</t>
  </si>
  <si>
    <t>R023</t>
  </si>
  <si>
    <t>Booneville Community Hospital</t>
  </si>
  <si>
    <t>880 W Main St</t>
  </si>
  <si>
    <t>72927-3420</t>
  </si>
  <si>
    <t>(479) 675-2800</t>
  </si>
  <si>
    <t>DAJH</t>
  </si>
  <si>
    <t>Memorial Hermann - The Woodlands Hospital</t>
  </si>
  <si>
    <t>9250 Pinecroft Dr</t>
  </si>
  <si>
    <t>Shenandoah</t>
  </si>
  <si>
    <t>77380-3218</t>
  </si>
  <si>
    <t>(281) 364-2300</t>
  </si>
  <si>
    <t>Q371</t>
  </si>
  <si>
    <t>Corewell Health Niles Hospital</t>
  </si>
  <si>
    <t>31 N St Joseph Ave</t>
  </si>
  <si>
    <t>Niles</t>
  </si>
  <si>
    <t>49120-2207</t>
  </si>
  <si>
    <t>(269) 683-5510</t>
  </si>
  <si>
    <t>P917</t>
  </si>
  <si>
    <t>Chinese Hospital</t>
  </si>
  <si>
    <t>845 Jackson St</t>
  </si>
  <si>
    <t>(415) 982-2400</t>
  </si>
  <si>
    <t>P240</t>
  </si>
  <si>
    <t>Sarah Bush Lincoln Health Center</t>
  </si>
  <si>
    <t>1000 Health Center Dr</t>
  </si>
  <si>
    <t>Mattoon</t>
  </si>
  <si>
    <t>61938-9261</t>
  </si>
  <si>
    <t>(217) 258-2525</t>
  </si>
  <si>
    <t>Sarah Bush Lincoln Health System</t>
  </si>
  <si>
    <t>U254</t>
  </si>
  <si>
    <t>Boundary Community Hospital</t>
  </si>
  <si>
    <t>6640 Kaniksu St</t>
  </si>
  <si>
    <t>Bonners Ferry</t>
  </si>
  <si>
    <t>(208) 267-3141</t>
  </si>
  <si>
    <t>U239</t>
  </si>
  <si>
    <t>Shoshone Medical Center</t>
  </si>
  <si>
    <t>25 Jacobs Gulch Rd</t>
  </si>
  <si>
    <t>Kellogg</t>
  </si>
  <si>
    <t>83837-2023</t>
  </si>
  <si>
    <t>(208) 784-1221</t>
  </si>
  <si>
    <t>VV17</t>
  </si>
  <si>
    <t>Q001</t>
  </si>
  <si>
    <t>St Josephs Behavioral Health Center</t>
  </si>
  <si>
    <t>2510 N California St</t>
  </si>
  <si>
    <t>95204-5502</t>
  </si>
  <si>
    <t>(209) 948-2100</t>
  </si>
  <si>
    <t>DETC</t>
  </si>
  <si>
    <t>WakeMed Cary Hospital</t>
  </si>
  <si>
    <t>1900 Kildaire Farm Rd</t>
  </si>
  <si>
    <t>Cary</t>
  </si>
  <si>
    <t>27518-6616</t>
  </si>
  <si>
    <t>DCTY</t>
  </si>
  <si>
    <t>Sanford Medical Center Sheldon</t>
  </si>
  <si>
    <t>118 N 7th Ave</t>
  </si>
  <si>
    <t>Sheldon</t>
  </si>
  <si>
    <t>51201-1235</t>
  </si>
  <si>
    <t>(712) 324-6450</t>
  </si>
  <si>
    <t>Q247</t>
  </si>
  <si>
    <t>Cheboygan Memorial Hospital</t>
  </si>
  <si>
    <t>748 S Main St</t>
  </si>
  <si>
    <t>Cheboygan</t>
  </si>
  <si>
    <t>(231) 627-5601</t>
  </si>
  <si>
    <t>VV18</t>
  </si>
  <si>
    <t>McLaren Northern Michigan</t>
  </si>
  <si>
    <t>W350</t>
  </si>
  <si>
    <t>Sparrow Health Carson Hospital</t>
  </si>
  <si>
    <t>406 E Elm St</t>
  </si>
  <si>
    <t>Carson City</t>
  </si>
  <si>
    <t>48811-9693</t>
  </si>
  <si>
    <t>(989) 584-3971</t>
  </si>
  <si>
    <t>DGDW</t>
  </si>
  <si>
    <t>Pine Ridge Nursing And Rehabilitation</t>
  </si>
  <si>
    <t>4368 Cleveland Ave</t>
  </si>
  <si>
    <t>Stevensville</t>
  </si>
  <si>
    <t>49127-9595</t>
  </si>
  <si>
    <t>(269) 983-6501</t>
  </si>
  <si>
    <t>T500</t>
  </si>
  <si>
    <t>Sanford Medical Center Canton Inwood</t>
  </si>
  <si>
    <t>440 N Hiawatha Dr</t>
  </si>
  <si>
    <t>57013-5800</t>
  </si>
  <si>
    <t>(605) 987-2621</t>
  </si>
  <si>
    <t>DGHC</t>
  </si>
  <si>
    <t>Crozer-Chester Medical Center Community Div</t>
  </si>
  <si>
    <t>2600 W 9th St</t>
  </si>
  <si>
    <t>19013-2040</t>
  </si>
  <si>
    <t>(610) 487-7200</t>
  </si>
  <si>
    <t>Alcoholism &amp; Other Chemical Dependency</t>
  </si>
  <si>
    <t>Q464</t>
  </si>
  <si>
    <t>Bluffton Hospital</t>
  </si>
  <si>
    <t>139 Garau St</t>
  </si>
  <si>
    <t>Bluffton</t>
  </si>
  <si>
    <t>(419) 358-9010</t>
  </si>
  <si>
    <t>Q634</t>
  </si>
  <si>
    <t>OhioHealth Shelby Hospital</t>
  </si>
  <si>
    <t>199 W Main St</t>
  </si>
  <si>
    <t>Shelby</t>
  </si>
  <si>
    <t>44875-1490</t>
  </si>
  <si>
    <t>(419) 342-5015</t>
  </si>
  <si>
    <t>DGMK</t>
  </si>
  <si>
    <t>Covenant Childrens Hospital</t>
  </si>
  <si>
    <t>4015 22nd Pl</t>
  </si>
  <si>
    <t>79410-1119</t>
  </si>
  <si>
    <t>Q556</t>
  </si>
  <si>
    <t>Avita Galion Hospital</t>
  </si>
  <si>
    <t>269 Portland Way S</t>
  </si>
  <si>
    <t>Galion</t>
  </si>
  <si>
    <t>44833-2312</t>
  </si>
  <si>
    <t>(419) 468-4841</t>
  </si>
  <si>
    <t>Avita Health System</t>
  </si>
  <si>
    <t>TS3 Supply</t>
  </si>
  <si>
    <t>Q467</t>
  </si>
  <si>
    <t>Avita Bucyrus Hospital</t>
  </si>
  <si>
    <t>629 N Sandusky Ave</t>
  </si>
  <si>
    <t>Bucyrus</t>
  </si>
  <si>
    <t>44820-1821</t>
  </si>
  <si>
    <t>(419) 562-4677</t>
  </si>
  <si>
    <t>T412</t>
  </si>
  <si>
    <t>Sanford Medical Center Hillsboro</t>
  </si>
  <si>
    <t>12 3rd St Se</t>
  </si>
  <si>
    <t>58045-4821</t>
  </si>
  <si>
    <t>(701) 636-3200</t>
  </si>
  <si>
    <t>U499</t>
  </si>
  <si>
    <t>LifeCare Medical Center</t>
  </si>
  <si>
    <t>715 Delmore Dr</t>
  </si>
  <si>
    <t>Roseau</t>
  </si>
  <si>
    <t>56751-1534</t>
  </si>
  <si>
    <t>(218) 463-2500</t>
  </si>
  <si>
    <t>HBTY</t>
  </si>
  <si>
    <t>University Medical Center of Princeton @ Plainsboro Retail Pharmacy</t>
  </si>
  <si>
    <t>1 Plainsboro Rd</t>
  </si>
  <si>
    <t>Plainsboro</t>
  </si>
  <si>
    <t>(609) 497-4000</t>
  </si>
  <si>
    <t>Princeton Medical Center</t>
  </si>
  <si>
    <t>S235</t>
  </si>
  <si>
    <t>Concord Hospital</t>
  </si>
  <si>
    <t>(603) 227-7000</t>
  </si>
  <si>
    <t>JALI</t>
  </si>
  <si>
    <t>22 S Greene St</t>
  </si>
  <si>
    <t>(410) 328-8667</t>
  </si>
  <si>
    <t>SS17</t>
  </si>
  <si>
    <t>Physicians Choice</t>
  </si>
  <si>
    <t>1725 S 20th St</t>
  </si>
  <si>
    <t>(800) 228-9976</t>
  </si>
  <si>
    <t>Jerry Johnson</t>
  </si>
  <si>
    <t>jerry.johnson@provista.com</t>
  </si>
  <si>
    <t>Supply Chain Management/Non-Acute</t>
  </si>
  <si>
    <t>JGEI</t>
  </si>
  <si>
    <t>Mayo Foundation for Med Education &amp; Research</t>
  </si>
  <si>
    <t>55905-0001</t>
  </si>
  <si>
    <t>HDIX</t>
  </si>
  <si>
    <t>The University of Texas Southwestern Medical Center</t>
  </si>
  <si>
    <t>5323 Harry Hines Blvd</t>
  </si>
  <si>
    <t>75390-9056</t>
  </si>
  <si>
    <t>(214) 633-5555</t>
  </si>
  <si>
    <t>DLPC</t>
  </si>
  <si>
    <t>(402) 354-5609</t>
  </si>
  <si>
    <t>DJVF</t>
  </si>
  <si>
    <t>BJC Home Care Services Pharmacy</t>
  </si>
  <si>
    <t>710 S Boyle Ave</t>
  </si>
  <si>
    <t>(314) 747-8100</t>
  </si>
  <si>
    <t>DMMP</t>
  </si>
  <si>
    <t>Almost Family - Birmingham</t>
  </si>
  <si>
    <t>420 10th Ave Sw</t>
  </si>
  <si>
    <t>35211-1203</t>
  </si>
  <si>
    <t>(205) 783-7900</t>
  </si>
  <si>
    <t>Almost Family Caretenders</t>
  </si>
  <si>
    <t>DMMJ</t>
  </si>
  <si>
    <t>Delco Systems Services Inc</t>
  </si>
  <si>
    <t>19026-1114</t>
  </si>
  <si>
    <t>(610) 892-8000</t>
  </si>
  <si>
    <t>H605</t>
  </si>
  <si>
    <t>West St Paul Clinic</t>
  </si>
  <si>
    <t>963 Robert St S</t>
  </si>
  <si>
    <t>(651) 451-8050</t>
  </si>
  <si>
    <t>DTEM</t>
  </si>
  <si>
    <t>Boone Plaza Pharmacy</t>
  </si>
  <si>
    <t>65201-5821</t>
  </si>
  <si>
    <t>(314) 875-6255</t>
  </si>
  <si>
    <t>JALC</t>
  </si>
  <si>
    <t>4000 Cambridge St</t>
  </si>
  <si>
    <t>66160-8501</t>
  </si>
  <si>
    <t>(913) 588-5000</t>
  </si>
  <si>
    <t>DWMR</t>
  </si>
  <si>
    <t>167 Point St</t>
  </si>
  <si>
    <t>The Coro Building</t>
  </si>
  <si>
    <t>(401) 444-3500</t>
  </si>
  <si>
    <t>EJIR</t>
  </si>
  <si>
    <t>WB Carrell Memorial Clinic</t>
  </si>
  <si>
    <t>9301 N Central Expressway Ste 400</t>
  </si>
  <si>
    <t>(214) 220-2468</t>
  </si>
  <si>
    <t>The OrthoForum Purchasing Alliance LLC</t>
  </si>
  <si>
    <t>KWBO</t>
  </si>
  <si>
    <t>Physicians Plus Insurance Corp</t>
  </si>
  <si>
    <t>2650 Novation Pkwy</t>
  </si>
  <si>
    <t>53713-3399</t>
  </si>
  <si>
    <t>(608) 282-8900</t>
  </si>
  <si>
    <t>JAQN</t>
  </si>
  <si>
    <t>The University of Texas Medical Branch at Galveston</t>
  </si>
  <si>
    <t>301 University Blvd</t>
  </si>
  <si>
    <t>Galveston</t>
  </si>
  <si>
    <t>(409) 772-1011</t>
  </si>
  <si>
    <t>EEQF</t>
  </si>
  <si>
    <t>CPN - Internal Medicine of Carmel</t>
  </si>
  <si>
    <t>11911 N Meridian St Ste 110</t>
  </si>
  <si>
    <t>Carmel</t>
  </si>
  <si>
    <t>(317) 571-1151</t>
  </si>
  <si>
    <t>Community Physician Network Inc</t>
  </si>
  <si>
    <t>JJYN</t>
  </si>
  <si>
    <t>17822-0001</t>
  </si>
  <si>
    <t>(800) 275-6401</t>
  </si>
  <si>
    <t>S468</t>
  </si>
  <si>
    <t>Brigham and Womens Hospital Inc</t>
  </si>
  <si>
    <t>75 Francis St</t>
  </si>
  <si>
    <t>(617) 732-5500</t>
  </si>
  <si>
    <t>JBPU</t>
  </si>
  <si>
    <t>West Michigan Clinical Laboratory</t>
  </si>
  <si>
    <t>854 Washington Ave</t>
  </si>
  <si>
    <t>49423-7144</t>
  </si>
  <si>
    <t>(616) 355-3800</t>
  </si>
  <si>
    <t>DZCO</t>
  </si>
  <si>
    <t>Bay Imaging</t>
  </si>
  <si>
    <t>2626 E 14th St</t>
  </si>
  <si>
    <t>(718) 332-5300</t>
  </si>
  <si>
    <t>S464</t>
  </si>
  <si>
    <t>Brigham and Womens Faulkner Hospital</t>
  </si>
  <si>
    <t>1153 Centre St</t>
  </si>
  <si>
    <t>(617) 522-5800</t>
  </si>
  <si>
    <t>XX80</t>
  </si>
  <si>
    <t>Arbour Fuller Hospital</t>
  </si>
  <si>
    <t>200 May St</t>
  </si>
  <si>
    <t>Attleboro</t>
  </si>
  <si>
    <t>(508) 838-2212</t>
  </si>
  <si>
    <t>DZES</t>
  </si>
  <si>
    <t>Meera Dewan PC</t>
  </si>
  <si>
    <t>11912 Elm St</t>
  </si>
  <si>
    <t>(402) 330-4770</t>
  </si>
  <si>
    <t>NuEdge Alliance LLC</t>
  </si>
  <si>
    <t>NuEdge - Shared Service Systems Inc</t>
  </si>
  <si>
    <t>NuEdge</t>
  </si>
  <si>
    <t>R241</t>
  </si>
  <si>
    <t>Memorial Sloan Kettering Cancer Center</t>
  </si>
  <si>
    <t>1275 York Ave</t>
  </si>
  <si>
    <t>(212) 639-2000</t>
  </si>
  <si>
    <t>DZCA</t>
  </si>
  <si>
    <t>Absecon Manor</t>
  </si>
  <si>
    <t>1020 Pitney Rd</t>
  </si>
  <si>
    <t>Absecon</t>
  </si>
  <si>
    <t>(609) 646-5400</t>
  </si>
  <si>
    <t>DePaul Health Care</t>
  </si>
  <si>
    <t>Q934</t>
  </si>
  <si>
    <t>St Lukes Hospital- Allentown Campus</t>
  </si>
  <si>
    <t>1736 Hamilton St</t>
  </si>
  <si>
    <t>(610) 770-8300</t>
  </si>
  <si>
    <t>S770</t>
  </si>
  <si>
    <t>Ancora Psychiatric Hospital</t>
  </si>
  <si>
    <t>202 Spring Garden Rd</t>
  </si>
  <si>
    <t>Ancora</t>
  </si>
  <si>
    <t>(609) 561-1700</t>
  </si>
  <si>
    <t>H964</t>
  </si>
  <si>
    <t>Andrews and Patel Associates</t>
  </si>
  <si>
    <t>3912 Trindle Rd</t>
  </si>
  <si>
    <t>(717) 761-8740</t>
  </si>
  <si>
    <t>DZCF</t>
  </si>
  <si>
    <t>Applegarth Care Center</t>
  </si>
  <si>
    <t>Applegarth Rd Box 1328</t>
  </si>
  <si>
    <t>Hightstown</t>
  </si>
  <si>
    <t>(856) 488-4036</t>
  </si>
  <si>
    <t>DZCG</t>
  </si>
  <si>
    <t>Applewood Estates</t>
  </si>
  <si>
    <t>1 Applewood Dr</t>
  </si>
  <si>
    <t>Freehold</t>
  </si>
  <si>
    <t>(732) 780-7370</t>
  </si>
  <si>
    <t>CentraState Healthcare System</t>
  </si>
  <si>
    <t>DZCH</t>
  </si>
  <si>
    <t>Ashbrook Nursing Home</t>
  </si>
  <si>
    <t>1610 Raritan River Rd</t>
  </si>
  <si>
    <t>Scotch Plains</t>
  </si>
  <si>
    <t>(908) 889-5500</t>
  </si>
  <si>
    <t>CPS Services / Cambridge Procurement</t>
  </si>
  <si>
    <t>DZCK</t>
  </si>
  <si>
    <t>AtlantiCare Regional Med Ctr-Distribution Cen</t>
  </si>
  <si>
    <t>1406 Doughty Rd</t>
  </si>
  <si>
    <t>Egg Harbor Township</t>
  </si>
  <si>
    <t>(609) 272-2400</t>
  </si>
  <si>
    <t>Warehouse</t>
  </si>
  <si>
    <t>DZCM</t>
  </si>
  <si>
    <t>Barn Hill Conv Center</t>
  </si>
  <si>
    <t>249 High St</t>
  </si>
  <si>
    <t>(973) 383-5600</t>
  </si>
  <si>
    <t>DZCN</t>
  </si>
  <si>
    <t>Barnegat Nursing Home</t>
  </si>
  <si>
    <t>859 W Bay Ave</t>
  </si>
  <si>
    <t>Barnegat</t>
  </si>
  <si>
    <t>(609) 698-1400</t>
  </si>
  <si>
    <t>R449</t>
  </si>
  <si>
    <t>IJKG Opco LLC d/b/a CarePoint Health - Bayonne Medical Center</t>
  </si>
  <si>
    <t>29 E 29th St</t>
  </si>
  <si>
    <t>Bayonne</t>
  </si>
  <si>
    <t>(201) 858-5000</t>
  </si>
  <si>
    <t>HPP1</t>
  </si>
  <si>
    <t>Complete Care at Bayshore</t>
  </si>
  <si>
    <t>715 N Beers St</t>
  </si>
  <si>
    <t>(732) 739-9000</t>
  </si>
  <si>
    <t>DKHE</t>
  </si>
  <si>
    <t>Belmont Ctr for Comprehensive Treatment</t>
  </si>
  <si>
    <t>4200 Monument Ave</t>
  </si>
  <si>
    <t>(215) 877-2000</t>
  </si>
  <si>
    <t>DZZH</t>
  </si>
  <si>
    <t>Bergen County Health Care Center</t>
  </si>
  <si>
    <t>35 B Piermont Rd</t>
  </si>
  <si>
    <t>Rockleigh</t>
  </si>
  <si>
    <t>(201) 784-9550</t>
  </si>
  <si>
    <t>S727</t>
  </si>
  <si>
    <t>New Bridge Medical Center</t>
  </si>
  <si>
    <t>230 E Ridgewood Ave</t>
  </si>
  <si>
    <t>Paramus</t>
  </si>
  <si>
    <t>(201) 967-4000</t>
  </si>
  <si>
    <t>HPP3</t>
  </si>
  <si>
    <t>Bishop Taylor Manor</t>
  </si>
  <si>
    <t>33 N Walnut St</t>
  </si>
  <si>
    <t>East Orange</t>
  </si>
  <si>
    <t>(973) 676-9057</t>
  </si>
  <si>
    <t>United Methodist Homes of NJ</t>
  </si>
  <si>
    <t>Q911</t>
  </si>
  <si>
    <t>Bryn Mawr Hospital</t>
  </si>
  <si>
    <t>130 Bryn Mawr Ave</t>
  </si>
  <si>
    <t>Bryn Mawr</t>
  </si>
  <si>
    <t>(610) 526-3000</t>
  </si>
  <si>
    <t>Q814</t>
  </si>
  <si>
    <t>Bryn Mawr Rehabilitation Hospital</t>
  </si>
  <si>
    <t>414 Paoli Pike</t>
  </si>
  <si>
    <t>(610) 251-5400</t>
  </si>
  <si>
    <t>R610</t>
  </si>
  <si>
    <t>Bucktail Medical Center</t>
  </si>
  <si>
    <t>1001 Pine St</t>
  </si>
  <si>
    <t>Renovo</t>
  </si>
  <si>
    <t>17764-1618</t>
  </si>
  <si>
    <t>(570) 923-1000</t>
  </si>
  <si>
    <t>R437</t>
  </si>
  <si>
    <t>Cooper University Cape Regional Medical Center</t>
  </si>
  <si>
    <t>2 Stone Harbor Blvd</t>
  </si>
  <si>
    <t>(609) 463-2000</t>
  </si>
  <si>
    <t>Cape Regional Health System</t>
  </si>
  <si>
    <t>HPP4</t>
  </si>
  <si>
    <t>Burlington Woods Conv Center</t>
  </si>
  <si>
    <t>115 Sunset Rd</t>
  </si>
  <si>
    <t>(609) 387-3620</t>
  </si>
  <si>
    <t>S739</t>
  </si>
  <si>
    <t>Buttonwood Hospital of Burlington</t>
  </si>
  <si>
    <t>600 Pemberton-Browns Mills Rd</t>
  </si>
  <si>
    <t>New Lisbon</t>
  </si>
  <si>
    <t>(609) 726-7000</t>
  </si>
  <si>
    <t>R444</t>
  </si>
  <si>
    <t>Northbrook Behavioral Health Hospital</t>
  </si>
  <si>
    <t>425 Woodbury Turnersville Rd</t>
  </si>
  <si>
    <t>Blackwood</t>
  </si>
  <si>
    <t>(856) 374-6600</t>
  </si>
  <si>
    <t>HPP5</t>
  </si>
  <si>
    <t>Capital Nursing Center</t>
  </si>
  <si>
    <t>439 Bellevue Ave</t>
  </si>
  <si>
    <t>(609) 396-2646</t>
  </si>
  <si>
    <t>HAAE</t>
  </si>
  <si>
    <t>The Good Samaritan Family Practice Center</t>
  </si>
  <si>
    <t>Willow And 4th Sts 2nd Floor</t>
  </si>
  <si>
    <t>The Hyman S Caplan Pavilion</t>
  </si>
  <si>
    <t>17042-1282</t>
  </si>
  <si>
    <t>(717) 274-0474</t>
  </si>
  <si>
    <t>Good Samaritan Physician Services</t>
  </si>
  <si>
    <t>R448</t>
  </si>
  <si>
    <t>Hackensack Meridian Health Carrier Clinic</t>
  </si>
  <si>
    <t>252 Rt 601</t>
  </si>
  <si>
    <t>Belle Mead</t>
  </si>
  <si>
    <t>(908) 281-1000</t>
  </si>
  <si>
    <t>DKLM</t>
  </si>
  <si>
    <t>1600 Haddon Ave 1st Floor</t>
  </si>
  <si>
    <t>(856) 757-3612</t>
  </si>
  <si>
    <t>H982</t>
  </si>
  <si>
    <t>Cedar Haven Nursing Home</t>
  </si>
  <si>
    <t>590 S 5th Ave</t>
  </si>
  <si>
    <t>(717) 274-0421</t>
  </si>
  <si>
    <t>H983</t>
  </si>
  <si>
    <t>Central Pennsylvania Blood Bank (32692)</t>
  </si>
  <si>
    <t>8167 Adams Dr</t>
  </si>
  <si>
    <t>Hummelstown</t>
  </si>
  <si>
    <t>17036-8625</t>
  </si>
  <si>
    <t>(717) 566-6161</t>
  </si>
  <si>
    <t>Alliance for Community Transfusion Services (1057040)</t>
  </si>
  <si>
    <t>Blood Bank</t>
  </si>
  <si>
    <t>Blood Centers of America</t>
  </si>
  <si>
    <t>S776</t>
  </si>
  <si>
    <t>901 W Main St</t>
  </si>
  <si>
    <t>(732) 431-2000</t>
  </si>
  <si>
    <t>Q889</t>
  </si>
  <si>
    <t>Charles Cole Memorial Hospital</t>
  </si>
  <si>
    <t>1001 E 2nd St</t>
  </si>
  <si>
    <t>Coudersport</t>
  </si>
  <si>
    <t>16915-8179</t>
  </si>
  <si>
    <t>(814) 274-9300</t>
  </si>
  <si>
    <t>R450</t>
  </si>
  <si>
    <t>Childrens Seashore House</t>
  </si>
  <si>
    <t>3405 Civic Center Boulevard</t>
  </si>
  <si>
    <t>(215) 895-3600</t>
  </si>
  <si>
    <t>S744</t>
  </si>
  <si>
    <t>Childrens Specialized Hospital</t>
  </si>
  <si>
    <t>150 New Providence Rd</t>
  </si>
  <si>
    <t>Mountainside</t>
  </si>
  <si>
    <t>(908) 233-3720</t>
  </si>
  <si>
    <t>S679</t>
  </si>
  <si>
    <t>HPP9</t>
  </si>
  <si>
    <t>Collingswood Manor</t>
  </si>
  <si>
    <t>460 Haddon Ave</t>
  </si>
  <si>
    <t>Collingswood</t>
  </si>
  <si>
    <t>(856) 854-4331</t>
  </si>
  <si>
    <t>S737</t>
  </si>
  <si>
    <t>Columbus Campus of Saint Michaels MED CTR</t>
  </si>
  <si>
    <t>495 N 13th St</t>
  </si>
  <si>
    <t>(973) 268-1400</t>
  </si>
  <si>
    <t>HP10</t>
  </si>
  <si>
    <t>Cornell Hall Conv Center</t>
  </si>
  <si>
    <t>234 Chestnut St</t>
  </si>
  <si>
    <t>(732) 687-7800</t>
  </si>
  <si>
    <t>Aurora Health Management</t>
  </si>
  <si>
    <t>Windsor Rehabilitation &amp; Healthcare</t>
  </si>
  <si>
    <t>HP11</t>
  </si>
  <si>
    <t>Courthouse Conv Center</t>
  </si>
  <si>
    <t>144 Magnolia Dr</t>
  </si>
  <si>
    <t>(609) 465-7171</t>
  </si>
  <si>
    <t>DZQT</t>
  </si>
  <si>
    <t>Preferred care at Cumberland</t>
  </si>
  <si>
    <t>154 Sunny Slope Dr</t>
  </si>
  <si>
    <t>(856) 455-8000</t>
  </si>
  <si>
    <t>Preferred Care</t>
  </si>
  <si>
    <t>DZDV</t>
  </si>
  <si>
    <t>Dent Neurological Institute-Buffalo</t>
  </si>
  <si>
    <t>3 Gates Cir</t>
  </si>
  <si>
    <t>(716) 250-1313</t>
  </si>
  <si>
    <t>Dent Neurologic Institute-Amherst</t>
  </si>
  <si>
    <t>H995</t>
  </si>
  <si>
    <t>Foulkeways at Gwynedd</t>
  </si>
  <si>
    <t>1120 Meetinghouse Rd</t>
  </si>
  <si>
    <t>Gwyneed</t>
  </si>
  <si>
    <t>(215) 283-7005</t>
  </si>
  <si>
    <t>Simmons Pharmacy Management</t>
  </si>
  <si>
    <t>DFFY</t>
  </si>
  <si>
    <t>Fox Chase Cancer Center</t>
  </si>
  <si>
    <t>333 Cottman Ave</t>
  </si>
  <si>
    <t>19111-2427</t>
  </si>
  <si>
    <t>HP18</t>
  </si>
  <si>
    <t>Francis Asbury Manor</t>
  </si>
  <si>
    <t>70 Stockton Ave</t>
  </si>
  <si>
    <t>Ocean Grove</t>
  </si>
  <si>
    <t>(732) 774-1316</t>
  </si>
  <si>
    <t>HP19</t>
  </si>
  <si>
    <t>Parker At River Road</t>
  </si>
  <si>
    <t>1421 River Rd</t>
  </si>
  <si>
    <t>Piscataway</t>
  </si>
  <si>
    <t>(908) 545-8330</t>
  </si>
  <si>
    <t>DZEA</t>
  </si>
  <si>
    <t>Goddard Stoughton Nursing</t>
  </si>
  <si>
    <t>909 Sumner St</t>
  </si>
  <si>
    <t>(781) 297-8200</t>
  </si>
  <si>
    <t>Commonwealth Communities</t>
  </si>
  <si>
    <t>HP34</t>
  </si>
  <si>
    <t>Hazleton Radiology Associates</t>
  </si>
  <si>
    <t>20-30 N Laurel St</t>
  </si>
  <si>
    <t>(717) 455-3608</t>
  </si>
  <si>
    <t>DZEF</t>
  </si>
  <si>
    <t>Highway Imaging Associates Inc</t>
  </si>
  <si>
    <t>2095 Flatbush Ave</t>
  </si>
  <si>
    <t>(718) 338-6868</t>
  </si>
  <si>
    <t>PresGar Imaging</t>
  </si>
  <si>
    <t>S685</t>
  </si>
  <si>
    <t>Kessler Institute for Rehabilitation - West Orange</t>
  </si>
  <si>
    <t>1199 Pleasant Valley Way</t>
  </si>
  <si>
    <t>West Orange</t>
  </si>
  <si>
    <t>(973) 731-3600</t>
  </si>
  <si>
    <t>Select Medical Corporation</t>
  </si>
  <si>
    <t>Lori Madden</t>
  </si>
  <si>
    <t>lori.madden@vizientinc.com</t>
  </si>
  <si>
    <t>HP53</t>
  </si>
  <si>
    <t>L&amp;S Rest Home</t>
  </si>
  <si>
    <t>Po Box 86</t>
  </si>
  <si>
    <t>Atco</t>
  </si>
  <si>
    <t>(856) 767-1011</t>
  </si>
  <si>
    <t>HP54</t>
  </si>
  <si>
    <t>Lakeland Healthcare Center</t>
  </si>
  <si>
    <t>25 5th Ave</t>
  </si>
  <si>
    <t>(973) 839-6000</t>
  </si>
  <si>
    <t>Autumn Lake Healthcare</t>
  </si>
  <si>
    <t>HP55</t>
  </si>
  <si>
    <t>Lakeview Sub-Acute Care Center</t>
  </si>
  <si>
    <t>130 Terhune Dr</t>
  </si>
  <si>
    <t>(973) 839-4500</t>
  </si>
  <si>
    <t>Prudent Corporation</t>
  </si>
  <si>
    <t>HP56</t>
  </si>
  <si>
    <t>Lakewood of Voorhees</t>
  </si>
  <si>
    <t>1302 Laurel Oak Rd</t>
  </si>
  <si>
    <t>(856) 346-1200</t>
  </si>
  <si>
    <t>W458</t>
  </si>
  <si>
    <t>Saint Clares Health Center at Sussex</t>
  </si>
  <si>
    <t>25 Pocono Rd</t>
  </si>
  <si>
    <t>Denville</t>
  </si>
  <si>
    <t>(973) 625-6000</t>
  </si>
  <si>
    <t>HP64</t>
  </si>
  <si>
    <t>Lighthouse at Mays Landing</t>
  </si>
  <si>
    <t>5034 Atlantic Ave</t>
  </si>
  <si>
    <t>Mays Landing</t>
  </si>
  <si>
    <t>(609) 625-4900</t>
  </si>
  <si>
    <t>HP67</t>
  </si>
  <si>
    <t>Lincoln Park Nursing Center</t>
  </si>
  <si>
    <t>521 Pine Brook Rd</t>
  </si>
  <si>
    <t>Lincoln Park</t>
  </si>
  <si>
    <t>(732) 969-3300</t>
  </si>
  <si>
    <t>HP69</t>
  </si>
  <si>
    <t>Llanfair House Care Rehab</t>
  </si>
  <si>
    <t>1140 Black Oak Ridge</t>
  </si>
  <si>
    <t>(973) 835-7443</t>
  </si>
  <si>
    <t>HP73</t>
  </si>
  <si>
    <t>Lutheran Home at Ocean View</t>
  </si>
  <si>
    <t>2721 Rt 9</t>
  </si>
  <si>
    <t>Ocean View</t>
  </si>
  <si>
    <t>(609) 624-3881</t>
  </si>
  <si>
    <t>HP74</t>
  </si>
  <si>
    <t>Manhattan Diagnostic Radiology - Cardiovascul</t>
  </si>
  <si>
    <t>203 E 60th St</t>
  </si>
  <si>
    <t>(212) 486-5529</t>
  </si>
  <si>
    <t>Manhattan Diagnostic Radiology - Main Imaging</t>
  </si>
  <si>
    <t>DCOG</t>
  </si>
  <si>
    <t>3803 W Chester Pike Ste 250</t>
  </si>
  <si>
    <t>Newtown Square</t>
  </si>
  <si>
    <t>19073-2336</t>
  </si>
  <si>
    <t>(610) 672-1400</t>
  </si>
  <si>
    <t>Q813</t>
  </si>
  <si>
    <t>Malvern Institute</t>
  </si>
  <si>
    <t>940 King Road</t>
  </si>
  <si>
    <t>(610) 647-0330</t>
  </si>
  <si>
    <t>HP76</t>
  </si>
  <si>
    <t>Manchester Manor Nursing Home</t>
  </si>
  <si>
    <t>1770 Tobias Ave</t>
  </si>
  <si>
    <t>(732) 657-1800</t>
  </si>
  <si>
    <t>Aristacare</t>
  </si>
  <si>
    <t>EABV</t>
  </si>
  <si>
    <t>Masonic Home of New Jersey</t>
  </si>
  <si>
    <t>902 Jacksonville Rd</t>
  </si>
  <si>
    <t>(609) 239-3900</t>
  </si>
  <si>
    <t>Virtua Medical Group PA</t>
  </si>
  <si>
    <t>HP78</t>
  </si>
  <si>
    <t>Masonic Village at Elizabethtown</t>
  </si>
  <si>
    <t>One Masonic Drive</t>
  </si>
  <si>
    <t>Elizabethtown</t>
  </si>
  <si>
    <t>(717) 361-4522</t>
  </si>
  <si>
    <t>Masonic Villages of the Grand Lodge of PA</t>
  </si>
  <si>
    <t>Vince Gay</t>
  </si>
  <si>
    <t>vince.gay@provista.com</t>
  </si>
  <si>
    <t>HP84</t>
  </si>
  <si>
    <t>Merwick Rehab Hospital &amp; Nursing Care</t>
  </si>
  <si>
    <t>79 Bayard Ln</t>
  </si>
  <si>
    <t>(609) 497-3094</t>
  </si>
  <si>
    <t>HP86</t>
  </si>
  <si>
    <t>Sunbridge Care &amp; Rehabilitation</t>
  </si>
  <si>
    <t>2 Cooper Plaza</t>
  </si>
  <si>
    <t>(856) 964-2449</t>
  </si>
  <si>
    <t>HP88</t>
  </si>
  <si>
    <t>Mercer Convalescent Center</t>
  </si>
  <si>
    <t>HP89</t>
  </si>
  <si>
    <t>Merry Heart Nursing Home</t>
  </si>
  <si>
    <t>200 State Hwy 10</t>
  </si>
  <si>
    <t>Succasunna</t>
  </si>
  <si>
    <t>(201) 368-9500</t>
  </si>
  <si>
    <t>HP93</t>
  </si>
  <si>
    <t>Morris Hall Home for the Aged</t>
  </si>
  <si>
    <t>1 Bishops Dr</t>
  </si>
  <si>
    <t>(609) 896-0006</t>
  </si>
  <si>
    <t>XX15</t>
  </si>
  <si>
    <t>Pitman Manor</t>
  </si>
  <si>
    <t>535 N Oak Ave</t>
  </si>
  <si>
    <t>Pitman</t>
  </si>
  <si>
    <t>(856) 589-7800</t>
  </si>
  <si>
    <t>XX16</t>
  </si>
  <si>
    <t>Springpoint Senior Living</t>
  </si>
  <si>
    <t>13 Roszel Rd Ste C120</t>
  </si>
  <si>
    <t>Po Box 2184</t>
  </si>
  <si>
    <t>(609) 987-8900</t>
  </si>
  <si>
    <t>DHBN</t>
  </si>
  <si>
    <t>Radnet Management Inc</t>
  </si>
  <si>
    <t>1516 Cotner St</t>
  </si>
  <si>
    <t>(310) 445-5666</t>
  </si>
  <si>
    <t>RadNet Inc</t>
  </si>
  <si>
    <t>Ashley Felder</t>
  </si>
  <si>
    <t>ashley.felder@provista.com</t>
  </si>
  <si>
    <t>XX19</t>
  </si>
  <si>
    <t>MRI Diagnostics of Ramapo/Ramapo Radiology As</t>
  </si>
  <si>
    <t>11 N Airmont Rd</t>
  </si>
  <si>
    <t>(845) 357-7245</t>
  </si>
  <si>
    <t>XX23</t>
  </si>
  <si>
    <t>Regent Care Center</t>
  </si>
  <si>
    <t>50 Polifly Rd</t>
  </si>
  <si>
    <t>(201) 646-1166</t>
  </si>
  <si>
    <t>XX24</t>
  </si>
  <si>
    <t>Ridgewood Nursing Home Association</t>
  </si>
  <si>
    <t>330 Franklin Tpke</t>
  </si>
  <si>
    <t>(201) 447-1900</t>
  </si>
  <si>
    <t>JBAJ</t>
  </si>
  <si>
    <t>Robert Wood Johnson University Hospital</t>
  </si>
  <si>
    <t>1 Robert Wood Johnson Pl</t>
  </si>
  <si>
    <t>(732) 828-3000</t>
  </si>
  <si>
    <t>DRVK</t>
  </si>
  <si>
    <t>Robert Wood Johnson at Hamilton</t>
  </si>
  <si>
    <t>1 Hamilton Health Pl</t>
  </si>
  <si>
    <t>(609) 586-7900</t>
  </si>
  <si>
    <t>XX34</t>
  </si>
  <si>
    <t>Seashore Gardens</t>
  </si>
  <si>
    <t>22 W Jimmie Leeds Rd</t>
  </si>
  <si>
    <t>Galloway Township</t>
  </si>
  <si>
    <t>(609) 345-5941</t>
  </si>
  <si>
    <t>Atlas Healthcare</t>
  </si>
  <si>
    <t>XX40</t>
  </si>
  <si>
    <t>St Francis Residential Community</t>
  </si>
  <si>
    <t>122 Diamond Spring Rd</t>
  </si>
  <si>
    <t>(973) 627-5000</t>
  </si>
  <si>
    <t>XX41</t>
  </si>
  <si>
    <t>St Vrain OB-GYN Associates</t>
  </si>
  <si>
    <t>2030 W Mountain View Ave Ste 440</t>
  </si>
  <si>
    <t>80501-3182</t>
  </si>
  <si>
    <t>XX44</t>
  </si>
  <si>
    <t>Summit Ridge Nursing and Rehab Center</t>
  </si>
  <si>
    <t>20 Summit St</t>
  </si>
  <si>
    <t>(973) 736-2000</t>
  </si>
  <si>
    <t>XX45</t>
  </si>
  <si>
    <t>Sun Orthopedic Group Inc</t>
  </si>
  <si>
    <t>900 Buffalo Rd</t>
  </si>
  <si>
    <t>17827-1206</t>
  </si>
  <si>
    <t>(570) 824-4446</t>
  </si>
  <si>
    <t>Orthopedic</t>
  </si>
  <si>
    <t>XX46</t>
  </si>
  <si>
    <t>Sunrise House</t>
  </si>
  <si>
    <t>Sunset Inn Rd Po Box 600</t>
  </si>
  <si>
    <t>(973) 383-6300</t>
  </si>
  <si>
    <t>XX49</t>
  </si>
  <si>
    <t>Temple Univ. Hosp. Outpatient Pharmacy</t>
  </si>
  <si>
    <t>3401 N Broad St Fl B150</t>
  </si>
  <si>
    <t>19140-5103</t>
  </si>
  <si>
    <t>(215) 707-2000</t>
  </si>
  <si>
    <t>XX51</t>
  </si>
  <si>
    <t>The Manor</t>
  </si>
  <si>
    <t>689 W Main St</t>
  </si>
  <si>
    <t>(732) 431-5200</t>
  </si>
  <si>
    <t>HAAF</t>
  </si>
  <si>
    <t>Matheny Medical and Educational Center</t>
  </si>
  <si>
    <t>65 Highland Ave</t>
  </si>
  <si>
    <t>Po Box 339</t>
  </si>
  <si>
    <t>Peapack</t>
  </si>
  <si>
    <t>(908) 234-0011</t>
  </si>
  <si>
    <t>XX52</t>
  </si>
  <si>
    <t>The Meadows Psychiatric Center</t>
  </si>
  <si>
    <t>132 The Meadows Drive</t>
  </si>
  <si>
    <t>Centre Hall</t>
  </si>
  <si>
    <t>(814) 364-2161</t>
  </si>
  <si>
    <t>XX62</t>
  </si>
  <si>
    <t>3311 Hwy 33</t>
  </si>
  <si>
    <t>Po Box 0667</t>
  </si>
  <si>
    <t>(908) 922-9800</t>
  </si>
  <si>
    <t>JAPP</t>
  </si>
  <si>
    <t>University Hospital</t>
  </si>
  <si>
    <t>150 Bergen St</t>
  </si>
  <si>
    <t>(973) 972-4300</t>
  </si>
  <si>
    <t>XX69</t>
  </si>
  <si>
    <t>Shores at Wesley Manor</t>
  </si>
  <si>
    <t>2201 Bay Ave</t>
  </si>
  <si>
    <t>Ocean City</t>
  </si>
  <si>
    <t>(609) 399-8505</t>
  </si>
  <si>
    <t>XX70</t>
  </si>
  <si>
    <t>Wesley-By-The-Bay</t>
  </si>
  <si>
    <t>2419 Bay Ave</t>
  </si>
  <si>
    <t>DZEX</t>
  </si>
  <si>
    <t>Allina Health Nicolett Mall Clinic</t>
  </si>
  <si>
    <t>825 Nicollet Mall Ste 300</t>
  </si>
  <si>
    <t>(612) 317-6620</t>
  </si>
  <si>
    <t>DZLF</t>
  </si>
  <si>
    <t>American Institute of Health Technology Inc</t>
  </si>
  <si>
    <t>1200 North Liberty Groove</t>
  </si>
  <si>
    <t>Boise</t>
  </si>
  <si>
    <t>(208) 377-8080</t>
  </si>
  <si>
    <t>DeVry Education Group</t>
  </si>
  <si>
    <t>MediGroup Physician Services</t>
  </si>
  <si>
    <t>DZLV</t>
  </si>
  <si>
    <t>Crane David B MD</t>
  </si>
  <si>
    <t>305 E Jefferson St Ste 102</t>
  </si>
  <si>
    <t>83712-6274</t>
  </si>
  <si>
    <t>(208) 343-2820</t>
  </si>
  <si>
    <t>DZLX</t>
  </si>
  <si>
    <t>Ear Nose and Throat of Coeur dAlene</t>
  </si>
  <si>
    <t>700 W Ironwood Dr Ste 236</t>
  </si>
  <si>
    <t>83814-4484</t>
  </si>
  <si>
    <t>(208) 765-1345</t>
  </si>
  <si>
    <t>Ear, Nose &amp; Throat</t>
  </si>
  <si>
    <t>Y0TB</t>
  </si>
  <si>
    <t>Greenbrier Hotel Corporation</t>
  </si>
  <si>
    <t>300 W Main St</t>
  </si>
  <si>
    <t>White Sulphur Springs</t>
  </si>
  <si>
    <t>Madelyn Dunivan</t>
  </si>
  <si>
    <t>madelyn.kieferdunivan@provista.com</t>
  </si>
  <si>
    <t>DZMP</t>
  </si>
  <si>
    <t>Schmitt Don J MD</t>
  </si>
  <si>
    <t>1110 W Ironwood Dr</t>
  </si>
  <si>
    <t>83814-2475</t>
  </si>
  <si>
    <t>(208) 666-2559</t>
  </si>
  <si>
    <t>DZNI</t>
  </si>
  <si>
    <t>Womens Clinic of North Idaho</t>
  </si>
  <si>
    <t>980 W Ironwood Dr Ste 306</t>
  </si>
  <si>
    <t>83814-2668</t>
  </si>
  <si>
    <t>(208) 664-3101</t>
  </si>
  <si>
    <t>V973</t>
  </si>
  <si>
    <t>Carolinas Medical Center - Lincoln</t>
  </si>
  <si>
    <t>200 Gamble Dr</t>
  </si>
  <si>
    <t>Lincolnton</t>
  </si>
  <si>
    <t>(704) 735-3071</t>
  </si>
  <si>
    <t>DZPN</t>
  </si>
  <si>
    <t>IMC Obstetrics &amp; Gynecology Associates</t>
  </si>
  <si>
    <t>3 Mobile Infirmary Cir Ste 401</t>
  </si>
  <si>
    <t>36607-3512</t>
  </si>
  <si>
    <t>(334) 438-2224</t>
  </si>
  <si>
    <t>Fee Share - Infirmary O/C</t>
  </si>
  <si>
    <t>DZPO</t>
  </si>
  <si>
    <t>Infirmary Medical Clinics</t>
  </si>
  <si>
    <t>1700 Spring Hill Ave Ste 100</t>
  </si>
  <si>
    <t>36604-1416</t>
  </si>
  <si>
    <t>(251) 435-1200</t>
  </si>
  <si>
    <t>DZPZ</t>
  </si>
  <si>
    <t>IMC Industrial Medical Clinic</t>
  </si>
  <si>
    <t>305 N Water St</t>
  </si>
  <si>
    <t>36602-4011</t>
  </si>
  <si>
    <t>(251) 433-3781</t>
  </si>
  <si>
    <t>DZQC</t>
  </si>
  <si>
    <t>IMC Mobile Bay OB/GYN</t>
  </si>
  <si>
    <t>3 Mobile Infirmary Cir Ste 201</t>
  </si>
  <si>
    <t>36607-3514</t>
  </si>
  <si>
    <t>(251) 433-1887</t>
  </si>
  <si>
    <t>DZQD</t>
  </si>
  <si>
    <t>Ochsner Health Center - Summa</t>
  </si>
  <si>
    <t>9001 Summa Ave</t>
  </si>
  <si>
    <t>70809-3726</t>
  </si>
  <si>
    <t>DTLT</t>
  </si>
  <si>
    <t>Aspirus St Luke's Clinic - Duluth - Woodland Ave</t>
  </si>
  <si>
    <t>1400 Woodland Ave</t>
  </si>
  <si>
    <t>55803-2624</t>
  </si>
  <si>
    <t>DZQL</t>
  </si>
  <si>
    <t>Greater Lawrence Family Health Center</t>
  </si>
  <si>
    <t>34 Haverhill St</t>
  </si>
  <si>
    <t>(978) 686-0090</t>
  </si>
  <si>
    <t>DZPG</t>
  </si>
  <si>
    <t>Holliston Pediatric Group</t>
  </si>
  <si>
    <t>321 Fortune Blvd</t>
  </si>
  <si>
    <t>Milford</t>
  </si>
  <si>
    <t>(508) 478-5996</t>
  </si>
  <si>
    <t>DZQN</t>
  </si>
  <si>
    <t>Riverside Op Surgery Center</t>
  </si>
  <si>
    <t>2240 N Bank Dr</t>
  </si>
  <si>
    <t>43220-5420</t>
  </si>
  <si>
    <t>(614) 442-6515</t>
  </si>
  <si>
    <t>DZQO</t>
  </si>
  <si>
    <t>Pickerington Surgery Center</t>
  </si>
  <si>
    <t>1030 Refugee Rd</t>
  </si>
  <si>
    <t>Pickerington</t>
  </si>
  <si>
    <t>43147-9755</t>
  </si>
  <si>
    <t>(614) 788-4000</t>
  </si>
  <si>
    <t>Q682</t>
  </si>
  <si>
    <t>800 Forest Ave</t>
  </si>
  <si>
    <t>43701-2881</t>
  </si>
  <si>
    <t>X061</t>
  </si>
  <si>
    <t>Andover Manor Rehab &amp; Nursing</t>
  </si>
  <si>
    <t>89 Morton St</t>
  </si>
  <si>
    <t>(508) 475-0944</t>
  </si>
  <si>
    <t>Stern Therapy Consultants</t>
  </si>
  <si>
    <t>Skilled Nursing</t>
  </si>
  <si>
    <t>X064</t>
  </si>
  <si>
    <t>Andover Dermatology PC</t>
  </si>
  <si>
    <t>138 Haverhill St Ste 200</t>
  </si>
  <si>
    <t>Christine Andersen</t>
  </si>
  <si>
    <t>(978) 475-4322</t>
  </si>
  <si>
    <t>Adult &amp; Pediatric Dermatology PC - Concord</t>
  </si>
  <si>
    <t>Dermatology</t>
  </si>
  <si>
    <t>X065</t>
  </si>
  <si>
    <t>Aberjona Nursing Center Inc</t>
  </si>
  <si>
    <t>184 Swanton St</t>
  </si>
  <si>
    <t>Winchester</t>
  </si>
  <si>
    <t>(781) 729-9370</t>
  </si>
  <si>
    <t>S238</t>
  </si>
  <si>
    <t>Androscoggin Valley Hospital</t>
  </si>
  <si>
    <t>59 Page Hill Road</t>
  </si>
  <si>
    <t>(603) 752-2200</t>
  </si>
  <si>
    <t>DPSH</t>
  </si>
  <si>
    <t>MSPCA - Angell</t>
  </si>
  <si>
    <t>350 S Huntington Ave</t>
  </si>
  <si>
    <t>(617) 522-7282</t>
  </si>
  <si>
    <t>X071</t>
  </si>
  <si>
    <t>Ayer Valley Rehab &amp; Nursing</t>
  </si>
  <si>
    <t>400 Groton Rd</t>
  </si>
  <si>
    <t>Ayer</t>
  </si>
  <si>
    <t>(508) 772-1704</t>
  </si>
  <si>
    <t>DPSQ</t>
  </si>
  <si>
    <t>Atmed Treatment Center</t>
  </si>
  <si>
    <t>1524 Atwood Ave Ste 122</t>
  </si>
  <si>
    <t>Johnston</t>
  </si>
  <si>
    <t>(401) 273-9400</t>
  </si>
  <si>
    <t>S367</t>
  </si>
  <si>
    <t>Anna Jaques Hospital</t>
  </si>
  <si>
    <t>25 Highland Ave</t>
  </si>
  <si>
    <t>Newburyport</t>
  </si>
  <si>
    <t>(978) 463-1000</t>
  </si>
  <si>
    <t>S447</t>
  </si>
  <si>
    <t>Athol Memorial Hospital</t>
  </si>
  <si>
    <t>2033 Main St</t>
  </si>
  <si>
    <t>Athol</t>
  </si>
  <si>
    <t>(978) 249-3511</t>
  </si>
  <si>
    <t>X081</t>
  </si>
  <si>
    <t>Surgi-Suite Inc</t>
  </si>
  <si>
    <t>8900 W Dodge Rd</t>
  </si>
  <si>
    <t>(402) 390-0100</t>
  </si>
  <si>
    <t>S340</t>
  </si>
  <si>
    <t>759 Chestnut St</t>
  </si>
  <si>
    <t>(413) 794-0000</t>
  </si>
  <si>
    <t>S423</t>
  </si>
  <si>
    <t>Bournewood Health System</t>
  </si>
  <si>
    <t>300 South St</t>
  </si>
  <si>
    <t>Brookline</t>
  </si>
  <si>
    <t>(617) 469-0300</t>
  </si>
  <si>
    <t>X110</t>
  </si>
  <si>
    <t>Braintree Manor</t>
  </si>
  <si>
    <t>1102 Washington St</t>
  </si>
  <si>
    <t>(781) 848-3100</t>
  </si>
  <si>
    <t>S179</t>
  </si>
  <si>
    <t>Brattleboro Retreat</t>
  </si>
  <si>
    <t>1 Anna Marsh Lane</t>
  </si>
  <si>
    <t>Brattleboro</t>
  </si>
  <si>
    <t>(802) 257-7785</t>
  </si>
  <si>
    <t>X113</t>
  </si>
  <si>
    <t>Boston Imaging Group Inc</t>
  </si>
  <si>
    <t>1 Brookline Place Suite 105</t>
  </si>
  <si>
    <t>(617) 723-2015</t>
  </si>
  <si>
    <t>Navix Diagnostix Inc</t>
  </si>
  <si>
    <t>S180</t>
  </si>
  <si>
    <t>Brattleboro Memorial Hospital</t>
  </si>
  <si>
    <t>17 Belmont Ave</t>
  </si>
  <si>
    <t>(802) 257-0341</t>
  </si>
  <si>
    <t>X117</t>
  </si>
  <si>
    <t>Mariner Healthcare at Bride Brook</t>
  </si>
  <si>
    <t>23 Liberty Way</t>
  </si>
  <si>
    <t>Niantic</t>
  </si>
  <si>
    <t>(860) 739-4007</t>
  </si>
  <si>
    <t>CAHCF Preferred Services Corporation</t>
  </si>
  <si>
    <t>S300</t>
  </si>
  <si>
    <t>Bristol Hospital</t>
  </si>
  <si>
    <t>41 Brewster Rd</t>
  </si>
  <si>
    <t>(860) 585-3000</t>
  </si>
  <si>
    <t>X131</t>
  </si>
  <si>
    <t>Catholic Memorial Home</t>
  </si>
  <si>
    <t>2446 Highland Ave</t>
  </si>
  <si>
    <t>(508) 679-0011</t>
  </si>
  <si>
    <t>Diocesan Health Facilities</t>
  </si>
  <si>
    <t>X136</t>
  </si>
  <si>
    <t>Harborside Healthcare - Cedar Glen</t>
  </si>
  <si>
    <t>44 Summer St</t>
  </si>
  <si>
    <t>Danvers</t>
  </si>
  <si>
    <t>(978) 774-6955</t>
  </si>
  <si>
    <t>Harborside Administrative Services LLC</t>
  </si>
  <si>
    <t>X142</t>
  </si>
  <si>
    <t>Cedar Hill Continuing Care Community</t>
  </si>
  <si>
    <t>49 Cedar Hill Drive</t>
  </si>
  <si>
    <t>(802) 674-6609</t>
  </si>
  <si>
    <t>DQBU</t>
  </si>
  <si>
    <t>Pharmacy Administration and Central Supply</t>
  </si>
  <si>
    <t>100 Hitchcock Way</t>
  </si>
  <si>
    <t>(603) 695-2687</t>
  </si>
  <si>
    <t>X161</t>
  </si>
  <si>
    <t>Concord Orthopaedics</t>
  </si>
  <si>
    <t>264 Pleasant St</t>
  </si>
  <si>
    <t>(603) 224-3368</t>
  </si>
  <si>
    <t>Northeast Orthopaedic Alliance</t>
  </si>
  <si>
    <t>S205</t>
  </si>
  <si>
    <t>Cottage Hospital</t>
  </si>
  <si>
    <t>90 Swiftwater Rd</t>
  </si>
  <si>
    <t>Woodsville</t>
  </si>
  <si>
    <t>(603) 747-9000</t>
  </si>
  <si>
    <t>X174</t>
  </si>
  <si>
    <t>Harborside HealthCare - Danvers Twin Oaks</t>
  </si>
  <si>
    <t>63 Locust St</t>
  </si>
  <si>
    <t>(978) 777-0011</t>
  </si>
  <si>
    <t>X176</t>
  </si>
  <si>
    <t>Kansas Medical Clinic at Riverhill</t>
  </si>
  <si>
    <t>6001 Sw 6th Ave Ste 320</t>
  </si>
  <si>
    <t>(785) 233-4248</t>
  </si>
  <si>
    <t>S475</t>
  </si>
  <si>
    <t>Nashoba Valley Medical Center</t>
  </si>
  <si>
    <t>200 Groton Rd</t>
  </si>
  <si>
    <t>(978) 784-9000</t>
  </si>
  <si>
    <t>X185</t>
  </si>
  <si>
    <t>German Centre for Extended Care</t>
  </si>
  <si>
    <t>2222 Centre St</t>
  </si>
  <si>
    <t>West Roxbury</t>
  </si>
  <si>
    <t>(617) 325-1230</t>
  </si>
  <si>
    <t>X670</t>
  </si>
  <si>
    <t>Denver Family Physicians</t>
  </si>
  <si>
    <t>1655 Lafayette St Ste 100</t>
  </si>
  <si>
    <t>80218-1500</t>
  </si>
  <si>
    <t>(303) 837-0575</t>
  </si>
  <si>
    <t>X187</t>
  </si>
  <si>
    <t>East Boston Neighborhood Health Center</t>
  </si>
  <si>
    <t>10 Gove St</t>
  </si>
  <si>
    <t>East Boston</t>
  </si>
  <si>
    <t>(617) 568-7272</t>
  </si>
  <si>
    <t>DHJA</t>
  </si>
  <si>
    <t>Elliot One Day Surgery Center</t>
  </si>
  <si>
    <t>185 Queen City Ave</t>
  </si>
  <si>
    <t>(603) 627-4889</t>
  </si>
  <si>
    <t>X209</t>
  </si>
  <si>
    <t>Forestview Nursing Home of Wareham</t>
  </si>
  <si>
    <t>50 Indian Neck Rd</t>
  </si>
  <si>
    <t>Wareham</t>
  </si>
  <si>
    <t>(508) 295-6264</t>
  </si>
  <si>
    <t>S406</t>
  </si>
  <si>
    <t>Baystate Franklin Medical Center</t>
  </si>
  <si>
    <t>164 High St</t>
  </si>
  <si>
    <t>(413) 773-0211</t>
  </si>
  <si>
    <t>S228</t>
  </si>
  <si>
    <t>Franklin Regional Hospital</t>
  </si>
  <si>
    <t>15 Aiken Avenue</t>
  </si>
  <si>
    <t>(603) 934-2060</t>
  </si>
  <si>
    <t>LRGHealthcare</t>
  </si>
  <si>
    <t>X221</t>
  </si>
  <si>
    <t>Gateway Laboratories</t>
  </si>
  <si>
    <t>830 Oak St</t>
  </si>
  <si>
    <t>(508) 427-2356</t>
  </si>
  <si>
    <t>S169</t>
  </si>
  <si>
    <t>Grace Cottage Hospital</t>
  </si>
  <si>
    <t>185 Grafton Rd</t>
  </si>
  <si>
    <t>Townshend</t>
  </si>
  <si>
    <t>(802) 365-7357</t>
  </si>
  <si>
    <t>DEQJ</t>
  </si>
  <si>
    <t>Holy Family Hospital - Haverhill</t>
  </si>
  <si>
    <t>140 Lincoln Ave</t>
  </si>
  <si>
    <t>Haverhill</t>
  </si>
  <si>
    <t>(978) 374-2000</t>
  </si>
  <si>
    <t>X261</t>
  </si>
  <si>
    <t>Haverhill Rehab &amp; HC</t>
  </si>
  <si>
    <t>126 Monument St</t>
  </si>
  <si>
    <t>(978) 373-1747</t>
  </si>
  <si>
    <t>X278</t>
  </si>
  <si>
    <t>Harvard Pilgrim Health Care Quincy</t>
  </si>
  <si>
    <t>1250 Hancock Street</t>
  </si>
  <si>
    <t>Quincy</t>
  </si>
  <si>
    <t>(617) 774-0600</t>
  </si>
  <si>
    <t>S461</t>
  </si>
  <si>
    <t>Hebrew Rehabilitation Center</t>
  </si>
  <si>
    <t>1200 Centre St</t>
  </si>
  <si>
    <t>(617) 363-8480</t>
  </si>
  <si>
    <t>X291</t>
  </si>
  <si>
    <t>Heritage Hills Nursing and Rehab Ctr</t>
  </si>
  <si>
    <t>80 Douglas Pike</t>
  </si>
  <si>
    <t>Smithfield</t>
  </si>
  <si>
    <t>(401) 231-2700</t>
  </si>
  <si>
    <t>Health Concepts Ltd</t>
  </si>
  <si>
    <t>X298</t>
  </si>
  <si>
    <t>Riverbend Medical Group Agawam</t>
  </si>
  <si>
    <t>230 Main St</t>
  </si>
  <si>
    <t>Agawam</t>
  </si>
  <si>
    <t>(413) 733-6700</t>
  </si>
  <si>
    <t>Riverbend Medical Group Chicopee</t>
  </si>
  <si>
    <t>X301</t>
  </si>
  <si>
    <t>444 Montgomery St</t>
  </si>
  <si>
    <t>Chicopee</t>
  </si>
  <si>
    <t>(413) 594-3111</t>
  </si>
  <si>
    <t>X306</t>
  </si>
  <si>
    <t>Peabody Medical Associates-Internal Medicine</t>
  </si>
  <si>
    <t>Northside Shopping Ctr Fl 2</t>
  </si>
  <si>
    <t>Peabody</t>
  </si>
  <si>
    <t>(978) 977-5928</t>
  </si>
  <si>
    <t>Partners Affiliate Markets</t>
  </si>
  <si>
    <t>X308</t>
  </si>
  <si>
    <t>Riverbend Medical Group Westfield</t>
  </si>
  <si>
    <t>1029 North Rd</t>
  </si>
  <si>
    <t>Westfield</t>
  </si>
  <si>
    <t>(413) 533-2900</t>
  </si>
  <si>
    <t>X309</t>
  </si>
  <si>
    <t>Riverbend Medical Group Springfield</t>
  </si>
  <si>
    <t>305 Bicentennial Highway</t>
  </si>
  <si>
    <t>(413) 733-4101</t>
  </si>
  <si>
    <t>X311</t>
  </si>
  <si>
    <t>Holiday Retirement Home Inc</t>
  </si>
  <si>
    <t>30 Sayles Hill Road</t>
  </si>
  <si>
    <t>Manville</t>
  </si>
  <si>
    <t>(401) 521-4590</t>
  </si>
  <si>
    <t>S401</t>
  </si>
  <si>
    <t>Holyoke Medical Center</t>
  </si>
  <si>
    <t>575 Beech Street</t>
  </si>
  <si>
    <t>Holyoke</t>
  </si>
  <si>
    <t>(413) 534-2500</t>
  </si>
  <si>
    <t>Valley Health Systems</t>
  </si>
  <si>
    <t>S276</t>
  </si>
  <si>
    <t>YNHH-New Haven Hospital-Saint Raphael Campus</t>
  </si>
  <si>
    <t>1450 Chapel St</t>
  </si>
  <si>
    <t>(203) 789-3000</t>
  </si>
  <si>
    <t>X328</t>
  </si>
  <si>
    <t>Island Terrace Nursing Home</t>
  </si>
  <si>
    <t>57 Long Point Rd</t>
  </si>
  <si>
    <t>Lakeville</t>
  </si>
  <si>
    <t>(508) 947-0151</t>
  </si>
  <si>
    <t>X329</t>
  </si>
  <si>
    <t>Jewish Nursing Home of Western MA</t>
  </si>
  <si>
    <t>770 Converse Street</t>
  </si>
  <si>
    <t>Longmeadow</t>
  </si>
  <si>
    <t>(413) 567-6211</t>
  </si>
  <si>
    <t>Jewish Geriatric Services Inc</t>
  </si>
  <si>
    <t>X331</t>
  </si>
  <si>
    <t>Hoody &amp; Lanspa Family Practice</t>
  </si>
  <si>
    <t>4951 Center St Ste 100</t>
  </si>
  <si>
    <t>(402) 556-9220</t>
  </si>
  <si>
    <t>S252</t>
  </si>
  <si>
    <t>Johnson Memorial</t>
  </si>
  <si>
    <t>201 Chestnut Hill</t>
  </si>
  <si>
    <t>Jihong Tang</t>
  </si>
  <si>
    <t>Stafford Springs</t>
  </si>
  <si>
    <t>(860) 684-8246</t>
  </si>
  <si>
    <t>S354</t>
  </si>
  <si>
    <t>Akumin Corp - Beth Israel Deaconess Hosp</t>
  </si>
  <si>
    <t>275 Sandwich St</t>
  </si>
  <si>
    <t>Dba Alliance Healthcare</t>
  </si>
  <si>
    <t>(800) 544-3215</t>
  </si>
  <si>
    <t>Akumin Corp</t>
  </si>
  <si>
    <t>Elizabeth Chambers</t>
  </si>
  <si>
    <t>elizabeth.chambers@provista.com</t>
  </si>
  <si>
    <t>DQNQ</t>
  </si>
  <si>
    <t>Joslin Diabetes Center</t>
  </si>
  <si>
    <t>1 Joslin Pl</t>
  </si>
  <si>
    <t>(617) 732-2400</t>
  </si>
  <si>
    <t>S224</t>
  </si>
  <si>
    <t>Concord General Hospital -Laconia</t>
  </si>
  <si>
    <t>80 Highland St</t>
  </si>
  <si>
    <t>Laconia</t>
  </si>
  <si>
    <t>(603) 524-3211</t>
  </si>
  <si>
    <t>S221</t>
  </si>
  <si>
    <t>Littleton Regional Hospital</t>
  </si>
  <si>
    <t>600 Saint Johnsbury Rd</t>
  </si>
  <si>
    <t>Littleton</t>
  </si>
  <si>
    <t>(603) 444-7731</t>
  </si>
  <si>
    <t>New Hampshire Rural Health Coalition</t>
  </si>
  <si>
    <t>X364</t>
  </si>
  <si>
    <t>Life Care Center of the North Shore</t>
  </si>
  <si>
    <t>111 Birch St</t>
  </si>
  <si>
    <t>(617) 592-9667</t>
  </si>
  <si>
    <t>Life Care Centers of America Inc</t>
  </si>
  <si>
    <t>X366</t>
  </si>
  <si>
    <t>Harborside HealthCare - Northshore</t>
  </si>
  <si>
    <t>266 Lincoln Ave</t>
  </si>
  <si>
    <t>Saugus</t>
  </si>
  <si>
    <t>(617) 233-6830</t>
  </si>
  <si>
    <t>X369</t>
  </si>
  <si>
    <t>Madonna Manor Nursing Home</t>
  </si>
  <si>
    <t>85 N Washington St</t>
  </si>
  <si>
    <t>North Attleboro</t>
  </si>
  <si>
    <t>(508) 699-2740</t>
  </si>
  <si>
    <t>X377</t>
  </si>
  <si>
    <t>Mansfield Center for Nursing &amp; Rehab</t>
  </si>
  <si>
    <t>100 Warren Cir</t>
  </si>
  <si>
    <t>Storrs</t>
  </si>
  <si>
    <t>(860) 487-2300</t>
  </si>
  <si>
    <t>X379</t>
  </si>
  <si>
    <t>Harborside Healthcare - Maplewood</t>
  </si>
  <si>
    <t>6 Morrill Pl</t>
  </si>
  <si>
    <t>Amesbury</t>
  </si>
  <si>
    <t>(978) 388-3500</t>
  </si>
  <si>
    <t>X405</t>
  </si>
  <si>
    <t>Memorial Square Laboratory Inc</t>
  </si>
  <si>
    <t>2150 Main Street</t>
  </si>
  <si>
    <t>(413) 739-9150</t>
  </si>
  <si>
    <t>Springfield Medical Associates</t>
  </si>
  <si>
    <t>X408</t>
  </si>
  <si>
    <t>Dawn Hill Home for Rehab and Healthcare</t>
  </si>
  <si>
    <t>1 Dawn Hill Rd</t>
  </si>
  <si>
    <t>(401) 253-2300</t>
  </si>
  <si>
    <t>GreenTree Healthcare</t>
  </si>
  <si>
    <t>X412</t>
  </si>
  <si>
    <t>Merrivista Community Center</t>
  </si>
  <si>
    <t>100 Water Street</t>
  </si>
  <si>
    <t>(978) 374-2168</t>
  </si>
  <si>
    <t>Bethany Community Services</t>
  </si>
  <si>
    <t>S377</t>
  </si>
  <si>
    <t>Milford Regional Medical Center</t>
  </si>
  <si>
    <t>14 Prospect St</t>
  </si>
  <si>
    <t>(508) 473-1190</t>
  </si>
  <si>
    <t>X418</t>
  </si>
  <si>
    <t>Mission Towers Inc</t>
  </si>
  <si>
    <t>180 Water Street</t>
  </si>
  <si>
    <t>(508) 374-2174</t>
  </si>
  <si>
    <t>S332</t>
  </si>
  <si>
    <t>Morton Hospital</t>
  </si>
  <si>
    <t>88 Washington St</t>
  </si>
  <si>
    <t>Taunton</t>
  </si>
  <si>
    <t>(508) 828-7000</t>
  </si>
  <si>
    <t>DRCV</t>
  </si>
  <si>
    <t>Nashua Regional Cancer Center</t>
  </si>
  <si>
    <t>11 N Southwood Dr</t>
  </si>
  <si>
    <t>(603) 880-1590</t>
  </si>
  <si>
    <t>S215</t>
  </si>
  <si>
    <t>New London Hospital</t>
  </si>
  <si>
    <t>273 County Rd</t>
  </si>
  <si>
    <t>(603) 526-2911</t>
  </si>
  <si>
    <t>S319</t>
  </si>
  <si>
    <t>Noble Hospital</t>
  </si>
  <si>
    <t>115 W Silver St</t>
  </si>
  <si>
    <t>(413) 568-2811</t>
  </si>
  <si>
    <t>X443</t>
  </si>
  <si>
    <t>Notre Dame Long Term Care Center</t>
  </si>
  <si>
    <t>559 Plantation Street</t>
  </si>
  <si>
    <t>Worcester</t>
  </si>
  <si>
    <t>(508) 852-3011</t>
  </si>
  <si>
    <t>Notre Dame Healthcare Inc</t>
  </si>
  <si>
    <t>X449</t>
  </si>
  <si>
    <t>Nebraska Urology Center PC</t>
  </si>
  <si>
    <t>1401 E H St Ste B</t>
  </si>
  <si>
    <t>Mccook</t>
  </si>
  <si>
    <t>(402) 462-5109</t>
  </si>
  <si>
    <t>Sean Landers</t>
  </si>
  <si>
    <t>sean.landers@provista.com</t>
  </si>
  <si>
    <t>Urology</t>
  </si>
  <si>
    <t>X455</t>
  </si>
  <si>
    <t>1138 Miller St</t>
  </si>
  <si>
    <t>Holdridge</t>
  </si>
  <si>
    <t>X456</t>
  </si>
  <si>
    <t>2115 N Kansas Ave</t>
  </si>
  <si>
    <t>X452</t>
  </si>
  <si>
    <t>Oak Knoll Health Care</t>
  </si>
  <si>
    <t>9 Arbetter Dr</t>
  </si>
  <si>
    <t>Framingham</t>
  </si>
  <si>
    <t>(508) 877-3300</t>
  </si>
  <si>
    <t>X464</t>
  </si>
  <si>
    <t>Our Ladys Haven</t>
  </si>
  <si>
    <t>71 Center St</t>
  </si>
  <si>
    <t>Fairhaven</t>
  </si>
  <si>
    <t>(508) 999-4561</t>
  </si>
  <si>
    <t>X652</t>
  </si>
  <si>
    <t>Orchard Family Practice</t>
  </si>
  <si>
    <t>8200 E Belleview Ave</t>
  </si>
  <si>
    <t>Greenwood Village</t>
  </si>
  <si>
    <t>(303) 850-3200</t>
  </si>
  <si>
    <t>DQZO</t>
  </si>
  <si>
    <t>Spectrum Healthcare Partners-OA</t>
  </si>
  <si>
    <t>33 Sewall St</t>
  </si>
  <si>
    <t>(207) 828-2130</t>
  </si>
  <si>
    <t>Spectrum Healthcare Partners</t>
  </si>
  <si>
    <t>X470</t>
  </si>
  <si>
    <t>Park Avenue Nursing &amp; Rehabilitation Ctr</t>
  </si>
  <si>
    <t>146 Park Ave</t>
  </si>
  <si>
    <t>(781) 648-9530</t>
  </si>
  <si>
    <t>DRRZ</t>
  </si>
  <si>
    <t>Pembroke Hospital</t>
  </si>
  <si>
    <t>199 Oak St</t>
  </si>
  <si>
    <t>Pembroke</t>
  </si>
  <si>
    <t>(781) 829-7000</t>
  </si>
  <si>
    <t>HAAH</t>
  </si>
  <si>
    <t>22 Phoenix Row</t>
  </si>
  <si>
    <t>(508) 374-2164</t>
  </si>
  <si>
    <t>X480</t>
  </si>
  <si>
    <t>Mariner Healthcare of Pendleton</t>
  </si>
  <si>
    <t>44 Maritime Dr</t>
  </si>
  <si>
    <t>Mystic</t>
  </si>
  <si>
    <t>(860) 572-1700</t>
  </si>
  <si>
    <t>X484</t>
  </si>
  <si>
    <t>Pond Home</t>
  </si>
  <si>
    <t>289 East Street</t>
  </si>
  <si>
    <t>Wrentham</t>
  </si>
  <si>
    <t>(508) 384-3531</t>
  </si>
  <si>
    <t>Rogerson Communities</t>
  </si>
  <si>
    <t>X491</t>
  </si>
  <si>
    <t>Port Healthcare</t>
  </si>
  <si>
    <t>Hale &amp; Low Sts</t>
  </si>
  <si>
    <t>(978) 462-7373</t>
  </si>
  <si>
    <t>Whittier Health Network</t>
  </si>
  <si>
    <t>X648</t>
  </si>
  <si>
    <t>Post Falls Family Medicine</t>
  </si>
  <si>
    <t>1220 E Polston Ave</t>
  </si>
  <si>
    <t>Morgan Douglas Ford</t>
  </si>
  <si>
    <t>Post Falls</t>
  </si>
  <si>
    <t>83854-6056</t>
  </si>
  <si>
    <t>(208) 773-1577</t>
  </si>
  <si>
    <t>X499</t>
  </si>
  <si>
    <t>Radiologic Associates of Middletown</t>
  </si>
  <si>
    <t>330 S Main St</t>
  </si>
  <si>
    <t>(860) 346-8481</t>
  </si>
  <si>
    <t>X504</t>
  </si>
  <si>
    <t>Radiation Oncology Assoc Inc</t>
  </si>
  <si>
    <t>825 North Main Street</t>
  </si>
  <si>
    <t>(401) 521-9700</t>
  </si>
  <si>
    <t>Vantage</t>
  </si>
  <si>
    <t>Unity Oncology</t>
  </si>
  <si>
    <t>X514</t>
  </si>
  <si>
    <t>Riverview Healthcare</t>
  </si>
  <si>
    <t>546 Main St</t>
  </si>
  <si>
    <t>Coventry</t>
  </si>
  <si>
    <t>(401) 821-6837</t>
  </si>
  <si>
    <t>X516</t>
  </si>
  <si>
    <t>Jack Satter House</t>
  </si>
  <si>
    <t>420 Revere Beach Rd</t>
  </si>
  <si>
    <t>Revere</t>
  </si>
  <si>
    <t>(617) 289-4505</t>
  </si>
  <si>
    <t>X523</t>
  </si>
  <si>
    <t>Rumford Community Home</t>
  </si>
  <si>
    <t>11 John F Kennedy Ln</t>
  </si>
  <si>
    <t>Rumford</t>
  </si>
  <si>
    <t>(207) 364-7863</t>
  </si>
  <si>
    <t>Maine Health (MHCA Business Services)</t>
  </si>
  <si>
    <t>X527</t>
  </si>
  <si>
    <t>Royal Megansett</t>
  </si>
  <si>
    <t>209 County Rd</t>
  </si>
  <si>
    <t>North Falmouth</t>
  </si>
  <si>
    <t>(508) 563-5913</t>
  </si>
  <si>
    <t>Royal Health Group</t>
  </si>
  <si>
    <t>X528</t>
  </si>
  <si>
    <t>Sacred Heart Home Inc</t>
  </si>
  <si>
    <t>359 Summer St</t>
  </si>
  <si>
    <t>(508) 996-6751</t>
  </si>
  <si>
    <t>X530</t>
  </si>
  <si>
    <t>Saint Elizabeth Home</t>
  </si>
  <si>
    <t>1 St Elizabeths Way</t>
  </si>
  <si>
    <t>East Greenwich</t>
  </si>
  <si>
    <t>(401) 471-6060</t>
  </si>
  <si>
    <t>CareLink</t>
  </si>
  <si>
    <t>X532</t>
  </si>
  <si>
    <t>Saint Joseph Home</t>
  </si>
  <si>
    <t>321 Centre St</t>
  </si>
  <si>
    <t>(617) 825-6320</t>
  </si>
  <si>
    <t>S216</t>
  </si>
  <si>
    <t>172 Kinsley St</t>
  </si>
  <si>
    <t>(603) 882-3000</t>
  </si>
  <si>
    <t>W579</t>
  </si>
  <si>
    <t>St Joseph Hospital for Specialty Care</t>
  </si>
  <si>
    <t>21 Peace St</t>
  </si>
  <si>
    <t>(401) 456-3000</t>
  </si>
  <si>
    <t>X536</t>
  </si>
  <si>
    <t>Saint Josephs Manor</t>
  </si>
  <si>
    <t>1133 Washington Ave</t>
  </si>
  <si>
    <t>(207) 797-0600</t>
  </si>
  <si>
    <t>X538</t>
  </si>
  <si>
    <t>Salem Orthopedic Surgeons - Salem</t>
  </si>
  <si>
    <t>100 Highland Ave Ste 101</t>
  </si>
  <si>
    <t>(508) 745-6282</t>
  </si>
  <si>
    <t>DLCD</t>
  </si>
  <si>
    <t>Same Day Surgiclinic</t>
  </si>
  <si>
    <t>272 Stanley St</t>
  </si>
  <si>
    <t>(508) 672-2290</t>
  </si>
  <si>
    <t>X543</t>
  </si>
  <si>
    <t>Sancta Maria Nursing Facility</t>
  </si>
  <si>
    <t>799 Concord Ave</t>
  </si>
  <si>
    <t>(617) 868-2200</t>
  </si>
  <si>
    <t>X557</t>
  </si>
  <si>
    <t>Sippican Long Term Healthcare</t>
  </si>
  <si>
    <t>15 Mill St</t>
  </si>
  <si>
    <t>(508) 748-3830</t>
  </si>
  <si>
    <t>S344</t>
  </si>
  <si>
    <t>CHA Somerville Hospital</t>
  </si>
  <si>
    <t>230 Highland Ave</t>
  </si>
  <si>
    <t>(617) 591-4500</t>
  </si>
  <si>
    <t>X572</t>
  </si>
  <si>
    <t>Harborside Healthcare - Stone Institute</t>
  </si>
  <si>
    <t>277 Elliot St</t>
  </si>
  <si>
    <t>Newton Upper Falls</t>
  </si>
  <si>
    <t>(617) 527-0023</t>
  </si>
  <si>
    <t>X576</t>
  </si>
  <si>
    <t>Steere House</t>
  </si>
  <si>
    <t>100 Borden St</t>
  </si>
  <si>
    <t>(401) 454-7970</t>
  </si>
  <si>
    <t>X578</t>
  </si>
  <si>
    <t>Stonehedge Rehabilitation and Skilled Care Ce</t>
  </si>
  <si>
    <t>5 Redlands Rd</t>
  </si>
  <si>
    <t>(617) 327-6325</t>
  </si>
  <si>
    <t>Athena Healthcare Systems</t>
  </si>
  <si>
    <t>S476</t>
  </si>
  <si>
    <t>Sturdy Memorial Hospital</t>
  </si>
  <si>
    <t>211 Park St</t>
  </si>
  <si>
    <t>(508) 222-5200</t>
  </si>
  <si>
    <t>X588</t>
  </si>
  <si>
    <t>Andover Forest Post Acute Care Center</t>
  </si>
  <si>
    <t>1801 Turnpike St</t>
  </si>
  <si>
    <t>North Andover</t>
  </si>
  <si>
    <t>(508) 688-1212</t>
  </si>
  <si>
    <t>X593</t>
  </si>
  <si>
    <t>Goldie &amp; Louis Trilling House</t>
  </si>
  <si>
    <t>640 N Main St</t>
  </si>
  <si>
    <t>(781) 986-8880</t>
  </si>
  <si>
    <t>S308</t>
  </si>
  <si>
    <t>UMass Memorial Medical Center-University Camp</t>
  </si>
  <si>
    <t>55 Lake Avenue North</t>
  </si>
  <si>
    <t>(508) 334-5369</t>
  </si>
  <si>
    <t>UMASS Memorial Medical Center Inc</t>
  </si>
  <si>
    <t>S237</t>
  </si>
  <si>
    <t>Valley Regional Hospital</t>
  </si>
  <si>
    <t>243 Elm St</t>
  </si>
  <si>
    <t>Claremont</t>
  </si>
  <si>
    <t>(603) 542-7771</t>
  </si>
  <si>
    <t>X616</t>
  </si>
  <si>
    <t>Westford Nursing Rehab Center</t>
  </si>
  <si>
    <t>3 Park Drive</t>
  </si>
  <si>
    <t>Westford</t>
  </si>
  <si>
    <t>(978) 392-1144</t>
  </si>
  <si>
    <t>Best HealthCare Solutions Services LLC</t>
  </si>
  <si>
    <t>S158</t>
  </si>
  <si>
    <t>Westerly Hospital</t>
  </si>
  <si>
    <t>25 Wells St</t>
  </si>
  <si>
    <t>Westerly</t>
  </si>
  <si>
    <t>(401) 596-6000</t>
  </si>
  <si>
    <t>S317</t>
  </si>
  <si>
    <t>Westwood Lodge Hospital</t>
  </si>
  <si>
    <t>45 Clapboardtree St</t>
  </si>
  <si>
    <t>(781) 762-7764</t>
  </si>
  <si>
    <t>DQTP</t>
  </si>
  <si>
    <t>Whittier Rehabilitation Hospital - Bradford</t>
  </si>
  <si>
    <t>145 Ward Hill Ave</t>
  </si>
  <si>
    <t>(978) 372-8000</t>
  </si>
  <si>
    <t>X630</t>
  </si>
  <si>
    <t>Atria Woodbriar</t>
  </si>
  <si>
    <t>339 Gifford St</t>
  </si>
  <si>
    <t>Falmouth</t>
  </si>
  <si>
    <t>(508) 540-1600</t>
  </si>
  <si>
    <t>Atria Management Company LLC</t>
  </si>
  <si>
    <t>Robin Weimer</t>
  </si>
  <si>
    <t>robin.weimer@provista.com</t>
  </si>
  <si>
    <t>DEQN</t>
  </si>
  <si>
    <t>New Jersey Hospital Association</t>
  </si>
  <si>
    <t>760 Alexander Rd</t>
  </si>
  <si>
    <t>(609) 275-4000</t>
  </si>
  <si>
    <t>Supply Chain Management/Corporate</t>
  </si>
  <si>
    <t>X561</t>
  </si>
  <si>
    <t>Prima CARE PC - Somerset Division</t>
  </si>
  <si>
    <t>67 Gar Highway</t>
  </si>
  <si>
    <t>(508) 674-4601</t>
  </si>
  <si>
    <t>Prima Care PC - Admin/Corp Richland Mateus-A</t>
  </si>
  <si>
    <t>EDHF</t>
  </si>
  <si>
    <t>The Beacon Clinic</t>
  </si>
  <si>
    <t>1136 Alpine Ave Ste 205</t>
  </si>
  <si>
    <t>80304-3410</t>
  </si>
  <si>
    <t>(303) 938-3167</t>
  </si>
  <si>
    <t>Q480</t>
  </si>
  <si>
    <t>Cincinnati Child Hosp Med Ctr</t>
  </si>
  <si>
    <t>3333 Burnet Ave</t>
  </si>
  <si>
    <t>(513) 636-4200</t>
  </si>
  <si>
    <t>S465</t>
  </si>
  <si>
    <t>Dana-Farber Cancer Institute Inc</t>
  </si>
  <si>
    <t>450 Brookline Ave</t>
  </si>
  <si>
    <t>(617) 632-3000</t>
  </si>
  <si>
    <t>DXOV</t>
  </si>
  <si>
    <t>HUMC Opco LLC d/b/a CarePoint Health - Hoboken University Medical Center</t>
  </si>
  <si>
    <t>308 Willow Ave</t>
  </si>
  <si>
    <t>Hoboken</t>
  </si>
  <si>
    <t>(201) 418-1000</t>
  </si>
  <si>
    <t>H052</t>
  </si>
  <si>
    <t>ServiShare of Iowa</t>
  </si>
  <si>
    <t>100 E Grand Ave</t>
  </si>
  <si>
    <t>Des Moines</t>
  </si>
  <si>
    <t>50309-1829</t>
  </si>
  <si>
    <t>(515) 288-1955</t>
  </si>
  <si>
    <t>Supply Chain Management/Acute</t>
  </si>
  <si>
    <t>X701</t>
  </si>
  <si>
    <t>Brighton Marine</t>
  </si>
  <si>
    <t>77 Warren St</t>
  </si>
  <si>
    <t>(617) 562-5302</t>
  </si>
  <si>
    <t>X709</t>
  </si>
  <si>
    <t>Primary Health Medical Group-Broadway</t>
  </si>
  <si>
    <t>1907 S Broadway Ave Ste 101</t>
  </si>
  <si>
    <t>(208) 345-1222</t>
  </si>
  <si>
    <t>Alliance Medical Group LLC dba Primary Health Medical Group</t>
  </si>
  <si>
    <t>Robin VanDyke</t>
  </si>
  <si>
    <t>robin.vandyke@provista.com</t>
  </si>
  <si>
    <t>X711</t>
  </si>
  <si>
    <t>10482 W Carlton Bay Dr</t>
  </si>
  <si>
    <t>Garden City</t>
  </si>
  <si>
    <t>83714-5143</t>
  </si>
  <si>
    <t>(208) 955-6500</t>
  </si>
  <si>
    <t>X712</t>
  </si>
  <si>
    <t>Primary Health Medical Group-Caldwell</t>
  </si>
  <si>
    <t>4815 Cleveland Blvd</t>
  </si>
  <si>
    <t>Caldwell</t>
  </si>
  <si>
    <t>83605-4828</t>
  </si>
  <si>
    <t>(208) 455-3545</t>
  </si>
  <si>
    <t>X719</t>
  </si>
  <si>
    <t>Primary Health Medical Group-Nampa</t>
  </si>
  <si>
    <t>700 Caldwell Blvd</t>
  </si>
  <si>
    <t>Nampa</t>
  </si>
  <si>
    <t>83651-1707</t>
  </si>
  <si>
    <t>(208) 466-6567</t>
  </si>
  <si>
    <t>X720</t>
  </si>
  <si>
    <t>Primary Health Medical Group-Overland</t>
  </si>
  <si>
    <t>8971 Overland Rd</t>
  </si>
  <si>
    <t>83709-1651</t>
  </si>
  <si>
    <t>(208) 378-4288</t>
  </si>
  <si>
    <t>X723</t>
  </si>
  <si>
    <t>Primary Health Medical Group-West Boise</t>
  </si>
  <si>
    <t>11197 W Fairview Ave</t>
  </si>
  <si>
    <t>(208) 278-8011</t>
  </si>
  <si>
    <t>X725</t>
  </si>
  <si>
    <t>Tobey Hospital</t>
  </si>
  <si>
    <t>43 High St</t>
  </si>
  <si>
    <t>(508) 295-0880</t>
  </si>
  <si>
    <t>X726</t>
  </si>
  <si>
    <t>Caritas Rehabilitation</t>
  </si>
  <si>
    <t>296 Allston St</t>
  </si>
  <si>
    <t>(617) 277-5750</t>
  </si>
  <si>
    <t>V941</t>
  </si>
  <si>
    <t>Novant Health Rowan Medical Center</t>
  </si>
  <si>
    <t>612 Mocksville Ave</t>
  </si>
  <si>
    <t>28144-2799</t>
  </si>
  <si>
    <t>(704) 210-5000</t>
  </si>
  <si>
    <t>Q421</t>
  </si>
  <si>
    <t>ProMedica Herrick Hospital</t>
  </si>
  <si>
    <t>500 E Pottawatamie St</t>
  </si>
  <si>
    <t>Tecumseh</t>
  </si>
  <si>
    <t>49286-2018</t>
  </si>
  <si>
    <t>(517) 424-3000</t>
  </si>
  <si>
    <t>Q916</t>
  </si>
  <si>
    <t>Jefferson Bucks Hospital</t>
  </si>
  <si>
    <t>380 N Oxford Valley Rd</t>
  </si>
  <si>
    <t>(215) 949-5100</t>
  </si>
  <si>
    <t>S683</t>
  </si>
  <si>
    <t>Lourdes Medical Center of Burlington County</t>
  </si>
  <si>
    <t>218-A Sunset Rd</t>
  </si>
  <si>
    <t>Willingboro</t>
  </si>
  <si>
    <t>(609) 835-2900</t>
  </si>
  <si>
    <t>V790</t>
  </si>
  <si>
    <t>Kiowa County Memorial Hospital</t>
  </si>
  <si>
    <t>721 W Kansas Ave</t>
  </si>
  <si>
    <t>Greensburg</t>
  </si>
  <si>
    <t>67054-1633</t>
  </si>
  <si>
    <t>(620) 723-3341</t>
  </si>
  <si>
    <t>DZUO</t>
  </si>
  <si>
    <t>Fort Sanders West Outpatient Surgery Center</t>
  </si>
  <si>
    <t>210 Fort Sanders West Blvd</t>
  </si>
  <si>
    <t>(865) 531-5297</t>
  </si>
  <si>
    <t>JKAG</t>
  </si>
  <si>
    <t>Mayo Medical Laboratories</t>
  </si>
  <si>
    <t>(507) 284-4032</t>
  </si>
  <si>
    <t>U155</t>
  </si>
  <si>
    <t>Sidney Health Center</t>
  </si>
  <si>
    <t>216 14th Ave Sw</t>
  </si>
  <si>
    <t>Sidney</t>
  </si>
  <si>
    <t>59270-3519</t>
  </si>
  <si>
    <t>(406) 488-2100</t>
  </si>
  <si>
    <t>Q895</t>
  </si>
  <si>
    <t>Penn Highlands Clearfield</t>
  </si>
  <si>
    <t>809 Tpke Ave</t>
  </si>
  <si>
    <t>Clearfield</t>
  </si>
  <si>
    <t>16830-1243</t>
  </si>
  <si>
    <t>(814) 765-5341</t>
  </si>
  <si>
    <t>S270</t>
  </si>
  <si>
    <t>New Milford Hospital</t>
  </si>
  <si>
    <t>21 Elm St</t>
  </si>
  <si>
    <t>(860) 355-2611</t>
  </si>
  <si>
    <t>EAJD</t>
  </si>
  <si>
    <t>Fort Sanders Regional Infusion Services</t>
  </si>
  <si>
    <t>3001 Lake Brook Blvd Ste 201</t>
  </si>
  <si>
    <t>(865) 374-0700</t>
  </si>
  <si>
    <t>DCUK</t>
  </si>
  <si>
    <t>Trinity Medical</t>
  </si>
  <si>
    <t>6569 Highway 84</t>
  </si>
  <si>
    <t>Ferriday</t>
  </si>
  <si>
    <t>(318) 757-6551</t>
  </si>
  <si>
    <t>T820</t>
  </si>
  <si>
    <t>Stonebridge Health Systems</t>
  </si>
  <si>
    <t>2837 Ernest St</t>
  </si>
  <si>
    <t>70601-8785</t>
  </si>
  <si>
    <t>(318) 542-4111</t>
  </si>
  <si>
    <t>T826</t>
  </si>
  <si>
    <t>Reeves Memorial Medical Center</t>
  </si>
  <si>
    <t>409 First Street</t>
  </si>
  <si>
    <t>Bernice</t>
  </si>
  <si>
    <t>(318) 285-9066</t>
  </si>
  <si>
    <t>T782</t>
  </si>
  <si>
    <t>Ochsner American Legion Hospital</t>
  </si>
  <si>
    <t>1634 Elton Rd</t>
  </si>
  <si>
    <t>Jennings</t>
  </si>
  <si>
    <t>70546-3614</t>
  </si>
  <si>
    <t>(337) 616-7000</t>
  </si>
  <si>
    <t>DTEX</t>
  </si>
  <si>
    <t>BJC - Health Center - Alton</t>
  </si>
  <si>
    <t>3535 College Ave Ste B</t>
  </si>
  <si>
    <t>DTEV</t>
  </si>
  <si>
    <t>BJC - Health Center - Fairview</t>
  </si>
  <si>
    <t>317 Salem Pl Stop 1</t>
  </si>
  <si>
    <t>Fairview Heights</t>
  </si>
  <si>
    <t>62208-1300</t>
  </si>
  <si>
    <t>(618) 632-3343</t>
  </si>
  <si>
    <t>EAJG</t>
  </si>
  <si>
    <t>BJC - Health Center - Sunset Hills</t>
  </si>
  <si>
    <t>3844 S Lindbergh Blvd</t>
  </si>
  <si>
    <t>63127-1368</t>
  </si>
  <si>
    <t>(314) 525-0500</t>
  </si>
  <si>
    <t>DZUV</t>
  </si>
  <si>
    <t>CKHN - CK Middletown</t>
  </si>
  <si>
    <t>176 S New Middletown Rd</t>
  </si>
  <si>
    <t>19063-5255</t>
  </si>
  <si>
    <t>(610) 627-3660</t>
  </si>
  <si>
    <t>DZVE</t>
  </si>
  <si>
    <t>CKHN - Family Medicine Associates</t>
  </si>
  <si>
    <t>Center For Family Health</t>
  </si>
  <si>
    <t>(610) 627-3690</t>
  </si>
  <si>
    <t>DZVG</t>
  </si>
  <si>
    <t>Warning II William J MD</t>
  </si>
  <si>
    <t>1260 E Woodland Ave Ste 200</t>
  </si>
  <si>
    <t>19064-3956</t>
  </si>
  <si>
    <t>(610) 690-4490</t>
  </si>
  <si>
    <t>DZVI</t>
  </si>
  <si>
    <t>Crozer Keystone Ctr for Family Health-CKCFHS</t>
  </si>
  <si>
    <t>1260 E Woodland Ave</t>
  </si>
  <si>
    <t>DZVK</t>
  </si>
  <si>
    <t>Reid Daniel MD</t>
  </si>
  <si>
    <t>19064-3969</t>
  </si>
  <si>
    <t>DZVT</t>
  </si>
  <si>
    <t>Decaro Mary M MD</t>
  </si>
  <si>
    <t>100 W Sproul Rd Ste 220</t>
  </si>
  <si>
    <t>(610) 690-8225</t>
  </si>
  <si>
    <t>DZZE</t>
  </si>
  <si>
    <t>Madonna Jr Robert C DO</t>
  </si>
  <si>
    <t>2100 Keystone Ave Ste 506</t>
  </si>
  <si>
    <t>(610) 394-9414</t>
  </si>
  <si>
    <t>DZWG</t>
  </si>
  <si>
    <t>CKHN - Internal Medicine Associates</t>
  </si>
  <si>
    <t>1 Medical Ctr Blvd Ste 532</t>
  </si>
  <si>
    <t>Ccmc Acp</t>
  </si>
  <si>
    <t>(610) 447-6788</t>
  </si>
  <si>
    <t>DZWI</t>
  </si>
  <si>
    <t>Zweban Alan MD</t>
  </si>
  <si>
    <t>(610) 876-1800</t>
  </si>
  <si>
    <t>DZWK</t>
  </si>
  <si>
    <t>McKelvy Constance MD</t>
  </si>
  <si>
    <t>DZWM</t>
  </si>
  <si>
    <t>Trinkley David R MD</t>
  </si>
  <si>
    <t>1 Medical Ctr Blvd Ste 300</t>
  </si>
  <si>
    <t>(610) 876-7600</t>
  </si>
  <si>
    <t>DZWO</t>
  </si>
  <si>
    <t>CCMC - CMA</t>
  </si>
  <si>
    <t>1553 Chester Pike Ste 201</t>
  </si>
  <si>
    <t>University Technology Park</t>
  </si>
  <si>
    <t>Crum Lynne</t>
  </si>
  <si>
    <t>(610) 499-7180</t>
  </si>
  <si>
    <t>DZWP</t>
  </si>
  <si>
    <t>Scoles Karen MD</t>
  </si>
  <si>
    <t>1450 Edgmont Ave Ste 150</t>
  </si>
  <si>
    <t>19013-3934</t>
  </si>
  <si>
    <t>(610) 876-6999</t>
  </si>
  <si>
    <t>DZXB</t>
  </si>
  <si>
    <t>CKHN - Friedrich</t>
  </si>
  <si>
    <t>5030 State Rd Ste 2-400</t>
  </si>
  <si>
    <t>(610) 394-1390</t>
  </si>
  <si>
    <t>DZXN</t>
  </si>
  <si>
    <t>CCMC - Smedley MS Wellness Center</t>
  </si>
  <si>
    <t>1701 Upland St</t>
  </si>
  <si>
    <t>19013-5734</t>
  </si>
  <si>
    <t>(610) 490-1755</t>
  </si>
  <si>
    <t>DZXR</t>
  </si>
  <si>
    <t>CKHN - Physicians for Women - CCMC</t>
  </si>
  <si>
    <t>1 Medical Ctr Blvd Ste 333</t>
  </si>
  <si>
    <t>(610) 872-4900</t>
  </si>
  <si>
    <t>DZXT</t>
  </si>
  <si>
    <t>Meltz Richard C DO</t>
  </si>
  <si>
    <t>201 Wilm W Chester Park</t>
  </si>
  <si>
    <t>Glen Mills</t>
  </si>
  <si>
    <t>(610) 459-2066</t>
  </si>
  <si>
    <t>DZYE</t>
  </si>
  <si>
    <t>CKHN - Smith &amp; Vanguri</t>
  </si>
  <si>
    <t>2106 Silverside Rd Suite 202</t>
  </si>
  <si>
    <t>Wilmington</t>
  </si>
  <si>
    <t>DE</t>
  </si>
  <si>
    <t>(302) 477-9492</t>
  </si>
  <si>
    <t>DZYG</t>
  </si>
  <si>
    <t>CKHN - Rosen B</t>
  </si>
  <si>
    <t>431 Macdade Blvd</t>
  </si>
  <si>
    <t>Folsom</t>
  </si>
  <si>
    <t>19033-2400</t>
  </si>
  <si>
    <t>(610) 237-6300</t>
  </si>
  <si>
    <t>DZYQ</t>
  </si>
  <si>
    <t>CKHN - Crozer Pediatrics</t>
  </si>
  <si>
    <t>30 Medical Ctr Blvd Ste 205</t>
  </si>
  <si>
    <t>Ccmc Pob Ii</t>
  </si>
  <si>
    <t>(610) 619-7410</t>
  </si>
  <si>
    <t>DZYS</t>
  </si>
  <si>
    <t>Godbole Shyamali MD</t>
  </si>
  <si>
    <t>1 Medical Ctr Blvd Ste 326</t>
  </si>
  <si>
    <t>(610) 876-6898</t>
  </si>
  <si>
    <t>DZYV</t>
  </si>
  <si>
    <t>Noumoff Joel MD</t>
  </si>
  <si>
    <t>1 Medical Ctr Blvd Ste 441</t>
  </si>
  <si>
    <t>(610) 876-9640</t>
  </si>
  <si>
    <t>DZZA</t>
  </si>
  <si>
    <t>CKHN - Rheumatology</t>
  </si>
  <si>
    <t>30 Medical Ctr Blvd Pob 1 Ste 306</t>
  </si>
  <si>
    <t>(610) 447-3371</t>
  </si>
  <si>
    <t>Rheumatology</t>
  </si>
  <si>
    <t>DTGU</t>
  </si>
  <si>
    <t>LindenGrove Pharmacy</t>
  </si>
  <si>
    <t>13700 W National Ave</t>
  </si>
  <si>
    <t>(262) 797-4610</t>
  </si>
  <si>
    <t>DTGV</t>
  </si>
  <si>
    <t>LindenGrove - Menomonee Falls</t>
  </si>
  <si>
    <t>W180n8071 Town Hall Rd</t>
  </si>
  <si>
    <t>53051-3518</t>
  </si>
  <si>
    <t>(262) 253-2700</t>
  </si>
  <si>
    <t>Marquardt Health Services</t>
  </si>
  <si>
    <t>DTGW</t>
  </si>
  <si>
    <t>LindenGrove - New Berlin</t>
  </si>
  <si>
    <t>13755 W Fieldpointe Dr</t>
  </si>
  <si>
    <t>(262) 796-3660</t>
  </si>
  <si>
    <t>DTGX</t>
  </si>
  <si>
    <t>LindenGrove - Waukesha</t>
  </si>
  <si>
    <t>425 N University Dr</t>
  </si>
  <si>
    <t>(262) 524-6400</t>
  </si>
  <si>
    <t>EAJP</t>
  </si>
  <si>
    <t>Linden Heights</t>
  </si>
  <si>
    <t>427 N University Dr</t>
  </si>
  <si>
    <t>(262) 542-1180</t>
  </si>
  <si>
    <t>EAJQ</t>
  </si>
  <si>
    <t>Linden Ridge</t>
  </si>
  <si>
    <t>841 E Veterans Way</t>
  </si>
  <si>
    <t>Mukwonago</t>
  </si>
  <si>
    <t>53149-2020</t>
  </si>
  <si>
    <t>(262) 363-6830</t>
  </si>
  <si>
    <t>EAJR</t>
  </si>
  <si>
    <t>LindenCourt - Mukwonago</t>
  </si>
  <si>
    <t>845 E Veterans Way</t>
  </si>
  <si>
    <t>53149-1013</t>
  </si>
  <si>
    <t>EAJT</t>
  </si>
  <si>
    <t>97123-4246</t>
  </si>
  <si>
    <t>DZVZ</t>
  </si>
  <si>
    <t>Allina Health Cottage Grove Pharmacy</t>
  </si>
  <si>
    <t>8611 W Point Douglas Rd S</t>
  </si>
  <si>
    <t>Cottage Grove</t>
  </si>
  <si>
    <t>55016-4005</t>
  </si>
  <si>
    <t>(651) 458-1884</t>
  </si>
  <si>
    <t>EAYM</t>
  </si>
  <si>
    <t>Serrano Family Practice</t>
  </si>
  <si>
    <t>475 Hill Rd N</t>
  </si>
  <si>
    <t>(614) 837-2233</t>
  </si>
  <si>
    <t>EAQK</t>
  </si>
  <si>
    <t>COPC Tri County Family Physicians</t>
  </si>
  <si>
    <t>11925 Lithopolis Rd Nw</t>
  </si>
  <si>
    <t>Canal Winchester</t>
  </si>
  <si>
    <t>43110-9585</t>
  </si>
  <si>
    <t>(614) 837-6363</t>
  </si>
  <si>
    <t>Central Ohio Primary Care Physicians Inc-LAHUE DAVID</t>
  </si>
  <si>
    <t>DKCT</t>
  </si>
  <si>
    <t>763 Johnsonburg Rd</t>
  </si>
  <si>
    <t>Saint Marys</t>
  </si>
  <si>
    <t>15857-3417</t>
  </si>
  <si>
    <t>(814) 781-7500</t>
  </si>
  <si>
    <t>DSGZ</t>
  </si>
  <si>
    <t>Marshall Medical Center</t>
  </si>
  <si>
    <t>1080 N Ellington Pkwy</t>
  </si>
  <si>
    <t>37091-2227</t>
  </si>
  <si>
    <t>(615) 359-6241</t>
  </si>
  <si>
    <t>EAOW</t>
  </si>
  <si>
    <t>Wayne Medical Center</t>
  </si>
  <si>
    <t>103 Jv Mangubat Dr</t>
  </si>
  <si>
    <t>Waynesboro</t>
  </si>
  <si>
    <t>38485-2440</t>
  </si>
  <si>
    <t>(931) 722-5411</t>
  </si>
  <si>
    <t>DTZM</t>
  </si>
  <si>
    <t>Greensboro Imaging Wendover Medical Ctr</t>
  </si>
  <si>
    <t>301 E Wendover Ave</t>
  </si>
  <si>
    <t>27401-1230</t>
  </si>
  <si>
    <t>(336) 370-1100</t>
  </si>
  <si>
    <t>Radiology Partners Inc</t>
  </si>
  <si>
    <t>EAOX</t>
  </si>
  <si>
    <t>OPG Primary Care Rivers Edge</t>
  </si>
  <si>
    <t>7630 Rivers Edge Dr</t>
  </si>
  <si>
    <t>43235-1329</t>
  </si>
  <si>
    <t>(614) 533-4000</t>
  </si>
  <si>
    <t>EAYS</t>
  </si>
  <si>
    <t>IMC Family Medical of Jackson PC</t>
  </si>
  <si>
    <t>227 Hospital Dr</t>
  </si>
  <si>
    <t>36545-2423</t>
  </si>
  <si>
    <t>(251) 246-4446</t>
  </si>
  <si>
    <t>EAYW</t>
  </si>
  <si>
    <t>St Bernards Behavorial Health Services</t>
  </si>
  <si>
    <t>2712 E Johnson Ave</t>
  </si>
  <si>
    <t>72401-1874</t>
  </si>
  <si>
    <t>(870) 932-2800</t>
  </si>
  <si>
    <t>EAQW</t>
  </si>
  <si>
    <t>Yoder Jr Mervin C MD</t>
  </si>
  <si>
    <t>702 Barnhill Dr</t>
  </si>
  <si>
    <t>46202-5128</t>
  </si>
  <si>
    <t>(317) 274-4719</t>
  </si>
  <si>
    <t>EARD</t>
  </si>
  <si>
    <t>Barrow A D MD</t>
  </si>
  <si>
    <t>550 N University Blvd</t>
  </si>
  <si>
    <t>Room 5580</t>
  </si>
  <si>
    <t>(317) 278-0655</t>
  </si>
  <si>
    <t>EARE</t>
  </si>
  <si>
    <t>Adult Cardiography Lab Medical Center</t>
  </si>
  <si>
    <t>926 W Michigan St Rm 5580</t>
  </si>
  <si>
    <t>46202-5286</t>
  </si>
  <si>
    <t>(317) 274-4688</t>
  </si>
  <si>
    <t>EARF</t>
  </si>
  <si>
    <t>Associated Orthopaedics Surgeons</t>
  </si>
  <si>
    <t>550 University Blvd</t>
  </si>
  <si>
    <t>Room 1250</t>
  </si>
  <si>
    <t>(317) 274-8318</t>
  </si>
  <si>
    <t>EARI</t>
  </si>
  <si>
    <t>Brown Jr CE DDS MS</t>
  </si>
  <si>
    <t>1121 W Michigan St</t>
  </si>
  <si>
    <t>(317) 274-7280</t>
  </si>
  <si>
    <t>Dental</t>
  </si>
  <si>
    <t>EARK</t>
  </si>
  <si>
    <t>Cardiothoracic Surgery</t>
  </si>
  <si>
    <t>545 Barnhill Dr Emerson Hall Ste 215</t>
  </si>
  <si>
    <t>(317) 274-7949</t>
  </si>
  <si>
    <t>EARL</t>
  </si>
  <si>
    <t>Goodlett Charles R PhD-IUPUI</t>
  </si>
  <si>
    <t>402 N Blackford St</t>
  </si>
  <si>
    <t>Psych Dept</t>
  </si>
  <si>
    <t>46202-3275</t>
  </si>
  <si>
    <t>(317) 274-4715</t>
  </si>
  <si>
    <t>EARO</t>
  </si>
  <si>
    <t>Farmer ER MD - Outpatient Center</t>
  </si>
  <si>
    <t>550 University Blvd Ste 3240</t>
  </si>
  <si>
    <t>(317) 274-7721</t>
  </si>
  <si>
    <t>EARR</t>
  </si>
  <si>
    <t>Family Practice Center</t>
  </si>
  <si>
    <t>Vh2007</t>
  </si>
  <si>
    <t>(317) 274-5750</t>
  </si>
  <si>
    <t>EARS</t>
  </si>
  <si>
    <t>Vance G H MD</t>
  </si>
  <si>
    <t>975 W Walnut St Rm Ib130</t>
  </si>
  <si>
    <t>46202-5181</t>
  </si>
  <si>
    <t>EARU</t>
  </si>
  <si>
    <t>IU School of Medicine</t>
  </si>
  <si>
    <t>250 University Blvd Rm If 122</t>
  </si>
  <si>
    <t>(317) 278-0900</t>
  </si>
  <si>
    <t>University, College or School</t>
  </si>
  <si>
    <t>Universities, Colleges, Schools</t>
  </si>
  <si>
    <t>EARV</t>
  </si>
  <si>
    <t>UI-Department of Neurology</t>
  </si>
  <si>
    <t>702 Barnhill Dr Rm Ri 5999c</t>
  </si>
  <si>
    <t>(317) 962-5181</t>
  </si>
  <si>
    <t>EARX</t>
  </si>
  <si>
    <t>Indiana University Radiology Assoc</t>
  </si>
  <si>
    <t>550 N University Blvd Rm 0279</t>
  </si>
  <si>
    <t>(317) 715-6436</t>
  </si>
  <si>
    <t>EARY</t>
  </si>
  <si>
    <t>Dean J A DDS MSD</t>
  </si>
  <si>
    <t>(317) 274-5608</t>
  </si>
  <si>
    <t>EASE</t>
  </si>
  <si>
    <t>Lab Animal Resource Center</t>
  </si>
  <si>
    <t>975 W Walnut St Ib-008</t>
  </si>
  <si>
    <t>(317) 274-8649</t>
  </si>
  <si>
    <t>EASF</t>
  </si>
  <si>
    <t>Anderson Mark W DDS - IU Med Ctr</t>
  </si>
  <si>
    <t>550 N University Blvd Rm 3195</t>
  </si>
  <si>
    <t>(317) 274-8300</t>
  </si>
  <si>
    <t>EASH</t>
  </si>
  <si>
    <t>Oral Health Research Institute</t>
  </si>
  <si>
    <t>415 Lansing St</t>
  </si>
  <si>
    <t>46202-2876</t>
  </si>
  <si>
    <t>(317) 274-8822</t>
  </si>
  <si>
    <t>EASK</t>
  </si>
  <si>
    <t>Radiology &amp; Cardiology Department</t>
  </si>
  <si>
    <t>975 W Walnut St</t>
  </si>
  <si>
    <t>Rm Ib 028</t>
  </si>
  <si>
    <t>46202-5121</t>
  </si>
  <si>
    <t>(317) 274-4191</t>
  </si>
  <si>
    <t>EAST</t>
  </si>
  <si>
    <t>Travel Clinic Family Practice Center</t>
  </si>
  <si>
    <t>(317) 274-1321</t>
  </si>
  <si>
    <t>EASU</t>
  </si>
  <si>
    <t>Keaton Wilford H DDS MS</t>
  </si>
  <si>
    <t>(317) 274-5315</t>
  </si>
  <si>
    <t>EASW</t>
  </si>
  <si>
    <t>Indiana Cancer Pavilion #1</t>
  </si>
  <si>
    <t>535 N Barnhill Dr</t>
  </si>
  <si>
    <t>Rm 210</t>
  </si>
  <si>
    <t>(317) 278-2507</t>
  </si>
  <si>
    <t>EASX</t>
  </si>
  <si>
    <t>Leickly Frederick E MD - Riley Childrens</t>
  </si>
  <si>
    <t>702 Barnhill Dr Rm 2750</t>
  </si>
  <si>
    <t>46202-5225</t>
  </si>
  <si>
    <t>(317) 274-7208</t>
  </si>
  <si>
    <t>EASY</t>
  </si>
  <si>
    <t>Smith James W MD</t>
  </si>
  <si>
    <t>635 Barnhill Dr</t>
  </si>
  <si>
    <t>Rm A12</t>
  </si>
  <si>
    <t>(317) 274-4806</t>
  </si>
  <si>
    <t>EAUX</t>
  </si>
  <si>
    <t>Northside Gwinnett Inpatient Annex</t>
  </si>
  <si>
    <t>650 Professional Dr</t>
  </si>
  <si>
    <t>30046-8707</t>
  </si>
  <si>
    <t>(678) 442-3000</t>
  </si>
  <si>
    <t>EAVA</t>
  </si>
  <si>
    <t>Pharmacy Place</t>
  </si>
  <si>
    <t>48060-3511</t>
  </si>
  <si>
    <t>(810) 989-3455</t>
  </si>
  <si>
    <t>EAVB</t>
  </si>
  <si>
    <t>Tanasbouro Medical Plaza</t>
  </si>
  <si>
    <t>1881 Nw 185th Ave Suite 101</t>
  </si>
  <si>
    <t>(503) 216-9370</t>
  </si>
  <si>
    <t>DYMD</t>
  </si>
  <si>
    <t>Baptist Health Center-Bryant</t>
  </si>
  <si>
    <t>4411 Hwy 5 N</t>
  </si>
  <si>
    <t>Bryant</t>
  </si>
  <si>
    <t>72022-7005</t>
  </si>
  <si>
    <t>(501) 847-0289</t>
  </si>
  <si>
    <t>DYME</t>
  </si>
  <si>
    <t>Baptist Health Center-England</t>
  </si>
  <si>
    <t>221 Ne 2nd St</t>
  </si>
  <si>
    <t>England</t>
  </si>
  <si>
    <t>72046-1803</t>
  </si>
  <si>
    <t>(501) 842-3819</t>
  </si>
  <si>
    <t>DYMG</t>
  </si>
  <si>
    <t>Baptist Health Center-Perryville</t>
  </si>
  <si>
    <t>518 N Fourche Ave</t>
  </si>
  <si>
    <t>Perryville</t>
  </si>
  <si>
    <t>(501) 889-5543</t>
  </si>
  <si>
    <t>DYMH</t>
  </si>
  <si>
    <t>Benton Family Clinic</t>
  </si>
  <si>
    <t>819 W Carpenter St</t>
  </si>
  <si>
    <t>Benton</t>
  </si>
  <si>
    <t>72015-3349</t>
  </si>
  <si>
    <t>(501) 847-2719</t>
  </si>
  <si>
    <t>DYMI</t>
  </si>
  <si>
    <t>Baptist Health Family Clinic-Cabot</t>
  </si>
  <si>
    <t>205 Westport Dr Ste 1</t>
  </si>
  <si>
    <t>Cabot</t>
  </si>
  <si>
    <t>72023-3657</t>
  </si>
  <si>
    <t>(501) 843-6585</t>
  </si>
  <si>
    <t>DYMM</t>
  </si>
  <si>
    <t>Internal Medicine Clinic</t>
  </si>
  <si>
    <t>5320 W 12th St</t>
  </si>
  <si>
    <t>72204-1859</t>
  </si>
  <si>
    <t>(501) 663-6262</t>
  </si>
  <si>
    <t>EAQZ</t>
  </si>
  <si>
    <t>Baptist Health Family Clinic - Lakewood</t>
  </si>
  <si>
    <t>2508 Crestwood Rd</t>
  </si>
  <si>
    <t>72116-7623</t>
  </si>
  <si>
    <t>(501) 758-2294</t>
  </si>
  <si>
    <t>DYMO</t>
  </si>
  <si>
    <t>Baptist Health Family Clinic-Malvern</t>
  </si>
  <si>
    <t>1234 S Main St</t>
  </si>
  <si>
    <t>Bhfc Malvern Fam Med Ctr</t>
  </si>
  <si>
    <t>72104-5226</t>
  </si>
  <si>
    <t>(501) 337-9066</t>
  </si>
  <si>
    <t>DYMP</t>
  </si>
  <si>
    <t>Baptist Health Family Clinic - Maumelle</t>
  </si>
  <si>
    <t>1701 Club Manor Dr Ste 2</t>
  </si>
  <si>
    <t>Maumelle</t>
  </si>
  <si>
    <t>72113-7401</t>
  </si>
  <si>
    <t>(501) 851-7400</t>
  </si>
  <si>
    <t>DYMQ</t>
  </si>
  <si>
    <t>North Little Rock Family Practice</t>
  </si>
  <si>
    <t>505 W Pershing Blvd Ste C</t>
  </si>
  <si>
    <t>72114-2157</t>
  </si>
  <si>
    <t>(501) 758-1002</t>
  </si>
  <si>
    <t>EAXW</t>
  </si>
  <si>
    <t>Ouachita Valley Family Clinic</t>
  </si>
  <si>
    <t>353 Cash Rd</t>
  </si>
  <si>
    <t>71701-3704</t>
  </si>
  <si>
    <t>(501) 836-8101</t>
  </si>
  <si>
    <t>DYMV</t>
  </si>
  <si>
    <t>Sherwood Family Medical Clinic</t>
  </si>
  <si>
    <t>1308 E Kiehl Ave</t>
  </si>
  <si>
    <t>Sherwood</t>
  </si>
  <si>
    <t>72120-3040</t>
  </si>
  <si>
    <t>(501) 835-0703</t>
  </si>
  <si>
    <t>I075</t>
  </si>
  <si>
    <t>Orthopedic Center of Idaho PA dba Boise Or</t>
  </si>
  <si>
    <t>1075 N Curtis Rd Ste 300</t>
  </si>
  <si>
    <t>(208) 323-2600</t>
  </si>
  <si>
    <t>DYFH</t>
  </si>
  <si>
    <t>Steward Shipto</t>
  </si>
  <si>
    <t>1900 N Pearl St Ste 2400</t>
  </si>
  <si>
    <t>75201-2470</t>
  </si>
  <si>
    <t>(617) 789-2500</t>
  </si>
  <si>
    <t>CCHS</t>
  </si>
  <si>
    <t>Camden County Health Sources Center</t>
  </si>
  <si>
    <t>Collier Dr Po Box 1639</t>
  </si>
  <si>
    <t>DCQW</t>
  </si>
  <si>
    <t>Lehigh Valley Pharmacy Services - 17th</t>
  </si>
  <si>
    <t>1637 W Chew St</t>
  </si>
  <si>
    <t>(610) 402-1855</t>
  </si>
  <si>
    <t>PP60</t>
  </si>
  <si>
    <t>Provista</t>
  </si>
  <si>
    <t>250 E John Carpenter Frwy Ste 110</t>
  </si>
  <si>
    <t>(888) 766-8283</t>
  </si>
  <si>
    <t>Jake Critelli</t>
  </si>
  <si>
    <t>jake.critelli@provista.com</t>
  </si>
  <si>
    <t>I901</t>
  </si>
  <si>
    <t>Williams Shauna T MD</t>
  </si>
  <si>
    <t>1072 N Liberty St Ste 201</t>
  </si>
  <si>
    <t>(208) 377-2273</t>
  </si>
  <si>
    <t>DZQX</t>
  </si>
  <si>
    <t>Kessler Institute for Rehabilitation - Saddle Brook</t>
  </si>
  <si>
    <t>300 Market St</t>
  </si>
  <si>
    <t>Saddle Brook</t>
  </si>
  <si>
    <t>(201) 368-6000</t>
  </si>
  <si>
    <t>EAHE</t>
  </si>
  <si>
    <t>Kootenai Surgery Associates</t>
  </si>
  <si>
    <t>700 W Ironwood Dr Ste 304</t>
  </si>
  <si>
    <t>83814-4485</t>
  </si>
  <si>
    <t>(208) 667-1588</t>
  </si>
  <si>
    <t>EABS</t>
  </si>
  <si>
    <t>Lutheran Home at Moorestown</t>
  </si>
  <si>
    <t>255 E Main St</t>
  </si>
  <si>
    <t>Moorestown</t>
  </si>
  <si>
    <t>(856) 235-1214</t>
  </si>
  <si>
    <t>Marquis Health Services</t>
  </si>
  <si>
    <t>EADJ</t>
  </si>
  <si>
    <t>1114 Wynwood Ave</t>
  </si>
  <si>
    <t>(856) 663-4044</t>
  </si>
  <si>
    <t>EAIH</t>
  </si>
  <si>
    <t>Rydal Park</t>
  </si>
  <si>
    <t>1515 On The Fairway</t>
  </si>
  <si>
    <t>Rydal</t>
  </si>
  <si>
    <t>(215) 885-6800</t>
  </si>
  <si>
    <t>Presbys Inspired Life</t>
  </si>
  <si>
    <t>EADW</t>
  </si>
  <si>
    <t>University Diagnostic Labs</t>
  </si>
  <si>
    <t>675 Hoes Ln</t>
  </si>
  <si>
    <t>(732) 235-4268</t>
  </si>
  <si>
    <t>EAIY</t>
  </si>
  <si>
    <t>Urology Associates of Topeka PA</t>
  </si>
  <si>
    <t>1001 Sw Garfield 301 Medical Plaza Blvd</t>
  </si>
  <si>
    <t>(785) 233-4256</t>
  </si>
  <si>
    <t>W037</t>
  </si>
  <si>
    <t>UNC University of North Carolina Hospitals</t>
  </si>
  <si>
    <t>101 Manning Dr</t>
  </si>
  <si>
    <t>Chapel Hill</t>
  </si>
  <si>
    <t>(919) 966-4131</t>
  </si>
  <si>
    <t>EAYF</t>
  </si>
  <si>
    <t>Medcenters Home Care Home Health-Executive</t>
  </si>
  <si>
    <t>9000 Executive Park Dr Suite A-110</t>
  </si>
  <si>
    <t>EAYG</t>
  </si>
  <si>
    <t>Covenant HomeCare Morristown</t>
  </si>
  <si>
    <t>1615 W Morris Blvd</t>
  </si>
  <si>
    <t>(423) 586-6808</t>
  </si>
  <si>
    <t>S177</t>
  </si>
  <si>
    <t>Porter Medical Center</t>
  </si>
  <si>
    <t>115 Porter Dr</t>
  </si>
  <si>
    <t>Middlebury</t>
  </si>
  <si>
    <t>(802) 388-4701</t>
  </si>
  <si>
    <t>EBHL</t>
  </si>
  <si>
    <t>Chromalloy American Kidney Center</t>
  </si>
  <si>
    <t>4950 Childrens Pl</t>
  </si>
  <si>
    <t>63110-1000</t>
  </si>
  <si>
    <t>(314) 362-7211</t>
  </si>
  <si>
    <t>Washington University in St Louis</t>
  </si>
  <si>
    <t>EBHM</t>
  </si>
  <si>
    <t>Albany Healthcare Pharmacy</t>
  </si>
  <si>
    <t>349 W 1st St</t>
  </si>
  <si>
    <t>47320-1705</t>
  </si>
  <si>
    <t>(765) 789-8585</t>
  </si>
  <si>
    <t>EBHN</t>
  </si>
  <si>
    <t>Kenmore Healthcare Pharmacy</t>
  </si>
  <si>
    <t>205 N Tillotson Ave</t>
  </si>
  <si>
    <t>47304-3900</t>
  </si>
  <si>
    <t>(765) 213-2200</t>
  </si>
  <si>
    <t>DYJH</t>
  </si>
  <si>
    <t>Upland Healthcare Pharmacy</t>
  </si>
  <si>
    <t>1809 S Main St</t>
  </si>
  <si>
    <t>46989-0690</t>
  </si>
  <si>
    <t>(765) 998-6210</t>
  </si>
  <si>
    <t>EBHP</t>
  </si>
  <si>
    <t>Dwight A Johnson Clinic</t>
  </si>
  <si>
    <t>609 W Church St</t>
  </si>
  <si>
    <t>(601) 728-3535</t>
  </si>
  <si>
    <t>DYIZ</t>
  </si>
  <si>
    <t>Vernon Chase MD Family Practice</t>
  </si>
  <si>
    <t>305 Mill St</t>
  </si>
  <si>
    <t>Baldwyn</t>
  </si>
  <si>
    <t>38824-2122</t>
  </si>
  <si>
    <t>(601) 365-7727</t>
  </si>
  <si>
    <t>EBHU</t>
  </si>
  <si>
    <t>Pavilion Pharmacy</t>
  </si>
  <si>
    <t>(704) 783-1568</t>
  </si>
  <si>
    <t>EBIL</t>
  </si>
  <si>
    <t>Guthrie Robert Packer Hospital D/B/A Clinic P</t>
  </si>
  <si>
    <t>Clinic Pharmacy</t>
  </si>
  <si>
    <t>(570) 882-5338</t>
  </si>
  <si>
    <t>EBIM</t>
  </si>
  <si>
    <t>OMNI Healthcare</t>
  </si>
  <si>
    <t>1344 S Apollo Blvd Ste 406</t>
  </si>
  <si>
    <t>Melbourne</t>
  </si>
  <si>
    <t>32901-3185</t>
  </si>
  <si>
    <t>(321) 727-2990</t>
  </si>
  <si>
    <t>DYMX</t>
  </si>
  <si>
    <t>Wellstar Pharmacy Network at Windy Hill</t>
  </si>
  <si>
    <t>2520 Windy Hill Rd Se Ste 203a</t>
  </si>
  <si>
    <t>30067-8650</t>
  </si>
  <si>
    <t>(770) 644-1005</t>
  </si>
  <si>
    <t>EBIU</t>
  </si>
  <si>
    <t>Clinic Pharmacy Central Supply</t>
  </si>
  <si>
    <t>1000 Quality Dr</t>
  </si>
  <si>
    <t>Hooksett</t>
  </si>
  <si>
    <t>Dartmouth-Hitchcock Clinic</t>
  </si>
  <si>
    <t>Pharmacy - Closed Door Acute</t>
  </si>
  <si>
    <t>AAAA</t>
  </si>
  <si>
    <t>Medworks Inc</t>
  </si>
  <si>
    <t>2123 Intelliplex Dr</t>
  </si>
  <si>
    <t>46176-8538</t>
  </si>
  <si>
    <t>(317) 421-2020</t>
  </si>
  <si>
    <t>EBJN</t>
  </si>
  <si>
    <t>Memorial Hospital Outpatient Pharmacy</t>
  </si>
  <si>
    <t>(618) 257-5274</t>
  </si>
  <si>
    <t>BJC Medical Group of Illinois</t>
  </si>
  <si>
    <t>YNEW</t>
  </si>
  <si>
    <t>Beaumont Pharmacy Trenton</t>
  </si>
  <si>
    <t>(734) 642-2190</t>
  </si>
  <si>
    <t>EBJS</t>
  </si>
  <si>
    <t>Ochsner Health Center - Destrehan</t>
  </si>
  <si>
    <t>13100 River Rd</t>
  </si>
  <si>
    <t>Destrehan</t>
  </si>
  <si>
    <t>70047-5219</t>
  </si>
  <si>
    <t>EBJU</t>
  </si>
  <si>
    <t>Ochsner Health Center - Tangipahoa</t>
  </si>
  <si>
    <t>41676 Veterans Ave</t>
  </si>
  <si>
    <t>Hammond</t>
  </si>
  <si>
    <t>70403-1412</t>
  </si>
  <si>
    <t>EBJV</t>
  </si>
  <si>
    <t>Ochsner Clinic - Larose</t>
  </si>
  <si>
    <t>13030 Hwy 308</t>
  </si>
  <si>
    <t>Larose</t>
  </si>
  <si>
    <t>EBKK</t>
  </si>
  <si>
    <t>Medical Center Pharmacy</t>
  </si>
  <si>
    <t>31602-1735</t>
  </si>
  <si>
    <t>(229) 249-4144</t>
  </si>
  <si>
    <t>DYIY</t>
  </si>
  <si>
    <t>Swedish Covenant Hospital Outpatient Pharmacy</t>
  </si>
  <si>
    <t>5154 N California Ave</t>
  </si>
  <si>
    <t>EBKL</t>
  </si>
  <si>
    <t>Hanover Medical Office</t>
  </si>
  <si>
    <t>36 Medical Plz</t>
  </si>
  <si>
    <t>Hanover</t>
  </si>
  <si>
    <t>47243-9481</t>
  </si>
  <si>
    <t>(812) 866-3301</t>
  </si>
  <si>
    <t>EBKT</t>
  </si>
  <si>
    <t>Visiting Nurse Association of Saginaw</t>
  </si>
  <si>
    <t>515 N Michigan Ave</t>
  </si>
  <si>
    <t>48602-4316</t>
  </si>
  <si>
    <t>(989) 799-6020</t>
  </si>
  <si>
    <t>JAZT</t>
  </si>
  <si>
    <t>Carew Pharmacy - Nursing Home</t>
  </si>
  <si>
    <t>1818 Carew St</t>
  </si>
  <si>
    <t>EAFN</t>
  </si>
  <si>
    <t>PENN INFUSION AT HOME (LANCASTER)</t>
  </si>
  <si>
    <t>1070 New Holland Ave</t>
  </si>
  <si>
    <t>(717) 544-3590</t>
  </si>
  <si>
    <t>EBKU</t>
  </si>
  <si>
    <t>LG Health Convenience Pharmacy Suburban Pavilion</t>
  </si>
  <si>
    <t>2108 Harrisburg Pike Ste 314</t>
  </si>
  <si>
    <t>(717) 544-3154</t>
  </si>
  <si>
    <t>EBKW</t>
  </si>
  <si>
    <t>710 Center St</t>
  </si>
  <si>
    <t>31901-1547</t>
  </si>
  <si>
    <t>(706) 571-1000</t>
  </si>
  <si>
    <t>EBOB</t>
  </si>
  <si>
    <t>910 S Broad St</t>
  </si>
  <si>
    <t>31792-6199</t>
  </si>
  <si>
    <t>(229) 228-2739</t>
  </si>
  <si>
    <t>EBOC</t>
  </si>
  <si>
    <t>343 Thornall St</t>
  </si>
  <si>
    <t>Monmouth Shores Corporate Park</t>
  </si>
  <si>
    <t>(848) 888-4400</t>
  </si>
  <si>
    <t>V919</t>
  </si>
  <si>
    <t>Anson Community Hospital</t>
  </si>
  <si>
    <t>500 Morven Rd</t>
  </si>
  <si>
    <t>Wadesboro</t>
  </si>
  <si>
    <t>(704) 694-5131</t>
  </si>
  <si>
    <t>U779</t>
  </si>
  <si>
    <t>Molokai General Hospital</t>
  </si>
  <si>
    <t>280 Homeolu Pl</t>
  </si>
  <si>
    <t>Kaunakakai</t>
  </si>
  <si>
    <t>(808) 553-5331</t>
  </si>
  <si>
    <t>T837</t>
  </si>
  <si>
    <t>Hood Memorial Hospital</t>
  </si>
  <si>
    <t>301 Walnut St</t>
  </si>
  <si>
    <t>Amite</t>
  </si>
  <si>
    <t>70422-2098</t>
  </si>
  <si>
    <t>(985) 748-9485</t>
  </si>
  <si>
    <t>EBOI</t>
  </si>
  <si>
    <t>Jewish Center for Aged</t>
  </si>
  <si>
    <t>13190 S Outer 40</t>
  </si>
  <si>
    <t>Chesterfield</t>
  </si>
  <si>
    <t>63017-5998</t>
  </si>
  <si>
    <t>(314) 434-3330</t>
  </si>
  <si>
    <t>EBOL</t>
  </si>
  <si>
    <t>Delaire Nursing and Convalescent Cent</t>
  </si>
  <si>
    <t>400 W Stimpson Ave</t>
  </si>
  <si>
    <t>Linden</t>
  </si>
  <si>
    <t>(908) 862-3399</t>
  </si>
  <si>
    <t>EBOM</t>
  </si>
  <si>
    <t>Hospicomm-Berkeley Heights Nursing &amp; Rehab Ct</t>
  </si>
  <si>
    <t>35 Cottage St</t>
  </si>
  <si>
    <t>(908) 464-0048</t>
  </si>
  <si>
    <t>EBON</t>
  </si>
  <si>
    <t>Fort Sanders Health &amp; Fitness Center</t>
  </si>
  <si>
    <t>270 Fort Sanders W Blvd</t>
  </si>
  <si>
    <t>(865) 531-5000</t>
  </si>
  <si>
    <t>Fitness Center</t>
  </si>
  <si>
    <t>EBOP</t>
  </si>
  <si>
    <t>Nannys Nursery</t>
  </si>
  <si>
    <t>250 Fort Sanders W Blvd</t>
  </si>
  <si>
    <t>Bldg 7</t>
  </si>
  <si>
    <t>(865) 690-7212</t>
  </si>
  <si>
    <t>EBOS</t>
  </si>
  <si>
    <t>The Queens Health Care Centers</t>
  </si>
  <si>
    <t>838 S Beretania St Ste 307</t>
  </si>
  <si>
    <t>(808) 547-4264</t>
  </si>
  <si>
    <t>EBOT</t>
  </si>
  <si>
    <t>Washington University School of Medicine</t>
  </si>
  <si>
    <t>660 S Euclid Ave</t>
  </si>
  <si>
    <t>(314) 362-6827</t>
  </si>
  <si>
    <t>Acute Medical School</t>
  </si>
  <si>
    <t>EBOU</t>
  </si>
  <si>
    <t>WUSTL-Siteman Cancer Center</t>
  </si>
  <si>
    <t>4921 Parkview Pl Fl 7</t>
  </si>
  <si>
    <t>Center For Advanced Medicine Building</t>
  </si>
  <si>
    <t>63110-1032</t>
  </si>
  <si>
    <t>(314) 362-7356</t>
  </si>
  <si>
    <t>EBOV</t>
  </si>
  <si>
    <t>Farmington Dialysis Center</t>
  </si>
  <si>
    <t>201 N A St</t>
  </si>
  <si>
    <t>63640-1762</t>
  </si>
  <si>
    <t>(573) 760-8040</t>
  </si>
  <si>
    <t>EBOX</t>
  </si>
  <si>
    <t>Washington Univ - Department of OB/GYN</t>
  </si>
  <si>
    <t>16306 W Pavilion</t>
  </si>
  <si>
    <t>(314) 362-3160</t>
  </si>
  <si>
    <t>EBOY</t>
  </si>
  <si>
    <t>Washington Univ - Plastic Surgery</t>
  </si>
  <si>
    <t>1 Barnes Hospital Plz Ste 17424</t>
  </si>
  <si>
    <t>(314) 362-4582</t>
  </si>
  <si>
    <t>EBPA</t>
  </si>
  <si>
    <t>Washington Univ Internal Medicine Specialty</t>
  </si>
  <si>
    <t>4570 Childrens Pl</t>
  </si>
  <si>
    <t>63110-1020</t>
  </si>
  <si>
    <t>(314) 362-7612</t>
  </si>
  <si>
    <t>EBPB</t>
  </si>
  <si>
    <t>Washington University Infectious Diseases</t>
  </si>
  <si>
    <t>4951 Childrens Pl Fl 8</t>
  </si>
  <si>
    <t>(314) 362-2125</t>
  </si>
  <si>
    <t>Infectious Disease</t>
  </si>
  <si>
    <t>EBPC</t>
  </si>
  <si>
    <t>General Clinical Research Center</t>
  </si>
  <si>
    <t>4949 Barnes Hospital Plz</t>
  </si>
  <si>
    <t>4th Fl Bardingn</t>
  </si>
  <si>
    <t>(314) 362-7594</t>
  </si>
  <si>
    <t>EBPE</t>
  </si>
  <si>
    <t>Barnes West Dermatology Outpatient Center</t>
  </si>
  <si>
    <t>1020 N Mason Rd Ste 120</t>
  </si>
  <si>
    <t>63141-6300</t>
  </si>
  <si>
    <t>(314) 362-2609</t>
  </si>
  <si>
    <t>Ambulatory Care Center</t>
  </si>
  <si>
    <t>EBPK</t>
  </si>
  <si>
    <t>Oakpoint Clinic Pharmacy</t>
  </si>
  <si>
    <t>1110 Yankee Doodle Rd</t>
  </si>
  <si>
    <t>55121-2092</t>
  </si>
  <si>
    <t>(651) 905-5032</t>
  </si>
  <si>
    <t>S293</t>
  </si>
  <si>
    <t>Hebrew Home &amp; Hospital</t>
  </si>
  <si>
    <t>1 Abrahms Blvd</t>
  </si>
  <si>
    <t>West Hartford</t>
  </si>
  <si>
    <t>(860) 523-3800</t>
  </si>
  <si>
    <t>S364</t>
  </si>
  <si>
    <t>North Adams Regional Hospital</t>
  </si>
  <si>
    <t>71 Hospital Ave</t>
  </si>
  <si>
    <t>North Adams</t>
  </si>
  <si>
    <t>(413) 664-5505</t>
  </si>
  <si>
    <t>U185</t>
  </si>
  <si>
    <t>Marcus Daly Memorial Hospital</t>
  </si>
  <si>
    <t>1200 Westwood Dr</t>
  </si>
  <si>
    <t>59840-2312</t>
  </si>
  <si>
    <t>(406) 363-2211</t>
  </si>
  <si>
    <t>HCIL</t>
  </si>
  <si>
    <t>Iredell Health System</t>
  </si>
  <si>
    <t>557 Brookdale Dr</t>
  </si>
  <si>
    <t>Statesville</t>
  </si>
  <si>
    <t>(704) 873-5661</t>
  </si>
  <si>
    <t>JKCA</t>
  </si>
  <si>
    <t>St Elizabeth Dearborn</t>
  </si>
  <si>
    <t>600 Wilson Creek Rd</t>
  </si>
  <si>
    <t>Lawrenceburg</t>
  </si>
  <si>
    <t>(812) 537-8200</t>
  </si>
  <si>
    <t>St Elizabeth Healthcare</t>
  </si>
  <si>
    <t>HBKC</t>
  </si>
  <si>
    <t>Fairview Hospital</t>
  </si>
  <si>
    <t>29 Lewis Ave</t>
  </si>
  <si>
    <t>Great Barrington</t>
  </si>
  <si>
    <t>(413) 528-0790</t>
  </si>
  <si>
    <t>Berkshire Medical Center</t>
  </si>
  <si>
    <t>HCJE</t>
  </si>
  <si>
    <t>North Carolina Baptist Hospital</t>
  </si>
  <si>
    <t>Medical Center Blvd</t>
  </si>
  <si>
    <t>(336) 716-2011</t>
  </si>
  <si>
    <t>HCJW</t>
  </si>
  <si>
    <t>Randolph Hospital</t>
  </si>
  <si>
    <t>364 White Oak St</t>
  </si>
  <si>
    <t>Asheboro</t>
  </si>
  <si>
    <t>(336) 625-5151</t>
  </si>
  <si>
    <t>R386</t>
  </si>
  <si>
    <t>Roswell Park Comprehensive Cancer Center</t>
  </si>
  <si>
    <t>Elm And Carlton St</t>
  </si>
  <si>
    <t>14263-0001</t>
  </si>
  <si>
    <t>(716) 845-2300</t>
  </si>
  <si>
    <t>JKCW</t>
  </si>
  <si>
    <t>Spectrum Healthcare Services</t>
  </si>
  <si>
    <t>12647 Olive Blvd Ste 600</t>
  </si>
  <si>
    <t>(314) 744-4100</t>
  </si>
  <si>
    <t>Team Health</t>
  </si>
  <si>
    <t>JKDB</t>
  </si>
  <si>
    <t>Union Hospital of Cecil County</t>
  </si>
  <si>
    <t>106 Bow Street</t>
  </si>
  <si>
    <t>Elkton</t>
  </si>
  <si>
    <t>Christiana Care Health System</t>
  </si>
  <si>
    <t>JKDK</t>
  </si>
  <si>
    <t>Gottlieb Memorial Hospital</t>
  </si>
  <si>
    <t>701 W North Ave</t>
  </si>
  <si>
    <t>Melrose Park</t>
  </si>
  <si>
    <t>60160-1612</t>
  </si>
  <si>
    <t>(708) 681-3200</t>
  </si>
  <si>
    <t>HFOF</t>
  </si>
  <si>
    <t>Suburban Hospital</t>
  </si>
  <si>
    <t>8600 Old Georgetown Rd</t>
  </si>
  <si>
    <t>Bethesda</t>
  </si>
  <si>
    <t>(301) 896-3100</t>
  </si>
  <si>
    <t>JKDO</t>
  </si>
  <si>
    <t>Bon Secours Maryview Medical Center</t>
  </si>
  <si>
    <t>3636 High St</t>
  </si>
  <si>
    <t>23707-3270</t>
  </si>
  <si>
    <t>(757) 398-2200</t>
  </si>
  <si>
    <t>HBQK</t>
  </si>
  <si>
    <t>Lowell General Hospital- Saints Campus</t>
  </si>
  <si>
    <t>(978) 458-1411</t>
  </si>
  <si>
    <t>JKDV</t>
  </si>
  <si>
    <t>Seton Medical Center</t>
  </si>
  <si>
    <t>1900 Sullivan Avenue</t>
  </si>
  <si>
    <t>Daly City</t>
  </si>
  <si>
    <t>(650) 992-4000</t>
  </si>
  <si>
    <t>JKDY</t>
  </si>
  <si>
    <t>Mercy Hospital South</t>
  </si>
  <si>
    <t>10010 Kennerly Rd</t>
  </si>
  <si>
    <t>(314) 525-4787</t>
  </si>
  <si>
    <t>HCLE</t>
  </si>
  <si>
    <t>UNC Wayne Health Care</t>
  </si>
  <si>
    <t>2700 Wayne Memorial Dr</t>
  </si>
  <si>
    <t>Goldsboro</t>
  </si>
  <si>
    <t>(919) 736-1110</t>
  </si>
  <si>
    <t>JKEJ</t>
  </si>
  <si>
    <t>Asante Rogue Regional Medical Center</t>
  </si>
  <si>
    <t>2825 E Barnett Rd</t>
  </si>
  <si>
    <t>97504-8332</t>
  </si>
  <si>
    <t>(541) 789-7000</t>
  </si>
  <si>
    <t>Health Future LLC</t>
  </si>
  <si>
    <t>Asante</t>
  </si>
  <si>
    <t>JAIF</t>
  </si>
  <si>
    <t>Aspirus Wausau Hospital</t>
  </si>
  <si>
    <t>333 Pine Ridge Blvd</t>
  </si>
  <si>
    <t>Wausau</t>
  </si>
  <si>
    <t>54401-4187</t>
  </si>
  <si>
    <t>(715) 847-2121</t>
  </si>
  <si>
    <t>DZLT</t>
  </si>
  <si>
    <t>Coeur dAlene Pediatrics</t>
  </si>
  <si>
    <t>700 W Ironwood Dr Ste 155</t>
  </si>
  <si>
    <t>83814-4462</t>
  </si>
  <si>
    <t>DZMA</t>
  </si>
  <si>
    <t>Gibbon Larry K MD</t>
  </si>
  <si>
    <t>185 West 4th Ave Ste B</t>
  </si>
  <si>
    <t>(208) 773-1592</t>
  </si>
  <si>
    <t>DZMH</t>
  </si>
  <si>
    <t>MIS Northwest</t>
  </si>
  <si>
    <t>750 N Syringa St Ste 103</t>
  </si>
  <si>
    <t>83854-5275</t>
  </si>
  <si>
    <t>(208) 415-0151</t>
  </si>
  <si>
    <t>DRCZ</t>
  </si>
  <si>
    <t>New England Eye Surgical Center</t>
  </si>
  <si>
    <t>696 Main Street</t>
  </si>
  <si>
    <t>Weymouth</t>
  </si>
  <si>
    <t>(781) 331-3820</t>
  </si>
  <si>
    <t>H733</t>
  </si>
  <si>
    <t>Kearney Clinic PC</t>
  </si>
  <si>
    <t>211 W 33rd St</t>
  </si>
  <si>
    <t>(308) 237-2141</t>
  </si>
  <si>
    <t>KABK</t>
  </si>
  <si>
    <t>Healthcare Realty Trust</t>
  </si>
  <si>
    <t>1536 N 115th St</t>
  </si>
  <si>
    <t>Seattle</t>
  </si>
  <si>
    <t>98133-8400</t>
  </si>
  <si>
    <t>(615) 269-8175</t>
  </si>
  <si>
    <t>Healthcare Realty Services - 151101</t>
  </si>
  <si>
    <t>Buyers Edge Platform LLC</t>
  </si>
  <si>
    <t>JKGH</t>
  </si>
  <si>
    <t>West Georgia Medical Center</t>
  </si>
  <si>
    <t>1514 Vernon Road</t>
  </si>
  <si>
    <t>Lagrange</t>
  </si>
  <si>
    <t>(706) 882-1411</t>
  </si>
  <si>
    <t>JKGI</t>
  </si>
  <si>
    <t>Carondelet Health Network</t>
  </si>
  <si>
    <t>2202 N Forbes Blvd</t>
  </si>
  <si>
    <t>85745-1412</t>
  </si>
  <si>
    <t>(820) 872-7790</t>
  </si>
  <si>
    <t>JAQI</t>
  </si>
  <si>
    <t>169 Ashley Ave</t>
  </si>
  <si>
    <t>29425-8905</t>
  </si>
  <si>
    <t>(843) 792-2300</t>
  </si>
  <si>
    <t>JBDD</t>
  </si>
  <si>
    <t>UC San Diego Medical Cntr Purchasing Dept</t>
  </si>
  <si>
    <t>7197 Convoy Ct Ste 10</t>
  </si>
  <si>
    <t>92111-1024</t>
  </si>
  <si>
    <t>(619) 543-6222</t>
  </si>
  <si>
    <t>UC San Diego Health</t>
  </si>
  <si>
    <t>XB63</t>
  </si>
  <si>
    <t>Pine Rest Christian Mental Health Services</t>
  </si>
  <si>
    <t>300 68th St Se</t>
  </si>
  <si>
    <t>49501-0165</t>
  </si>
  <si>
    <t>(616) 455-5000</t>
  </si>
  <si>
    <t>iFS - Corewell Affiliates</t>
  </si>
  <si>
    <t>JKGY</t>
  </si>
  <si>
    <t>9001 Liberty Pkwy</t>
  </si>
  <si>
    <t>Fka Healthsouth Corporation</t>
  </si>
  <si>
    <t>35242-7509</t>
  </si>
  <si>
    <t>(205) 967-7116</t>
  </si>
  <si>
    <t>EBVW</t>
  </si>
  <si>
    <t>Willis-Knighton Physicians Network</t>
  </si>
  <si>
    <t>(318) 212-4871</t>
  </si>
  <si>
    <t>R195</t>
  </si>
  <si>
    <t>Phelps Memorial Hospital Center</t>
  </si>
  <si>
    <t>701 N Broadway</t>
  </si>
  <si>
    <t>Sleepy Hollow</t>
  </si>
  <si>
    <t>10591-1096</t>
  </si>
  <si>
    <t>(914) 366-3000</t>
  </si>
  <si>
    <t>JDSX</t>
  </si>
  <si>
    <t>Cone Health Moses Cone Hospital</t>
  </si>
  <si>
    <t>27401-1020</t>
  </si>
  <si>
    <t>EBWF</t>
  </si>
  <si>
    <t>Cool Springs Internal Medicine</t>
  </si>
  <si>
    <t>1909 Mallory Ln Ste 104</t>
  </si>
  <si>
    <t>37067-8230</t>
  </si>
  <si>
    <t>(615) 309-2466</t>
  </si>
  <si>
    <t>LBMC Brentwood</t>
  </si>
  <si>
    <t>Cool Springs Plastic Surgery</t>
  </si>
  <si>
    <t>EBWV</t>
  </si>
  <si>
    <t>Williams Arthur DO</t>
  </si>
  <si>
    <t>100 Covey Dr Ste 309</t>
  </si>
  <si>
    <t>(615) 595-4600</t>
  </si>
  <si>
    <t>EBXB</t>
  </si>
  <si>
    <t>Sanford Care Center Chamberlain</t>
  </si>
  <si>
    <t>(605) 734-6518</t>
  </si>
  <si>
    <t>EBXC</t>
  </si>
  <si>
    <t>Historic Homes of Runnemede Inc</t>
  </si>
  <si>
    <t>40 Maxwell Perkins Ln</t>
  </si>
  <si>
    <t>(802) 674-6733</t>
  </si>
  <si>
    <t>EBXD</t>
  </si>
  <si>
    <t>CD Practice Associates Inc</t>
  </si>
  <si>
    <t>EBXV</t>
  </si>
  <si>
    <t>Community Nurses of Elk &amp; Cameron Counties</t>
  </si>
  <si>
    <t>757 Johnsonburg Rd Suite 200</t>
  </si>
  <si>
    <t>15857-3497</t>
  </si>
  <si>
    <t>(814) 781-1415</t>
  </si>
  <si>
    <t>DZFL</t>
  </si>
  <si>
    <t>340 W 10th St Ste 6100</t>
  </si>
  <si>
    <t>46202-3082</t>
  </si>
  <si>
    <t>P938</t>
  </si>
  <si>
    <t>Bassett HC Network-OConnor Hospital</t>
  </si>
  <si>
    <t>460 Andes Rd</t>
  </si>
  <si>
    <t>Delhi</t>
  </si>
  <si>
    <t>13753-7443</t>
  </si>
  <si>
    <t>(607) 746-0300</t>
  </si>
  <si>
    <t>Q855</t>
  </si>
  <si>
    <t>UPMC Hanover</t>
  </si>
  <si>
    <t>300 Highland Ave</t>
  </si>
  <si>
    <t>17331-2297</t>
  </si>
  <si>
    <t>(717) 637-3711</t>
  </si>
  <si>
    <t>P824</t>
  </si>
  <si>
    <t>Packard at El Camino</t>
  </si>
  <si>
    <t>2500 Grant Road</t>
  </si>
  <si>
    <t>El Camino Hospital Mountain View</t>
  </si>
  <si>
    <t>Mountain View</t>
  </si>
  <si>
    <t>(650) 940-7000</t>
  </si>
  <si>
    <t>Stanford Health Care</t>
  </si>
  <si>
    <t>Lucile Packard Childrens Hospital Stanford</t>
  </si>
  <si>
    <t>R396</t>
  </si>
  <si>
    <t>NewYork-Presbyterian Westchester</t>
  </si>
  <si>
    <t>55 Palmer Ave</t>
  </si>
  <si>
    <t>Bronxville</t>
  </si>
  <si>
    <t>10708-3491</t>
  </si>
  <si>
    <t>(914) 787-1000</t>
  </si>
  <si>
    <t>JKHM</t>
  </si>
  <si>
    <t>Eisenhower Medical Center</t>
  </si>
  <si>
    <t>39000 Bob Hope Dr</t>
  </si>
  <si>
    <t>Rancho Mirage</t>
  </si>
  <si>
    <t>92270-3221</t>
  </si>
  <si>
    <t>(760) 773-1289</t>
  </si>
  <si>
    <t>JKHN</t>
  </si>
  <si>
    <t>Adventist Health White Memorial Medical Center</t>
  </si>
  <si>
    <t>1720 E Cesar E Chavez Ave</t>
  </si>
  <si>
    <t>90033-2414</t>
  </si>
  <si>
    <t>X883</t>
  </si>
  <si>
    <t>Dickinson Co Health Care Systems</t>
  </si>
  <si>
    <t>1721 S Stephenson Ave</t>
  </si>
  <si>
    <t>Iron Mountain</t>
  </si>
  <si>
    <t>(906) 774-1313</t>
  </si>
  <si>
    <t>RLJX</t>
  </si>
  <si>
    <t>University of Mississippi Medical Center</t>
  </si>
  <si>
    <t>2500 North State Street</t>
  </si>
  <si>
    <t>(601) 984-4100</t>
  </si>
  <si>
    <t>HAIS</t>
  </si>
  <si>
    <t>Scrip Solutions</t>
  </si>
  <si>
    <t>5 N Regent St Ste 506n</t>
  </si>
  <si>
    <t>(800) 552-3462</t>
  </si>
  <si>
    <t>MIM Corporation</t>
  </si>
  <si>
    <t>S446</t>
  </si>
  <si>
    <t>Arbour Hospital</t>
  </si>
  <si>
    <t>49 Robinhood Ave</t>
  </si>
  <si>
    <t>Jamaica Plain</t>
  </si>
  <si>
    <t>(617) 522-4400</t>
  </si>
  <si>
    <t>EBRT</t>
  </si>
  <si>
    <t>475 South St</t>
  </si>
  <si>
    <t>Po Box 1905</t>
  </si>
  <si>
    <t>(973) 660-3270</t>
  </si>
  <si>
    <t>HAEX</t>
  </si>
  <si>
    <t>Bethany House</t>
  </si>
  <si>
    <t>72 Church Green</t>
  </si>
  <si>
    <t>(508) 679-0001</t>
  </si>
  <si>
    <t>HAEY</t>
  </si>
  <si>
    <t>Cardinal Medeiros Residence</t>
  </si>
  <si>
    <t>375 Elsbree St</t>
  </si>
  <si>
    <t>EBRV</t>
  </si>
  <si>
    <t>Central Care PA</t>
  </si>
  <si>
    <t>2121 Crawford Pl</t>
  </si>
  <si>
    <t>(913) 823-0633</t>
  </si>
  <si>
    <t>Onmark</t>
  </si>
  <si>
    <t>ECBF</t>
  </si>
  <si>
    <t>The Connecticut Hospice Inc</t>
  </si>
  <si>
    <t>100 Double Beach Rd</t>
  </si>
  <si>
    <t>Branford</t>
  </si>
  <si>
    <t>(203) 315-7500</t>
  </si>
  <si>
    <t>ECFW</t>
  </si>
  <si>
    <t>601 Elmwood Ave</t>
  </si>
  <si>
    <t>14642-0001</t>
  </si>
  <si>
    <t>(585) 275-8762</t>
  </si>
  <si>
    <t>ECFX</t>
  </si>
  <si>
    <t>Strong Health System</t>
  </si>
  <si>
    <t>(585) 275-2100</t>
  </si>
  <si>
    <t>R152</t>
  </si>
  <si>
    <t>14642-0002</t>
  </si>
  <si>
    <t>JKIA</t>
  </si>
  <si>
    <t>New West Health Services</t>
  </si>
  <si>
    <t>130 Neill Ave</t>
  </si>
  <si>
    <t>(888) 500-3355</t>
  </si>
  <si>
    <t>HCLD</t>
  </si>
  <si>
    <t>Watauga Medical Center</t>
  </si>
  <si>
    <t>336 Deerfield Rd</t>
  </si>
  <si>
    <t>Boone</t>
  </si>
  <si>
    <t>(828) 265-5016</t>
  </si>
  <si>
    <t>ECNE</t>
  </si>
  <si>
    <t>Great Rivers &amp; St Louis Mental Health</t>
  </si>
  <si>
    <t>1430 Olive St Ste 250</t>
  </si>
  <si>
    <t>(314) 877-1714</t>
  </si>
  <si>
    <t>ECNQ</t>
  </si>
  <si>
    <t>University Care in Maplewood</t>
  </si>
  <si>
    <t>7200 Manchester Rd</t>
  </si>
  <si>
    <t>63143-2403</t>
  </si>
  <si>
    <t>(314) 454-8350</t>
  </si>
  <si>
    <t>ECNR</t>
  </si>
  <si>
    <t>University Care in St Louis Hills</t>
  </si>
  <si>
    <t>6435 Chippewa St</t>
  </si>
  <si>
    <t>63109-2104</t>
  </si>
  <si>
    <t>ECNZ</t>
  </si>
  <si>
    <t>Aspirus St Luke's Pharmacy - Duluth</t>
  </si>
  <si>
    <t>1000 E 1st St</t>
  </si>
  <si>
    <t>55805-2297</t>
  </si>
  <si>
    <t>(218) 733-2460</t>
  </si>
  <si>
    <t>ENCU</t>
  </si>
  <si>
    <t>Woodridge Nursing Home/CVMC</t>
  </si>
  <si>
    <t>142 Woodridge Rd</t>
  </si>
  <si>
    <t>(802) 371-4700</t>
  </si>
  <si>
    <t>ECMF</t>
  </si>
  <si>
    <t>ENH Medical Evanston - Julie Holland MD</t>
  </si>
  <si>
    <t>1000 Central St Ste 765</t>
  </si>
  <si>
    <t>(847) 570-1555</t>
  </si>
  <si>
    <t>ECMH</t>
  </si>
  <si>
    <t>NorthShore Mount Prospect Primary Care</t>
  </si>
  <si>
    <t>1329 N Wolf Rd</t>
  </si>
  <si>
    <t>Mount Prospect</t>
  </si>
  <si>
    <t>60056-1500</t>
  </si>
  <si>
    <t>(847) 803-3040</t>
  </si>
  <si>
    <t>JKFF</t>
  </si>
  <si>
    <t>NCH Healthcare System</t>
  </si>
  <si>
    <t>350 7th St N</t>
  </si>
  <si>
    <t>Naples</t>
  </si>
  <si>
    <t>34102-5754</t>
  </si>
  <si>
    <t>(239) 436-5100</t>
  </si>
  <si>
    <t>JKII</t>
  </si>
  <si>
    <t>St James Hospital - Chicago Heights</t>
  </si>
  <si>
    <t>1423 Chicago Rd</t>
  </si>
  <si>
    <t>Chicago Heights</t>
  </si>
  <si>
    <t>JAIM</t>
  </si>
  <si>
    <t>Zale Lipshy University Hospital</t>
  </si>
  <si>
    <t>5151 Harry Hines Blvd</t>
  </si>
  <si>
    <t>75235-7707</t>
  </si>
  <si>
    <t>(214) 645-8300</t>
  </si>
  <si>
    <t>ECMN</t>
  </si>
  <si>
    <t>NorthShore Glenview Primary Care</t>
  </si>
  <si>
    <t>1435 Waukegan Rd</t>
  </si>
  <si>
    <t>(847) 724-9460</t>
  </si>
  <si>
    <t>ECMO</t>
  </si>
  <si>
    <t>Greenhaw &amp; Putnam - Internal Medicine</t>
  </si>
  <si>
    <t>100 Hospital St Ste 200</t>
  </si>
  <si>
    <t>(662) 720-3000</t>
  </si>
  <si>
    <t>ECMQ</t>
  </si>
  <si>
    <t>NorthShore Urology Blum</t>
  </si>
  <si>
    <t>767 Park Ave Ste B-100</t>
  </si>
  <si>
    <t>(847) 501-3434</t>
  </si>
  <si>
    <t>ECMW</t>
  </si>
  <si>
    <t>Physcian Partners Maternal Fetal</t>
  </si>
  <si>
    <t>1401 Centerville Rd Ste 400</t>
  </si>
  <si>
    <t>(850) 431-3360</t>
  </si>
  <si>
    <t>JFXT</t>
  </si>
  <si>
    <t>1414 Kuhl Ave</t>
  </si>
  <si>
    <t>32806-2008</t>
  </si>
  <si>
    <t>(321) 843-7000</t>
  </si>
  <si>
    <t>ECGL</t>
  </si>
  <si>
    <t>Avon Family Medicine</t>
  </si>
  <si>
    <t>190 Clinton St</t>
  </si>
  <si>
    <t>Avon</t>
  </si>
  <si>
    <t>14414-1414</t>
  </si>
  <si>
    <t>(716) 226-2640</t>
  </si>
  <si>
    <t>University of Rochester - Finance</t>
  </si>
  <si>
    <t>ECGM</t>
  </si>
  <si>
    <t>Brighton OB/GYN</t>
  </si>
  <si>
    <t>1815 S Clinton Ave</t>
  </si>
  <si>
    <t>14618-5720</t>
  </si>
  <si>
    <t>(585) 473-4547</t>
  </si>
  <si>
    <t>ECGN</t>
  </si>
  <si>
    <t>Brighton Family Medicine</t>
  </si>
  <si>
    <t>560 White Spruce Blvd</t>
  </si>
  <si>
    <t>14623-1613</t>
  </si>
  <si>
    <t>ECGO</t>
  </si>
  <si>
    <t>Caledonia Family Medicine</t>
  </si>
  <si>
    <t>3350 Brown Rd</t>
  </si>
  <si>
    <t>Caledonia</t>
  </si>
  <si>
    <t>14423-9534</t>
  </si>
  <si>
    <t>(716) 538-6250</t>
  </si>
  <si>
    <t>ECGP</t>
  </si>
  <si>
    <t>Chili Family Medicine</t>
  </si>
  <si>
    <t>849 Paul Rd Ste 110</t>
  </si>
  <si>
    <t>14624-4474</t>
  </si>
  <si>
    <t>ECGQ</t>
  </si>
  <si>
    <t>Chili OB/GYN</t>
  </si>
  <si>
    <t>849 Paul Rd Ste 200</t>
  </si>
  <si>
    <t>ECGR</t>
  </si>
  <si>
    <t>David &amp; Iuppa OB/GYN</t>
  </si>
  <si>
    <t>2300 Ridge Rd W</t>
  </si>
  <si>
    <t>14626-2800</t>
  </si>
  <si>
    <t>(585) 227-6090</t>
  </si>
  <si>
    <t>ECGS</t>
  </si>
  <si>
    <t>Downtown Health Care Center</t>
  </si>
  <si>
    <t>228 E Main St</t>
  </si>
  <si>
    <t>14604-2121</t>
  </si>
  <si>
    <t>(585) 423-1880</t>
  </si>
  <si>
    <t>ECGW</t>
  </si>
  <si>
    <t>Family Medicine Center</t>
  </si>
  <si>
    <t>885 South Ave</t>
  </si>
  <si>
    <t>(585) 442-7470</t>
  </si>
  <si>
    <t>ECGX</t>
  </si>
  <si>
    <t>Family Medicine of Webster</t>
  </si>
  <si>
    <t>725 Ridge Rd</t>
  </si>
  <si>
    <t>14580-2450</t>
  </si>
  <si>
    <t>(716) 787-0720</t>
  </si>
  <si>
    <t>ECGY</t>
  </si>
  <si>
    <t>Gananda Family Medicine</t>
  </si>
  <si>
    <t>1200 Fairway Seven</t>
  </si>
  <si>
    <t>Macedon</t>
  </si>
  <si>
    <t>(315) 986-7700</t>
  </si>
  <si>
    <t>ECGZ</t>
  </si>
  <si>
    <t>Geneseo Internal Medicine</t>
  </si>
  <si>
    <t>131 Main St</t>
  </si>
  <si>
    <t>Geneseo</t>
  </si>
  <si>
    <t>14454-1242</t>
  </si>
  <si>
    <t>ECHA</t>
  </si>
  <si>
    <t>Highland OB/GYN at Southview Commons</t>
  </si>
  <si>
    <t>200 White Spruce Blvd</t>
  </si>
  <si>
    <t>14623-1605</t>
  </si>
  <si>
    <t>(585) 424-5420</t>
  </si>
  <si>
    <t>ECHB</t>
  </si>
  <si>
    <t>Highland Park Internal Medicine</t>
  </si>
  <si>
    <t>990 South Ave</t>
  </si>
  <si>
    <t>14620-2763</t>
  </si>
  <si>
    <t>ECKW</t>
  </si>
  <si>
    <t>Internal Medicine Group Practice</t>
  </si>
  <si>
    <t>ECKX</t>
  </si>
  <si>
    <t>North Rochester Family Medicine</t>
  </si>
  <si>
    <t>240 E Ridge Rd</t>
  </si>
  <si>
    <t>14621-1310</t>
  </si>
  <si>
    <t>(585) 266-2840</t>
  </si>
  <si>
    <t>ECKY</t>
  </si>
  <si>
    <t>Parma Health Center</t>
  </si>
  <si>
    <t>1024 Hilton Parma Corners Rd</t>
  </si>
  <si>
    <t>Hilton</t>
  </si>
  <si>
    <t>14468-9328</t>
  </si>
  <si>
    <t>(716) 392-4114</t>
  </si>
  <si>
    <t>ECKZ</t>
  </si>
  <si>
    <t>Penfield Internal Medicine</t>
  </si>
  <si>
    <t>2060 Fairport Nine Mile Point Rd</t>
  </si>
  <si>
    <t>Penfield</t>
  </si>
  <si>
    <t>14526-1749</t>
  </si>
  <si>
    <t>ECLA</t>
  </si>
  <si>
    <t>Rush Family Medicine</t>
  </si>
  <si>
    <t>15 High Tech Dr</t>
  </si>
  <si>
    <t>Rush</t>
  </si>
  <si>
    <t>14543-9746</t>
  </si>
  <si>
    <t>(716) 334-0130</t>
  </si>
  <si>
    <t>ECLB</t>
  </si>
  <si>
    <t>Stuart H Wax OB/GYN</t>
  </si>
  <si>
    <t>520 White Spruce Blvd</t>
  </si>
  <si>
    <t>ECLC</t>
  </si>
  <si>
    <t>West Ridge Family Medicine</t>
  </si>
  <si>
    <t>(585) 723-3330</t>
  </si>
  <si>
    <t>ECLD</t>
  </si>
  <si>
    <t>Highland Hospital Primary Care Network</t>
  </si>
  <si>
    <t>ECIA</t>
  </si>
  <si>
    <t>Binghamton General Hospital</t>
  </si>
  <si>
    <t>13903-1617</t>
  </si>
  <si>
    <t>ECIE</t>
  </si>
  <si>
    <t>Akron Gen Orthopedics/Thompson Orthopaedics</t>
  </si>
  <si>
    <t>4125 Medina Rd Ste 200 C</t>
  </si>
  <si>
    <t>(330) 344-1270</t>
  </si>
  <si>
    <t>ECIU</t>
  </si>
  <si>
    <t>PENN Radiology Services - King of Prussia</t>
  </si>
  <si>
    <t>491 Allendale Rd Ste 104</t>
  </si>
  <si>
    <t>King Of Prussia</t>
  </si>
  <si>
    <t>(610) 265-6510</t>
  </si>
  <si>
    <t>Clinical Care Associates</t>
  </si>
  <si>
    <t>ECIY</t>
  </si>
  <si>
    <t>PENN Radiology Services - Radnor</t>
  </si>
  <si>
    <t>250 King Of Prussia Rd</t>
  </si>
  <si>
    <t>Radnor</t>
  </si>
  <si>
    <t>(610) 902-1800</t>
  </si>
  <si>
    <t>ECJD</t>
  </si>
  <si>
    <t>Dartmouth Hitchcock Clinic Bedford</t>
  </si>
  <si>
    <t>25 S River Rd</t>
  </si>
  <si>
    <t>(603) 695-2500</t>
  </si>
  <si>
    <t>ECJE</t>
  </si>
  <si>
    <t>DHC Mascoma Pediatrics - Canaan</t>
  </si>
  <si>
    <t>1192 Us Route 4</t>
  </si>
  <si>
    <t>Canaan</t>
  </si>
  <si>
    <t>(603) 523-4382</t>
  </si>
  <si>
    <t>ECJF</t>
  </si>
  <si>
    <t>Valley Regional Orthopaedics</t>
  </si>
  <si>
    <t>241 Elm St</t>
  </si>
  <si>
    <t>(603) 542-7666</t>
  </si>
  <si>
    <t>ECJG</t>
  </si>
  <si>
    <t>DHC Colebrook</t>
  </si>
  <si>
    <t>Corliss Ln</t>
  </si>
  <si>
    <t>Colebrook</t>
  </si>
  <si>
    <t>(603) 237-8336</t>
  </si>
  <si>
    <t>ECJH</t>
  </si>
  <si>
    <t>Dartmouth Hitchcock Clinic Concord</t>
  </si>
  <si>
    <t>253 Pleasant St</t>
  </si>
  <si>
    <t>(603) 226-2200</t>
  </si>
  <si>
    <t>ECJI</t>
  </si>
  <si>
    <t>DHC Exeter Family Medicine</t>
  </si>
  <si>
    <t>9 Buzell Ave Ste 1</t>
  </si>
  <si>
    <t>Saltonstall Medical Building</t>
  </si>
  <si>
    <t>ECJJ</t>
  </si>
  <si>
    <t>DHC Fitzwilliam</t>
  </si>
  <si>
    <t>Rt 12</t>
  </si>
  <si>
    <t>Fitzwilliam</t>
  </si>
  <si>
    <t>(603) 585-6581</t>
  </si>
  <si>
    <t>ECJO</t>
  </si>
  <si>
    <t>Outreach Services - Franklin</t>
  </si>
  <si>
    <t>15 Aiken Ave</t>
  </si>
  <si>
    <t>ECJQ</t>
  </si>
  <si>
    <t>Outreach Services - Gorham</t>
  </si>
  <si>
    <t>2 Broadway Ave</t>
  </si>
  <si>
    <t>Gorham</t>
  </si>
  <si>
    <t>ECJR</t>
  </si>
  <si>
    <t>DHC Hudson Family Practice Center</t>
  </si>
  <si>
    <t>208 Robinson Rd</t>
  </si>
  <si>
    <t>(603) 577-3410</t>
  </si>
  <si>
    <t>ECJS</t>
  </si>
  <si>
    <t>DHC Jaffrey</t>
  </si>
  <si>
    <t>82 Peterborough St</t>
  </si>
  <si>
    <t>Manadnock Plaza</t>
  </si>
  <si>
    <t>Jaffrey</t>
  </si>
  <si>
    <t>(603) 532-4200</t>
  </si>
  <si>
    <t>ECJT</t>
  </si>
  <si>
    <t>DHC Keene</t>
  </si>
  <si>
    <t>590 Court St</t>
  </si>
  <si>
    <t>(603) 357-3411</t>
  </si>
  <si>
    <t>ECJU</t>
  </si>
  <si>
    <t>Outreach Services - Laconia</t>
  </si>
  <si>
    <t>ECJV</t>
  </si>
  <si>
    <t>DHC Lancaster</t>
  </si>
  <si>
    <t>173a Middle St</t>
  </si>
  <si>
    <t>(603) 788-4852</t>
  </si>
  <si>
    <t>ECJX</t>
  </si>
  <si>
    <t>DHC Littleton</t>
  </si>
  <si>
    <t>160 Cottage St</t>
  </si>
  <si>
    <t>(603) 444-0232</t>
  </si>
  <si>
    <t>ECJZ</t>
  </si>
  <si>
    <t>Dartmouth Hitchcock Clinic Manchester</t>
  </si>
  <si>
    <t>ECJY</t>
  </si>
  <si>
    <t>DHC Merrimack Family Practice Center</t>
  </si>
  <si>
    <t>294 Daniel Webster Hwy</t>
  </si>
  <si>
    <t>Merrimack</t>
  </si>
  <si>
    <t>(603) 424-4713</t>
  </si>
  <si>
    <t>ECKA</t>
  </si>
  <si>
    <t>DHC Milford Family Practice</t>
  </si>
  <si>
    <t>14 Armory Rd Rr3</t>
  </si>
  <si>
    <t>(603) 673-2515</t>
  </si>
  <si>
    <t>ECHE</t>
  </si>
  <si>
    <t>DHC New London</t>
  </si>
  <si>
    <t>249 County Rd Ste 205</t>
  </si>
  <si>
    <t>(603) 526-6950</t>
  </si>
  <si>
    <t>ECHF</t>
  </si>
  <si>
    <t>Outreach Services - Peterborough</t>
  </si>
  <si>
    <t>452 Old St Rd</t>
  </si>
  <si>
    <t>Peterborough</t>
  </si>
  <si>
    <t>ECHG</t>
  </si>
  <si>
    <t>Dartmouth Hitchcock Clinic Plymouth</t>
  </si>
  <si>
    <t>71 Highland St</t>
  </si>
  <si>
    <t>(603) 536-3700</t>
  </si>
  <si>
    <t>ECHH</t>
  </si>
  <si>
    <t>Dartmouth Hitchcock Clinic Walpole</t>
  </si>
  <si>
    <t>11 Westminster St</t>
  </si>
  <si>
    <t>Walpole</t>
  </si>
  <si>
    <t>(603) 756-3960</t>
  </si>
  <si>
    <t>ECHI</t>
  </si>
  <si>
    <t>Outreach Services - Warren</t>
  </si>
  <si>
    <t>Mt Mooselaukee Ctr</t>
  </si>
  <si>
    <t>Warren</t>
  </si>
  <si>
    <t>ECHJ</t>
  </si>
  <si>
    <t>Dartmouth Hitchcock Clinic Winchester</t>
  </si>
  <si>
    <t>20 Warwick Rd</t>
  </si>
  <si>
    <t>(603) 239-6351</t>
  </si>
  <si>
    <t>ECHK</t>
  </si>
  <si>
    <t>Outreach Services - Woodsville</t>
  </si>
  <si>
    <t>Swiftwater Rd</t>
  </si>
  <si>
    <t>ECHL</t>
  </si>
  <si>
    <t>DHC Brattleboro</t>
  </si>
  <si>
    <t>11 Belmont Ave Ste 103</t>
  </si>
  <si>
    <t>(802) 254-8310</t>
  </si>
  <si>
    <t>ECHM</t>
  </si>
  <si>
    <t>DHC Corner Medical - Lyndonville</t>
  </si>
  <si>
    <t>S Wheelock Rd</t>
  </si>
  <si>
    <t>Lyndonville</t>
  </si>
  <si>
    <t>(802) 626-9246</t>
  </si>
  <si>
    <t>ECHN</t>
  </si>
  <si>
    <t>Outreach Services - Newport</t>
  </si>
  <si>
    <t>Prouty Dr</t>
  </si>
  <si>
    <t>ECJB</t>
  </si>
  <si>
    <t>DHC North Brattleboro</t>
  </si>
  <si>
    <t>191 Clark Ave Ste 1</t>
  </si>
  <si>
    <t>(802) 257-5000</t>
  </si>
  <si>
    <t>ECJK</t>
  </si>
  <si>
    <t>DHC Randolph</t>
  </si>
  <si>
    <t>3 Maple St</t>
  </si>
  <si>
    <t>(802) 728-2455</t>
  </si>
  <si>
    <t>ECJL</t>
  </si>
  <si>
    <t>Outreach Services - Randolph</t>
  </si>
  <si>
    <t>Maple St</t>
  </si>
  <si>
    <t>(802) 728-2454</t>
  </si>
  <si>
    <t>ECJM</t>
  </si>
  <si>
    <t>Outreach Services - Springfield</t>
  </si>
  <si>
    <t>ECJN</t>
  </si>
  <si>
    <t>DHC Saint Johnsbury</t>
  </si>
  <si>
    <t>600 St Johnsbury Rd</t>
  </si>
  <si>
    <t>(802) 748-9500</t>
  </si>
  <si>
    <t>ECKQ</t>
  </si>
  <si>
    <t>Outreach Services - Saint Johnsbury</t>
  </si>
  <si>
    <t>Hospital Dr</t>
  </si>
  <si>
    <t>Saint Johnsbury</t>
  </si>
  <si>
    <t>ECKR</t>
  </si>
  <si>
    <t>Outreach Services - Townshend</t>
  </si>
  <si>
    <t>Po Box 216</t>
  </si>
  <si>
    <t>ECKS</t>
  </si>
  <si>
    <t>Dartmouth Hitchcock Clinic Windsor</t>
  </si>
  <si>
    <t>(802) 674-2193</t>
  </si>
  <si>
    <t>ECKT</t>
  </si>
  <si>
    <t>Outreach Services - Windsor</t>
  </si>
  <si>
    <t>County Rd</t>
  </si>
  <si>
    <t>ECKU</t>
  </si>
  <si>
    <t>Outreach Services - Woodstock</t>
  </si>
  <si>
    <t>32 Pleasant St</t>
  </si>
  <si>
    <t>Woodstock</t>
  </si>
  <si>
    <t>ECRZ</t>
  </si>
  <si>
    <t>Sanford Health WoodsEdge Senior Living</t>
  </si>
  <si>
    <t>1000 Anne St Nw</t>
  </si>
  <si>
    <t>56601-5109</t>
  </si>
  <si>
    <t>(218) 751-0220</t>
  </si>
  <si>
    <t>ECKF</t>
  </si>
  <si>
    <t>Payne Whitney Psychiatric Clinic</t>
  </si>
  <si>
    <t>Q182</t>
  </si>
  <si>
    <t>Gunnison Valley Hospital</t>
  </si>
  <si>
    <t>711 N Taylor St</t>
  </si>
  <si>
    <t>Gunnison</t>
  </si>
  <si>
    <t>81230-2296</t>
  </si>
  <si>
    <t>(970) 641-1456</t>
  </si>
  <si>
    <t>ECKJ</t>
  </si>
  <si>
    <t>35 Medical Pkwy</t>
  </si>
  <si>
    <t>ECKC</t>
  </si>
  <si>
    <t>81 Highland Ave</t>
  </si>
  <si>
    <t>(978) 741-1215</t>
  </si>
  <si>
    <t>S346</t>
  </si>
  <si>
    <t>The North Shore Medical Center - Salem Campus</t>
  </si>
  <si>
    <t>S348</t>
  </si>
  <si>
    <t>Spaulding Hosp Continuing Medical Care North Shore</t>
  </si>
  <si>
    <t>35 Congress St Ste 211</t>
  </si>
  <si>
    <t>(978) 745-9000</t>
  </si>
  <si>
    <t>Q905</t>
  </si>
  <si>
    <t>Canonsburg General Hospital</t>
  </si>
  <si>
    <t>100 Medical Boulevard</t>
  </si>
  <si>
    <t>Canonsburg</t>
  </si>
  <si>
    <t>(724) 745-6100</t>
  </si>
  <si>
    <t>R264</t>
  </si>
  <si>
    <t>Gracie Square Hospital</t>
  </si>
  <si>
    <t>420 E 76th St</t>
  </si>
  <si>
    <t>10021-3396</t>
  </si>
  <si>
    <t>(212) 988-4400</t>
  </si>
  <si>
    <t>R274</t>
  </si>
  <si>
    <t>Maimonides Midwood Community Hospital</t>
  </si>
  <si>
    <t>2525 Kings Hwy</t>
  </si>
  <si>
    <t>11229-1705</t>
  </si>
  <si>
    <t>(718) 692-5300</t>
  </si>
  <si>
    <t>R287</t>
  </si>
  <si>
    <t>NewYork-Presbyterian - Queens</t>
  </si>
  <si>
    <t>56-45 Main St</t>
  </si>
  <si>
    <t>Flushing</t>
  </si>
  <si>
    <t>11355-5045</t>
  </si>
  <si>
    <t>(718) 670-2000</t>
  </si>
  <si>
    <t>ECKD</t>
  </si>
  <si>
    <t>North Shore Childrens Hospital</t>
  </si>
  <si>
    <t>57 Highland Ave</t>
  </si>
  <si>
    <t>(978) 745-2100</t>
  </si>
  <si>
    <t>ECKE</t>
  </si>
  <si>
    <t>NYP-Westchester Behavioral Health Campus</t>
  </si>
  <si>
    <t>21 Bloomingdale Rd</t>
  </si>
  <si>
    <t>White Plains</t>
  </si>
  <si>
    <t>(914) 682-9100</t>
  </si>
  <si>
    <t>R233</t>
  </si>
  <si>
    <t>NewYork-Presbyterian - Lower Manhattan Hospital</t>
  </si>
  <si>
    <t>170 William St</t>
  </si>
  <si>
    <t>(212) 312-5000</t>
  </si>
  <si>
    <t>S279</t>
  </si>
  <si>
    <t>Hospital for Special Care</t>
  </si>
  <si>
    <t>2150 Corbin Ave</t>
  </si>
  <si>
    <t>(860) 223-2761</t>
  </si>
  <si>
    <t>S874</t>
  </si>
  <si>
    <t>Electra Memorial Hospital</t>
  </si>
  <si>
    <t>1207 S Bailey St</t>
  </si>
  <si>
    <t>Electra</t>
  </si>
  <si>
    <t>76360-3221</t>
  </si>
  <si>
    <t>(940) 495-3981</t>
  </si>
  <si>
    <t>ECKG</t>
  </si>
  <si>
    <t>Med-Op Inc</t>
  </si>
  <si>
    <t>205 E 7th St Ste 133</t>
  </si>
  <si>
    <t>(785) 621-4510</t>
  </si>
  <si>
    <t>Network</t>
  </si>
  <si>
    <t>ECKO</t>
  </si>
  <si>
    <t>PathLab</t>
  </si>
  <si>
    <t>(712) 396-4422</t>
  </si>
  <si>
    <t>Laboratory - Acute</t>
  </si>
  <si>
    <t>ECKP</t>
  </si>
  <si>
    <t>WTBY - VNA Health at Home Inc</t>
  </si>
  <si>
    <t>365 Main St Ste 3a</t>
  </si>
  <si>
    <t>Watertown</t>
  </si>
  <si>
    <t>(860) 274-7531</t>
  </si>
  <si>
    <t>V792</t>
  </si>
  <si>
    <t>Goodland Regional Medical Center</t>
  </si>
  <si>
    <t>220 W 2nd St</t>
  </si>
  <si>
    <t>Goodland</t>
  </si>
  <si>
    <t>67735-1602</t>
  </si>
  <si>
    <t>(785) 890-3625</t>
  </si>
  <si>
    <t>V729</t>
  </si>
  <si>
    <t>Norton County Hospital</t>
  </si>
  <si>
    <t>102 E Holme St</t>
  </si>
  <si>
    <t>Norton</t>
  </si>
  <si>
    <t>67654-1406</t>
  </si>
  <si>
    <t>(785) 877-3351</t>
  </si>
  <si>
    <t>V776</t>
  </si>
  <si>
    <t>Sheridan County Health Complex</t>
  </si>
  <si>
    <t>826 18th St</t>
  </si>
  <si>
    <t>Hoxie</t>
  </si>
  <si>
    <t>(785) 675-3281</t>
  </si>
  <si>
    <t>V762</t>
  </si>
  <si>
    <t>Rush County Memorial Hospital</t>
  </si>
  <si>
    <t>801 Locust St</t>
  </si>
  <si>
    <t>67548-9673</t>
  </si>
  <si>
    <t>(785) 222-2545</t>
  </si>
  <si>
    <t>V733</t>
  </si>
  <si>
    <t>Ness County Hospital</t>
  </si>
  <si>
    <t>312 E Custer St</t>
  </si>
  <si>
    <t>Ness City</t>
  </si>
  <si>
    <t>67560-1654</t>
  </si>
  <si>
    <t>(785) 798-2291</t>
  </si>
  <si>
    <t>V727</t>
  </si>
  <si>
    <t>Logan County Hospital</t>
  </si>
  <si>
    <t>211 Cherry Ave</t>
  </si>
  <si>
    <t>Oakley</t>
  </si>
  <si>
    <t>67748-1201</t>
  </si>
  <si>
    <t>(785) 672-3211</t>
  </si>
  <si>
    <t>V711</t>
  </si>
  <si>
    <t>Rooks County Health Center</t>
  </si>
  <si>
    <t>1210 N Washington St</t>
  </si>
  <si>
    <t>Plainville</t>
  </si>
  <si>
    <t>67663-1632</t>
  </si>
  <si>
    <t>(785) 434-4553</t>
  </si>
  <si>
    <t>V709</t>
  </si>
  <si>
    <t>Gove County Medical Center</t>
  </si>
  <si>
    <t>520 W 5th St</t>
  </si>
  <si>
    <t>Quinter</t>
  </si>
  <si>
    <t>67752-9705</t>
  </si>
  <si>
    <t>(785) 754-3341</t>
  </si>
  <si>
    <t>V781</t>
  </si>
  <si>
    <t>Graham County Hospital</t>
  </si>
  <si>
    <t>304 W Prout St</t>
  </si>
  <si>
    <t>Hill City</t>
  </si>
  <si>
    <t>67642-1435</t>
  </si>
  <si>
    <t>(785) 421-2121</t>
  </si>
  <si>
    <t>P284</t>
  </si>
  <si>
    <t>Russell Medical Center</t>
  </si>
  <si>
    <t>3316 Us 280</t>
  </si>
  <si>
    <t>Alexander City</t>
  </si>
  <si>
    <t>(256) 329-7100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</si>
</sst>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EB05-7A85-4C33-BD16-206484242900}">
  <dimension ref="A1:AG2124"/>
  <sheetViews>
    <sheetView tabSelected="1" workbookViewId="0">
      <selection sqref="A1:AG2124"/>
    </sheetView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4</v>
      </c>
      <c r="B2" t="s">
        <v>33</v>
      </c>
      <c r="C2" t="str">
        <f>"1100004521224"</f>
        <v>1100004521224</v>
      </c>
      <c r="D2" t="str">
        <f>"410020700"</f>
        <v>410020700</v>
      </c>
      <c r="E2" s="1">
        <v>30306</v>
      </c>
      <c r="F2" t="s">
        <v>34</v>
      </c>
      <c r="G2" t="e">
        <f>INDEX(#REF!,MATCH(P2,#REF!,0),1)</f>
        <v>#REF!</v>
      </c>
      <c r="H2" t="s">
        <v>35</v>
      </c>
      <c r="J2" t="s">
        <v>36</v>
      </c>
      <c r="K2" t="s">
        <v>37</v>
      </c>
      <c r="L2" t="s">
        <v>38</v>
      </c>
      <c r="M2" t="s">
        <v>39</v>
      </c>
      <c r="N2">
        <v>770471</v>
      </c>
      <c r="O2" t="s">
        <v>40</v>
      </c>
      <c r="P2">
        <v>43195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Y2" t="s">
        <v>46</v>
      </c>
      <c r="Z2" s="1">
        <v>41913</v>
      </c>
      <c r="AE2" t="s">
        <v>47</v>
      </c>
      <c r="AG2" t="s">
        <v>48</v>
      </c>
    </row>
    <row r="3" spans="1:33" x14ac:dyDescent="0.3">
      <c r="A3">
        <v>6</v>
      </c>
      <c r="B3" t="s">
        <v>49</v>
      </c>
      <c r="C3" t="str">
        <f>"1100008155005"</f>
        <v>1100008155005</v>
      </c>
      <c r="D3" t="str">
        <f>"17PFWDLF5"</f>
        <v>17PFWDLF5</v>
      </c>
      <c r="E3" s="1">
        <v>30861</v>
      </c>
      <c r="F3" t="s">
        <v>50</v>
      </c>
      <c r="G3" t="e">
        <f>INDEX(#REF!,MATCH(P3,#REF!,0),1)</f>
        <v>#REF!</v>
      </c>
      <c r="H3" t="s">
        <v>51</v>
      </c>
      <c r="J3" t="s">
        <v>52</v>
      </c>
      <c r="K3" t="s">
        <v>53</v>
      </c>
      <c r="L3" t="str">
        <f>"03766-2694"</f>
        <v>03766-2694</v>
      </c>
      <c r="M3" t="s">
        <v>54</v>
      </c>
      <c r="N3">
        <v>155</v>
      </c>
      <c r="O3" t="s">
        <v>55</v>
      </c>
      <c r="P3">
        <v>155</v>
      </c>
      <c r="Q3" t="s">
        <v>55</v>
      </c>
      <c r="R3" t="s">
        <v>56</v>
      </c>
      <c r="S3" t="s">
        <v>57</v>
      </c>
      <c r="T3" t="s">
        <v>44</v>
      </c>
      <c r="U3" t="s">
        <v>45</v>
      </c>
      <c r="AA3" t="s">
        <v>58</v>
      </c>
      <c r="AD3" t="s">
        <v>59</v>
      </c>
      <c r="AE3" t="s">
        <v>60</v>
      </c>
    </row>
    <row r="4" spans="1:33" x14ac:dyDescent="0.3">
      <c r="A4">
        <v>8</v>
      </c>
      <c r="B4" t="s">
        <v>61</v>
      </c>
      <c r="C4" t="str">
        <f>"1100005129245"</f>
        <v>1100005129245</v>
      </c>
      <c r="D4" t="str">
        <f>"232220B00"</f>
        <v>232220B00</v>
      </c>
      <c r="E4" s="1">
        <v>42583</v>
      </c>
      <c r="F4" t="s">
        <v>62</v>
      </c>
      <c r="G4" t="e">
        <f>INDEX(#REF!,MATCH(P4,#REF!,0),1)</f>
        <v>#REF!</v>
      </c>
      <c r="H4" t="s">
        <v>63</v>
      </c>
      <c r="J4" t="s">
        <v>64</v>
      </c>
      <c r="K4" t="s">
        <v>65</v>
      </c>
      <c r="L4" t="s">
        <v>66</v>
      </c>
      <c r="M4" t="s">
        <v>67</v>
      </c>
      <c r="N4">
        <v>2413846</v>
      </c>
      <c r="O4" t="s">
        <v>68</v>
      </c>
      <c r="P4">
        <v>2413846</v>
      </c>
      <c r="Q4" t="s">
        <v>68</v>
      </c>
      <c r="R4" t="s">
        <v>69</v>
      </c>
      <c r="S4" t="s">
        <v>70</v>
      </c>
      <c r="T4" t="s">
        <v>44</v>
      </c>
      <c r="U4" t="s">
        <v>45</v>
      </c>
      <c r="AA4" t="s">
        <v>71</v>
      </c>
      <c r="AE4" t="s">
        <v>72</v>
      </c>
      <c r="AG4" t="s">
        <v>48</v>
      </c>
    </row>
    <row r="5" spans="1:33" x14ac:dyDescent="0.3">
      <c r="A5">
        <v>9</v>
      </c>
      <c r="B5" t="s">
        <v>73</v>
      </c>
      <c r="C5" t="str">
        <f>"1100093689119"</f>
        <v>1100093689119</v>
      </c>
      <c r="D5" t="str">
        <f>"6C2G0LL00"</f>
        <v>6C2G0LL00</v>
      </c>
      <c r="E5" s="1">
        <v>28417</v>
      </c>
      <c r="F5" t="s">
        <v>74</v>
      </c>
      <c r="G5" t="e">
        <f>INDEX(#REF!,MATCH(P5,#REF!,0),1)</f>
        <v>#REF!</v>
      </c>
      <c r="H5" t="s">
        <v>75</v>
      </c>
      <c r="J5" t="s">
        <v>76</v>
      </c>
      <c r="K5" t="s">
        <v>77</v>
      </c>
      <c r="L5">
        <v>23464</v>
      </c>
      <c r="M5" t="s">
        <v>78</v>
      </c>
      <c r="N5">
        <v>9</v>
      </c>
      <c r="O5" t="s">
        <v>74</v>
      </c>
      <c r="P5">
        <v>9</v>
      </c>
      <c r="Q5" t="s">
        <v>74</v>
      </c>
      <c r="R5" t="s">
        <v>79</v>
      </c>
      <c r="S5" t="s">
        <v>80</v>
      </c>
      <c r="T5" t="s">
        <v>44</v>
      </c>
      <c r="U5" t="s">
        <v>81</v>
      </c>
      <c r="AA5" t="s">
        <v>82</v>
      </c>
      <c r="AE5" t="s">
        <v>83</v>
      </c>
      <c r="AG5" t="s">
        <v>48</v>
      </c>
    </row>
    <row r="6" spans="1:33" x14ac:dyDescent="0.3">
      <c r="A6">
        <v>11</v>
      </c>
      <c r="B6" t="s">
        <v>84</v>
      </c>
      <c r="C6" t="str">
        <f>""</f>
        <v/>
      </c>
      <c r="D6" t="str">
        <f>"933660RF7"</f>
        <v>933660RF7</v>
      </c>
      <c r="E6" s="1">
        <v>30239</v>
      </c>
      <c r="F6" t="s">
        <v>85</v>
      </c>
      <c r="G6" t="e">
        <f>INDEX(#REF!,MATCH(P6,#REF!,0),1)</f>
        <v>#REF!</v>
      </c>
      <c r="H6" t="s">
        <v>86</v>
      </c>
      <c r="J6" t="s">
        <v>87</v>
      </c>
      <c r="K6" t="s">
        <v>88</v>
      </c>
      <c r="L6">
        <v>94609</v>
      </c>
      <c r="M6" t="s">
        <v>89</v>
      </c>
      <c r="N6">
        <v>251</v>
      </c>
      <c r="O6" t="s">
        <v>90</v>
      </c>
      <c r="P6">
        <v>251</v>
      </c>
      <c r="Q6" t="s">
        <v>90</v>
      </c>
      <c r="R6" t="s">
        <v>91</v>
      </c>
      <c r="S6" t="s">
        <v>92</v>
      </c>
      <c r="T6" t="s">
        <v>44</v>
      </c>
      <c r="U6" t="s">
        <v>45</v>
      </c>
      <c r="AA6" t="s">
        <v>93</v>
      </c>
      <c r="AC6" t="s">
        <v>90</v>
      </c>
      <c r="AD6" t="s">
        <v>94</v>
      </c>
      <c r="AE6" t="s">
        <v>72</v>
      </c>
      <c r="AG6" t="s">
        <v>48</v>
      </c>
    </row>
    <row r="7" spans="1:33" x14ac:dyDescent="0.3">
      <c r="A7">
        <v>12</v>
      </c>
      <c r="B7" t="s">
        <v>95</v>
      </c>
      <c r="C7" t="str">
        <f>"1100006201483"</f>
        <v>1100006201483</v>
      </c>
      <c r="D7" t="str">
        <f>"326NB1A00"</f>
        <v>326NB1A00</v>
      </c>
      <c r="E7" s="1">
        <v>30558</v>
      </c>
      <c r="F7" t="s">
        <v>96</v>
      </c>
      <c r="G7" t="e">
        <f>INDEX(#REF!,MATCH(P7,#REF!,0),1)</f>
        <v>#REF!</v>
      </c>
      <c r="H7" t="s">
        <v>97</v>
      </c>
      <c r="J7" t="s">
        <v>98</v>
      </c>
      <c r="K7" t="s">
        <v>99</v>
      </c>
      <c r="L7">
        <v>31719</v>
      </c>
      <c r="M7" t="s">
        <v>100</v>
      </c>
      <c r="N7">
        <v>58293</v>
      </c>
      <c r="O7" t="s">
        <v>101</v>
      </c>
      <c r="P7">
        <v>58293</v>
      </c>
      <c r="Q7" t="s">
        <v>101</v>
      </c>
      <c r="R7" t="s">
        <v>102</v>
      </c>
      <c r="S7" t="s">
        <v>103</v>
      </c>
      <c r="T7" t="s">
        <v>44</v>
      </c>
      <c r="U7" t="s">
        <v>45</v>
      </c>
      <c r="Y7" t="s">
        <v>104</v>
      </c>
      <c r="Z7" s="1">
        <v>45352</v>
      </c>
      <c r="AA7" t="s">
        <v>93</v>
      </c>
      <c r="AB7" t="s">
        <v>105</v>
      </c>
      <c r="AE7" t="s">
        <v>106</v>
      </c>
    </row>
    <row r="8" spans="1:33" x14ac:dyDescent="0.3">
      <c r="A8">
        <v>15</v>
      </c>
      <c r="B8" t="s">
        <v>107</v>
      </c>
      <c r="C8" t="str">
        <f>""</f>
        <v/>
      </c>
      <c r="D8" t="str">
        <f>"1LCC0LV00"</f>
        <v>1LCC0LV00</v>
      </c>
      <c r="E8" s="1">
        <v>29621</v>
      </c>
      <c r="F8" t="s">
        <v>108</v>
      </c>
      <c r="G8" t="e">
        <f>INDEX(#REF!,MATCH(P8,#REF!,0),1)</f>
        <v>#REF!</v>
      </c>
      <c r="H8" t="s">
        <v>109</v>
      </c>
      <c r="J8" t="s">
        <v>110</v>
      </c>
      <c r="K8" t="s">
        <v>111</v>
      </c>
      <c r="L8" t="s">
        <v>112</v>
      </c>
      <c r="M8" t="s">
        <v>113</v>
      </c>
      <c r="N8">
        <v>28</v>
      </c>
      <c r="O8" t="s">
        <v>114</v>
      </c>
      <c r="P8">
        <v>28</v>
      </c>
      <c r="Q8" t="s">
        <v>114</v>
      </c>
      <c r="R8" t="s">
        <v>115</v>
      </c>
      <c r="S8" t="s">
        <v>116</v>
      </c>
      <c r="T8" t="s">
        <v>117</v>
      </c>
      <c r="U8" t="s">
        <v>118</v>
      </c>
      <c r="AA8" t="s">
        <v>119</v>
      </c>
      <c r="AE8" t="s">
        <v>120</v>
      </c>
    </row>
    <row r="9" spans="1:33" x14ac:dyDescent="0.3">
      <c r="A9">
        <v>25</v>
      </c>
      <c r="B9" t="s">
        <v>121</v>
      </c>
      <c r="C9" t="str">
        <f>""</f>
        <v/>
      </c>
      <c r="D9" t="str">
        <f>""</f>
        <v/>
      </c>
      <c r="E9" s="1">
        <v>45748</v>
      </c>
      <c r="F9" t="s">
        <v>122</v>
      </c>
      <c r="G9" t="e">
        <f>INDEX(#REF!,MATCH(P9,#REF!,0),1)</f>
        <v>#REF!</v>
      </c>
      <c r="H9" t="s">
        <v>123</v>
      </c>
      <c r="J9" t="s">
        <v>124</v>
      </c>
      <c r="K9" t="s">
        <v>125</v>
      </c>
      <c r="L9" t="s">
        <v>126</v>
      </c>
      <c r="M9" t="s">
        <v>127</v>
      </c>
      <c r="N9">
        <v>37497</v>
      </c>
      <c r="O9" t="s">
        <v>128</v>
      </c>
      <c r="P9">
        <v>37497</v>
      </c>
      <c r="Q9" t="s">
        <v>128</v>
      </c>
      <c r="R9" t="s">
        <v>129</v>
      </c>
      <c r="S9" t="s">
        <v>130</v>
      </c>
      <c r="T9" t="s">
        <v>44</v>
      </c>
      <c r="U9" t="s">
        <v>45</v>
      </c>
    </row>
    <row r="10" spans="1:33" x14ac:dyDescent="0.3">
      <c r="A10">
        <v>28</v>
      </c>
      <c r="B10" t="s">
        <v>131</v>
      </c>
      <c r="C10" t="str">
        <f>"1200144320906"</f>
        <v>1200144320906</v>
      </c>
      <c r="D10" t="str">
        <f>"017UR7000"</f>
        <v>017UR7000</v>
      </c>
      <c r="E10" s="1">
        <v>29621</v>
      </c>
      <c r="F10" t="s">
        <v>114</v>
      </c>
      <c r="G10" t="e">
        <f>INDEX(#REF!,MATCH(P10,#REF!,0),1)</f>
        <v>#REF!</v>
      </c>
      <c r="H10" t="s">
        <v>132</v>
      </c>
      <c r="J10" t="s">
        <v>110</v>
      </c>
      <c r="K10" t="s">
        <v>111</v>
      </c>
      <c r="L10" t="s">
        <v>133</v>
      </c>
      <c r="M10" t="s">
        <v>134</v>
      </c>
      <c r="N10">
        <v>28</v>
      </c>
      <c r="O10" t="s">
        <v>114</v>
      </c>
      <c r="P10">
        <v>28</v>
      </c>
      <c r="Q10" t="s">
        <v>114</v>
      </c>
      <c r="R10" t="s">
        <v>115</v>
      </c>
      <c r="S10" t="s">
        <v>116</v>
      </c>
      <c r="T10" t="s">
        <v>44</v>
      </c>
      <c r="U10" t="s">
        <v>81</v>
      </c>
      <c r="AA10" t="s">
        <v>119</v>
      </c>
      <c r="AE10" t="s">
        <v>120</v>
      </c>
    </row>
    <row r="11" spans="1:33" x14ac:dyDescent="0.3">
      <c r="A11">
        <v>29</v>
      </c>
      <c r="B11" t="s">
        <v>135</v>
      </c>
      <c r="C11" t="str">
        <f>"1100003539060"</f>
        <v>1100003539060</v>
      </c>
      <c r="D11" t="str">
        <f>"HKH0NV000"</f>
        <v>HKH0NV000</v>
      </c>
      <c r="E11" s="1">
        <v>28417</v>
      </c>
      <c r="F11" t="s">
        <v>136</v>
      </c>
      <c r="G11" t="e">
        <f>INDEX(#REF!,MATCH(P11,#REF!,0),1)</f>
        <v>#REF!</v>
      </c>
      <c r="H11" t="s">
        <v>137</v>
      </c>
      <c r="J11" t="s">
        <v>138</v>
      </c>
      <c r="K11" t="s">
        <v>139</v>
      </c>
      <c r="L11" t="s">
        <v>140</v>
      </c>
      <c r="M11" t="s">
        <v>141</v>
      </c>
      <c r="N11">
        <v>29</v>
      </c>
      <c r="O11" t="s">
        <v>136</v>
      </c>
      <c r="P11">
        <v>29</v>
      </c>
      <c r="Q11" t="s">
        <v>136</v>
      </c>
      <c r="R11" t="s">
        <v>142</v>
      </c>
      <c r="S11" t="s">
        <v>143</v>
      </c>
      <c r="T11" t="s">
        <v>44</v>
      </c>
      <c r="U11" t="s">
        <v>81</v>
      </c>
      <c r="Y11" t="s">
        <v>104</v>
      </c>
      <c r="Z11" s="1">
        <v>44593</v>
      </c>
      <c r="AA11" t="s">
        <v>93</v>
      </c>
      <c r="AE11" t="s">
        <v>144</v>
      </c>
      <c r="AG11" t="s">
        <v>48</v>
      </c>
    </row>
    <row r="12" spans="1:33" x14ac:dyDescent="0.3">
      <c r="A12">
        <v>30</v>
      </c>
      <c r="B12" t="s">
        <v>145</v>
      </c>
      <c r="C12" t="str">
        <f>"1100004141439"</f>
        <v>1100004141439</v>
      </c>
      <c r="D12" t="str">
        <f>"540140E00"</f>
        <v>540140E00</v>
      </c>
      <c r="E12" s="1">
        <v>28417</v>
      </c>
      <c r="F12" t="s">
        <v>146</v>
      </c>
      <c r="G12" t="e">
        <f>INDEX(#REF!,MATCH(P12,#REF!,0),1)</f>
        <v>#REF!</v>
      </c>
      <c r="H12" t="s">
        <v>147</v>
      </c>
      <c r="J12" t="s">
        <v>148</v>
      </c>
      <c r="K12" t="s">
        <v>149</v>
      </c>
      <c r="L12" t="s">
        <v>150</v>
      </c>
      <c r="M12" t="s">
        <v>151</v>
      </c>
      <c r="N12">
        <v>29</v>
      </c>
      <c r="O12" t="s">
        <v>136</v>
      </c>
      <c r="P12">
        <v>29</v>
      </c>
      <c r="Q12" t="s">
        <v>136</v>
      </c>
      <c r="R12" t="s">
        <v>142</v>
      </c>
      <c r="S12" t="s">
        <v>143</v>
      </c>
      <c r="T12" t="s">
        <v>44</v>
      </c>
      <c r="U12" t="s">
        <v>45</v>
      </c>
      <c r="Y12" t="s">
        <v>104</v>
      </c>
      <c r="Z12" s="1">
        <v>44593</v>
      </c>
      <c r="AA12" t="s">
        <v>93</v>
      </c>
      <c r="AE12" t="s">
        <v>144</v>
      </c>
      <c r="AG12" t="s">
        <v>48</v>
      </c>
    </row>
    <row r="13" spans="1:33" x14ac:dyDescent="0.3">
      <c r="A13">
        <v>34</v>
      </c>
      <c r="B13" t="s">
        <v>152</v>
      </c>
      <c r="C13" t="str">
        <f>"1100005347434"</f>
        <v>1100005347434</v>
      </c>
      <c r="D13" t="str">
        <f>"520320C00"</f>
        <v>520320C00</v>
      </c>
      <c r="E13" s="1">
        <v>28417</v>
      </c>
      <c r="F13" t="s">
        <v>153</v>
      </c>
      <c r="G13" t="e">
        <f>INDEX(#REF!,MATCH(P13,#REF!,0),1)</f>
        <v>#REF!</v>
      </c>
      <c r="H13" t="s">
        <v>154</v>
      </c>
      <c r="J13" t="s">
        <v>155</v>
      </c>
      <c r="K13" t="s">
        <v>139</v>
      </c>
      <c r="L13" t="s">
        <v>156</v>
      </c>
      <c r="M13" t="s">
        <v>157</v>
      </c>
      <c r="N13">
        <v>29</v>
      </c>
      <c r="O13" t="s">
        <v>136</v>
      </c>
      <c r="P13">
        <v>29</v>
      </c>
      <c r="Q13" t="s">
        <v>136</v>
      </c>
      <c r="R13" t="s">
        <v>142</v>
      </c>
      <c r="S13" t="s">
        <v>143</v>
      </c>
      <c r="T13" t="s">
        <v>44</v>
      </c>
      <c r="U13" t="s">
        <v>45</v>
      </c>
      <c r="Y13" t="s">
        <v>104</v>
      </c>
      <c r="Z13" s="1">
        <v>44593</v>
      </c>
      <c r="AA13" t="s">
        <v>93</v>
      </c>
      <c r="AE13" t="s">
        <v>144</v>
      </c>
      <c r="AG13" t="s">
        <v>48</v>
      </c>
    </row>
    <row r="14" spans="1:33" x14ac:dyDescent="0.3">
      <c r="A14">
        <v>35</v>
      </c>
      <c r="B14" t="s">
        <v>158</v>
      </c>
      <c r="C14" t="str">
        <f>"1100002142278"</f>
        <v>1100002142278</v>
      </c>
      <c r="D14" t="str">
        <f>"521830J00"</f>
        <v>521830J00</v>
      </c>
      <c r="E14" s="1">
        <v>28417</v>
      </c>
      <c r="F14" t="s">
        <v>159</v>
      </c>
      <c r="G14" t="e">
        <f>INDEX(#REF!,MATCH(P14,#REF!,0),1)</f>
        <v>#REF!</v>
      </c>
      <c r="H14" t="s">
        <v>160</v>
      </c>
      <c r="J14" t="s">
        <v>161</v>
      </c>
      <c r="K14" t="s">
        <v>139</v>
      </c>
      <c r="L14">
        <v>38261</v>
      </c>
      <c r="M14" t="s">
        <v>162</v>
      </c>
      <c r="N14">
        <v>29</v>
      </c>
      <c r="O14" t="s">
        <v>136</v>
      </c>
      <c r="P14">
        <v>29</v>
      </c>
      <c r="Q14" t="s">
        <v>136</v>
      </c>
      <c r="R14" t="s">
        <v>142</v>
      </c>
      <c r="S14" t="s">
        <v>143</v>
      </c>
      <c r="T14" t="s">
        <v>44</v>
      </c>
      <c r="U14" t="s">
        <v>45</v>
      </c>
      <c r="Y14" t="s">
        <v>104</v>
      </c>
      <c r="Z14" s="1">
        <v>44593</v>
      </c>
      <c r="AA14" t="s">
        <v>93</v>
      </c>
      <c r="AE14" t="s">
        <v>144</v>
      </c>
      <c r="AG14" t="s">
        <v>48</v>
      </c>
    </row>
    <row r="15" spans="1:33" x14ac:dyDescent="0.3">
      <c r="A15">
        <v>36</v>
      </c>
      <c r="B15" t="s">
        <v>163</v>
      </c>
      <c r="C15" t="str">
        <f>""</f>
        <v/>
      </c>
      <c r="D15" t="str">
        <f>"0466W5H00"</f>
        <v>0466W5H00</v>
      </c>
      <c r="E15" s="1">
        <v>28417</v>
      </c>
      <c r="F15" t="s">
        <v>164</v>
      </c>
      <c r="G15" t="e">
        <f>INDEX(#REF!,MATCH(P15,#REF!,0),1)</f>
        <v>#REF!</v>
      </c>
      <c r="H15" t="s">
        <v>165</v>
      </c>
      <c r="J15" t="s">
        <v>166</v>
      </c>
      <c r="K15" t="s">
        <v>167</v>
      </c>
      <c r="L15" t="s">
        <v>168</v>
      </c>
      <c r="M15" t="s">
        <v>169</v>
      </c>
      <c r="N15">
        <v>663</v>
      </c>
      <c r="O15" t="s">
        <v>170</v>
      </c>
      <c r="P15">
        <v>663</v>
      </c>
      <c r="Q15" t="s">
        <v>170</v>
      </c>
      <c r="R15" t="s">
        <v>171</v>
      </c>
      <c r="S15" t="s">
        <v>172</v>
      </c>
      <c r="T15" t="s">
        <v>44</v>
      </c>
      <c r="U15" t="s">
        <v>45</v>
      </c>
      <c r="AE15" t="s">
        <v>72</v>
      </c>
    </row>
    <row r="16" spans="1:33" x14ac:dyDescent="0.3">
      <c r="A16">
        <v>37</v>
      </c>
      <c r="B16" t="s">
        <v>173</v>
      </c>
      <c r="C16" t="str">
        <f>""</f>
        <v/>
      </c>
      <c r="D16" t="str">
        <f>"631520HF6"</f>
        <v>631520HF6</v>
      </c>
      <c r="E16" s="1">
        <v>30356</v>
      </c>
      <c r="F16" t="s">
        <v>174</v>
      </c>
      <c r="G16" t="e">
        <f>INDEX(#REF!,MATCH(P16,#REF!,0),1)</f>
        <v>#REF!</v>
      </c>
      <c r="H16" t="s">
        <v>175</v>
      </c>
      <c r="J16" t="s">
        <v>176</v>
      </c>
      <c r="K16" t="s">
        <v>177</v>
      </c>
      <c r="L16" t="s">
        <v>178</v>
      </c>
      <c r="M16" t="s">
        <v>179</v>
      </c>
      <c r="N16">
        <v>6104582</v>
      </c>
      <c r="O16" t="s">
        <v>180</v>
      </c>
      <c r="P16">
        <v>1351</v>
      </c>
      <c r="Q16" t="s">
        <v>181</v>
      </c>
      <c r="R16" t="s">
        <v>182</v>
      </c>
      <c r="S16" t="s">
        <v>183</v>
      </c>
      <c r="T16" t="s">
        <v>44</v>
      </c>
      <c r="U16" t="s">
        <v>184</v>
      </c>
      <c r="AA16" t="s">
        <v>185</v>
      </c>
      <c r="AE16" t="s">
        <v>186</v>
      </c>
      <c r="AG16" t="s">
        <v>48</v>
      </c>
    </row>
    <row r="17" spans="1:33" x14ac:dyDescent="0.3">
      <c r="A17">
        <v>38</v>
      </c>
      <c r="B17" t="s">
        <v>187</v>
      </c>
      <c r="C17" t="str">
        <f>"1100005882096"</f>
        <v>1100005882096</v>
      </c>
      <c r="D17" t="str">
        <f>"640040EF0"</f>
        <v>640040EF0</v>
      </c>
      <c r="E17" s="1">
        <v>31382</v>
      </c>
      <c r="F17" t="s">
        <v>188</v>
      </c>
      <c r="G17" t="e">
        <f>INDEX(#REF!,MATCH(P17,#REF!,0),1)</f>
        <v>#REF!</v>
      </c>
      <c r="H17" t="s">
        <v>189</v>
      </c>
      <c r="J17" t="s">
        <v>190</v>
      </c>
      <c r="K17" t="s">
        <v>191</v>
      </c>
      <c r="L17" t="s">
        <v>192</v>
      </c>
      <c r="M17" t="s">
        <v>193</v>
      </c>
      <c r="N17">
        <v>871561</v>
      </c>
      <c r="O17" t="s">
        <v>194</v>
      </c>
      <c r="P17">
        <v>6179352</v>
      </c>
      <c r="Q17" t="s">
        <v>195</v>
      </c>
      <c r="R17" t="s">
        <v>196</v>
      </c>
      <c r="S17" t="s">
        <v>197</v>
      </c>
      <c r="T17" t="s">
        <v>44</v>
      </c>
      <c r="U17" t="s">
        <v>45</v>
      </c>
      <c r="AA17" t="s">
        <v>119</v>
      </c>
      <c r="AE17" t="s">
        <v>120</v>
      </c>
      <c r="AG17" t="s">
        <v>48</v>
      </c>
    </row>
    <row r="18" spans="1:33" x14ac:dyDescent="0.3">
      <c r="A18">
        <v>40</v>
      </c>
      <c r="B18" t="s">
        <v>198</v>
      </c>
      <c r="C18" t="str">
        <f>""</f>
        <v/>
      </c>
      <c r="D18" t="str">
        <f>"392220I00"</f>
        <v>392220I00</v>
      </c>
      <c r="E18" s="1">
        <v>42583</v>
      </c>
      <c r="F18" t="s">
        <v>199</v>
      </c>
      <c r="G18" t="e">
        <f>INDEX(#REF!,MATCH(P18,#REF!,0),1)</f>
        <v>#REF!</v>
      </c>
      <c r="H18" t="s">
        <v>200</v>
      </c>
      <c r="J18" t="s">
        <v>201</v>
      </c>
      <c r="K18" t="s">
        <v>167</v>
      </c>
      <c r="L18">
        <v>32401</v>
      </c>
      <c r="M18" t="s">
        <v>202</v>
      </c>
      <c r="N18">
        <v>40</v>
      </c>
      <c r="O18" t="s">
        <v>199</v>
      </c>
      <c r="P18">
        <v>40</v>
      </c>
      <c r="Q18" t="s">
        <v>199</v>
      </c>
      <c r="R18" t="s">
        <v>129</v>
      </c>
      <c r="S18" t="s">
        <v>130</v>
      </c>
      <c r="T18" t="s">
        <v>44</v>
      </c>
      <c r="U18" t="s">
        <v>45</v>
      </c>
      <c r="AC18" t="s">
        <v>203</v>
      </c>
    </row>
    <row r="19" spans="1:33" x14ac:dyDescent="0.3">
      <c r="A19">
        <v>43</v>
      </c>
      <c r="B19" t="s">
        <v>204</v>
      </c>
      <c r="C19" t="str">
        <f>"1100002932169"</f>
        <v>1100002932169</v>
      </c>
      <c r="D19" t="str">
        <f>"450110B00"</f>
        <v>450110B00</v>
      </c>
      <c r="E19" s="1">
        <v>30874</v>
      </c>
      <c r="F19" t="s">
        <v>205</v>
      </c>
      <c r="G19" t="e">
        <f>INDEX(#REF!,MATCH(P19,#REF!,0),1)</f>
        <v>#REF!</v>
      </c>
      <c r="H19" t="s">
        <v>206</v>
      </c>
      <c r="J19" t="s">
        <v>207</v>
      </c>
      <c r="K19" t="s">
        <v>208</v>
      </c>
      <c r="L19">
        <v>53916</v>
      </c>
      <c r="M19" t="s">
        <v>209</v>
      </c>
      <c r="N19">
        <v>871561</v>
      </c>
      <c r="O19" t="s">
        <v>194</v>
      </c>
      <c r="P19">
        <v>2764868</v>
      </c>
      <c r="Q19" t="s">
        <v>210</v>
      </c>
      <c r="R19" t="s">
        <v>196</v>
      </c>
      <c r="S19" t="s">
        <v>197</v>
      </c>
      <c r="T19" t="s">
        <v>44</v>
      </c>
      <c r="U19" t="s">
        <v>45</v>
      </c>
      <c r="AA19" t="s">
        <v>211</v>
      </c>
      <c r="AD19" t="s">
        <v>94</v>
      </c>
      <c r="AE19" t="s">
        <v>72</v>
      </c>
      <c r="AG19" t="s">
        <v>48</v>
      </c>
    </row>
    <row r="20" spans="1:33" x14ac:dyDescent="0.3">
      <c r="A20">
        <v>44</v>
      </c>
      <c r="B20" t="s">
        <v>212</v>
      </c>
      <c r="C20" t="str">
        <f>"1100005387867"</f>
        <v>1100005387867</v>
      </c>
      <c r="D20" t="str">
        <f>"530120B00"</f>
        <v>530120B00</v>
      </c>
      <c r="E20" s="1">
        <v>42620</v>
      </c>
      <c r="F20" t="s">
        <v>213</v>
      </c>
      <c r="G20" t="e">
        <f>INDEX(#REF!,MATCH(P20,#REF!,0),1)</f>
        <v>#REF!</v>
      </c>
      <c r="H20" t="s">
        <v>214</v>
      </c>
      <c r="J20" t="s">
        <v>215</v>
      </c>
      <c r="K20" t="s">
        <v>125</v>
      </c>
      <c r="L20" t="s">
        <v>216</v>
      </c>
      <c r="M20" t="s">
        <v>217</v>
      </c>
      <c r="N20">
        <v>486</v>
      </c>
      <c r="O20" t="s">
        <v>218</v>
      </c>
      <c r="P20">
        <v>486</v>
      </c>
      <c r="Q20" t="s">
        <v>218</v>
      </c>
      <c r="R20" t="s">
        <v>115</v>
      </c>
      <c r="S20" t="s">
        <v>116</v>
      </c>
      <c r="T20" t="s">
        <v>44</v>
      </c>
      <c r="U20" t="s">
        <v>45</v>
      </c>
      <c r="AA20" t="s">
        <v>105</v>
      </c>
      <c r="AB20" t="s">
        <v>219</v>
      </c>
      <c r="AE20" t="s">
        <v>220</v>
      </c>
    </row>
    <row r="21" spans="1:33" x14ac:dyDescent="0.3">
      <c r="A21">
        <v>46</v>
      </c>
      <c r="B21" t="s">
        <v>221</v>
      </c>
      <c r="C21" t="str">
        <f>"850064389890"</f>
        <v>850064389890</v>
      </c>
      <c r="D21" t="str">
        <f>"840080K00"</f>
        <v>840080K00</v>
      </c>
      <c r="E21" s="1">
        <v>30876</v>
      </c>
      <c r="F21" t="s">
        <v>222</v>
      </c>
      <c r="G21" t="e">
        <f>INDEX(#REF!,MATCH(P21,#REF!,0),1)</f>
        <v>#REF!</v>
      </c>
      <c r="H21" t="s">
        <v>223</v>
      </c>
      <c r="J21" t="s">
        <v>224</v>
      </c>
      <c r="K21" t="s">
        <v>225</v>
      </c>
      <c r="L21" t="s">
        <v>226</v>
      </c>
      <c r="M21" t="s">
        <v>227</v>
      </c>
      <c r="N21">
        <v>46</v>
      </c>
      <c r="O21" t="s">
        <v>222</v>
      </c>
      <c r="P21">
        <v>46</v>
      </c>
      <c r="Q21" t="s">
        <v>222</v>
      </c>
      <c r="R21" t="s">
        <v>228</v>
      </c>
      <c r="S21" t="s">
        <v>229</v>
      </c>
      <c r="T21" t="s">
        <v>44</v>
      </c>
      <c r="U21" t="s">
        <v>81</v>
      </c>
      <c r="AA21" t="s">
        <v>119</v>
      </c>
      <c r="AC21" t="s">
        <v>230</v>
      </c>
      <c r="AE21" t="s">
        <v>144</v>
      </c>
    </row>
    <row r="22" spans="1:33" x14ac:dyDescent="0.3">
      <c r="A22">
        <v>48</v>
      </c>
      <c r="B22" t="s">
        <v>231</v>
      </c>
      <c r="C22" t="str">
        <f>""</f>
        <v/>
      </c>
      <c r="D22" t="str">
        <f>"350230D00"</f>
        <v>350230D00</v>
      </c>
      <c r="E22" s="1">
        <v>29349</v>
      </c>
      <c r="F22" t="s">
        <v>232</v>
      </c>
      <c r="G22" t="e">
        <f>INDEX(#REF!,MATCH(P22,#REF!,0),1)</f>
        <v>#REF!</v>
      </c>
      <c r="H22" t="s">
        <v>233</v>
      </c>
      <c r="J22" t="s">
        <v>234</v>
      </c>
      <c r="K22" t="s">
        <v>235</v>
      </c>
      <c r="L22">
        <v>26624</v>
      </c>
      <c r="M22" t="s">
        <v>236</v>
      </c>
      <c r="N22">
        <v>48</v>
      </c>
      <c r="O22" t="s">
        <v>232</v>
      </c>
      <c r="P22">
        <v>48</v>
      </c>
      <c r="Q22" t="s">
        <v>232</v>
      </c>
      <c r="R22" t="s">
        <v>237</v>
      </c>
      <c r="S22" t="s">
        <v>238</v>
      </c>
      <c r="T22" t="s">
        <v>44</v>
      </c>
      <c r="U22" t="s">
        <v>45</v>
      </c>
    </row>
    <row r="23" spans="1:33" x14ac:dyDescent="0.3">
      <c r="A23">
        <v>49</v>
      </c>
      <c r="B23" t="s">
        <v>239</v>
      </c>
      <c r="C23" t="str">
        <f>""</f>
        <v/>
      </c>
      <c r="D23" t="str">
        <f>""</f>
        <v/>
      </c>
      <c r="E23" s="1">
        <v>44501</v>
      </c>
      <c r="F23" t="s">
        <v>240</v>
      </c>
      <c r="G23" t="e">
        <f>INDEX(#REF!,MATCH(P23,#REF!,0),1)</f>
        <v>#REF!</v>
      </c>
      <c r="H23" t="s">
        <v>241</v>
      </c>
      <c r="J23" t="s">
        <v>242</v>
      </c>
      <c r="K23" t="s">
        <v>37</v>
      </c>
      <c r="L23" t="s">
        <v>243</v>
      </c>
      <c r="M23" t="s">
        <v>244</v>
      </c>
      <c r="N23">
        <v>49</v>
      </c>
      <c r="O23" t="s">
        <v>240</v>
      </c>
      <c r="P23">
        <v>49</v>
      </c>
      <c r="Q23" t="s">
        <v>240</v>
      </c>
      <c r="R23" t="s">
        <v>245</v>
      </c>
      <c r="S23" t="s">
        <v>246</v>
      </c>
      <c r="T23" t="s">
        <v>44</v>
      </c>
      <c r="U23" t="s">
        <v>45</v>
      </c>
    </row>
    <row r="24" spans="1:33" x14ac:dyDescent="0.3">
      <c r="A24">
        <v>51</v>
      </c>
      <c r="B24" t="s">
        <v>247</v>
      </c>
      <c r="C24" t="str">
        <f>""</f>
        <v/>
      </c>
      <c r="D24" t="str">
        <f>"220700B00"</f>
        <v>220700B00</v>
      </c>
      <c r="E24" s="1">
        <v>30217</v>
      </c>
      <c r="F24" t="s">
        <v>248</v>
      </c>
      <c r="G24" t="e">
        <f>INDEX(#REF!,MATCH(P24,#REF!,0),1)</f>
        <v>#REF!</v>
      </c>
      <c r="H24" t="s">
        <v>249</v>
      </c>
      <c r="J24" t="s">
        <v>250</v>
      </c>
      <c r="K24" t="s">
        <v>251</v>
      </c>
      <c r="L24" t="str">
        <f>"08060"</f>
        <v>08060</v>
      </c>
      <c r="M24" t="s">
        <v>252</v>
      </c>
      <c r="N24">
        <v>109541</v>
      </c>
      <c r="O24" t="s">
        <v>253</v>
      </c>
      <c r="P24">
        <v>109541</v>
      </c>
      <c r="Q24" t="s">
        <v>253</v>
      </c>
      <c r="R24" t="s">
        <v>254</v>
      </c>
      <c r="S24" t="s">
        <v>255</v>
      </c>
      <c r="T24" t="s">
        <v>44</v>
      </c>
      <c r="U24" t="s">
        <v>45</v>
      </c>
    </row>
    <row r="25" spans="1:33" x14ac:dyDescent="0.3">
      <c r="A25">
        <v>52</v>
      </c>
      <c r="B25" t="s">
        <v>256</v>
      </c>
      <c r="C25" t="str">
        <f>"1100005289215"</f>
        <v>1100005289215</v>
      </c>
      <c r="D25" t="str">
        <f>"440920J00"</f>
        <v>440920J00</v>
      </c>
      <c r="E25" s="1">
        <v>28417</v>
      </c>
      <c r="F25" t="s">
        <v>257</v>
      </c>
      <c r="G25" t="e">
        <f>INDEX(#REF!,MATCH(P25,#REF!,0),1)</f>
        <v>#REF!</v>
      </c>
      <c r="H25" t="s">
        <v>258</v>
      </c>
      <c r="I25" t="s">
        <v>259</v>
      </c>
      <c r="J25" t="s">
        <v>260</v>
      </c>
      <c r="K25" t="s">
        <v>261</v>
      </c>
      <c r="L25" t="s">
        <v>262</v>
      </c>
      <c r="M25" t="s">
        <v>263</v>
      </c>
      <c r="N25">
        <v>4168349</v>
      </c>
      <c r="O25" t="s">
        <v>264</v>
      </c>
      <c r="P25">
        <v>43714</v>
      </c>
      <c r="Q25" t="s">
        <v>265</v>
      </c>
      <c r="R25" t="s">
        <v>266</v>
      </c>
      <c r="S25" t="s">
        <v>267</v>
      </c>
      <c r="T25" t="s">
        <v>44</v>
      </c>
      <c r="U25" t="s">
        <v>45</v>
      </c>
      <c r="Y25" t="s">
        <v>46</v>
      </c>
      <c r="Z25" s="1">
        <v>44835</v>
      </c>
      <c r="AC25" t="s">
        <v>268</v>
      </c>
      <c r="AE25" t="s">
        <v>269</v>
      </c>
      <c r="AG25" t="s">
        <v>48</v>
      </c>
    </row>
    <row r="26" spans="1:33" x14ac:dyDescent="0.3">
      <c r="A26">
        <v>55</v>
      </c>
      <c r="B26" t="s">
        <v>270</v>
      </c>
      <c r="C26" t="str">
        <f>"1100004761514"</f>
        <v>1100004761514</v>
      </c>
      <c r="D26" t="str">
        <f>"233090H00"</f>
        <v>233090H00</v>
      </c>
      <c r="E26" s="1">
        <v>31306</v>
      </c>
      <c r="F26" t="s">
        <v>271</v>
      </c>
      <c r="G26" t="e">
        <f>INDEX(#REF!,MATCH(P26,#REF!,0),1)</f>
        <v>#REF!</v>
      </c>
      <c r="H26" t="s">
        <v>272</v>
      </c>
      <c r="J26" t="s">
        <v>273</v>
      </c>
      <c r="K26" t="s">
        <v>65</v>
      </c>
      <c r="L26" t="s">
        <v>274</v>
      </c>
      <c r="M26" t="s">
        <v>275</v>
      </c>
      <c r="N26">
        <v>4007</v>
      </c>
      <c r="O26" t="s">
        <v>276</v>
      </c>
      <c r="P26">
        <v>4007</v>
      </c>
      <c r="Q26" t="s">
        <v>276</v>
      </c>
      <c r="R26" t="s">
        <v>277</v>
      </c>
      <c r="S26" t="s">
        <v>278</v>
      </c>
      <c r="T26" t="s">
        <v>44</v>
      </c>
      <c r="U26" t="s">
        <v>45</v>
      </c>
      <c r="AG26" t="s">
        <v>48</v>
      </c>
    </row>
    <row r="27" spans="1:33" x14ac:dyDescent="0.3">
      <c r="A27">
        <v>60</v>
      </c>
      <c r="B27" t="s">
        <v>279</v>
      </c>
      <c r="C27" t="str">
        <f>"1100003682421"</f>
        <v>1100003682421</v>
      </c>
      <c r="D27" t="str">
        <f>"610980O00"</f>
        <v>610980O00</v>
      </c>
      <c r="E27" s="1">
        <v>41091</v>
      </c>
      <c r="F27" t="s">
        <v>280</v>
      </c>
      <c r="G27" t="e">
        <f>INDEX(#REF!,MATCH(P27,#REF!,0),1)</f>
        <v>#REF!</v>
      </c>
      <c r="H27" t="s">
        <v>281</v>
      </c>
      <c r="J27" t="s">
        <v>282</v>
      </c>
      <c r="K27" t="s">
        <v>283</v>
      </c>
      <c r="L27" t="s">
        <v>284</v>
      </c>
      <c r="M27" t="s">
        <v>285</v>
      </c>
      <c r="N27">
        <v>1421</v>
      </c>
      <c r="O27" t="s">
        <v>280</v>
      </c>
      <c r="P27">
        <v>1421</v>
      </c>
      <c r="Q27" t="s">
        <v>280</v>
      </c>
      <c r="R27" t="s">
        <v>286</v>
      </c>
      <c r="S27" t="s">
        <v>287</v>
      </c>
      <c r="T27" t="s">
        <v>44</v>
      </c>
      <c r="U27" t="s">
        <v>288</v>
      </c>
      <c r="X27" t="s">
        <v>289</v>
      </c>
      <c r="AA27" t="s">
        <v>119</v>
      </c>
      <c r="AB27" t="s">
        <v>290</v>
      </c>
      <c r="AG27" t="s">
        <v>48</v>
      </c>
    </row>
    <row r="28" spans="1:33" x14ac:dyDescent="0.3">
      <c r="A28">
        <v>63</v>
      </c>
      <c r="B28" t="s">
        <v>291</v>
      </c>
      <c r="C28" t="str">
        <f>"1100004697967"</f>
        <v>1100004697967</v>
      </c>
      <c r="D28" t="str">
        <f>""</f>
        <v/>
      </c>
      <c r="E28" s="1">
        <v>42583</v>
      </c>
      <c r="F28" t="s">
        <v>292</v>
      </c>
      <c r="G28" t="e">
        <f>INDEX(#REF!,MATCH(P28,#REF!,0),1)</f>
        <v>#REF!</v>
      </c>
      <c r="H28" t="s">
        <v>293</v>
      </c>
      <c r="J28" t="s">
        <v>294</v>
      </c>
      <c r="K28" t="s">
        <v>65</v>
      </c>
      <c r="L28" t="s">
        <v>295</v>
      </c>
      <c r="M28" t="s">
        <v>296</v>
      </c>
      <c r="N28">
        <v>2413846</v>
      </c>
      <c r="O28" t="s">
        <v>68</v>
      </c>
      <c r="P28">
        <v>2413846</v>
      </c>
      <c r="Q28" t="s">
        <v>68</v>
      </c>
      <c r="R28" t="s">
        <v>69</v>
      </c>
      <c r="S28" t="s">
        <v>70</v>
      </c>
      <c r="T28" t="s">
        <v>44</v>
      </c>
      <c r="U28" t="s">
        <v>45</v>
      </c>
      <c r="AA28" t="s">
        <v>71</v>
      </c>
      <c r="AE28" t="s">
        <v>72</v>
      </c>
      <c r="AG28" t="s">
        <v>48</v>
      </c>
    </row>
    <row r="29" spans="1:33" x14ac:dyDescent="0.3">
      <c r="A29">
        <v>65</v>
      </c>
      <c r="B29" t="s">
        <v>297</v>
      </c>
      <c r="C29" t="str">
        <f>"1100005870345"</f>
        <v>1100005870345</v>
      </c>
      <c r="D29" t="str">
        <f>"381570O00"</f>
        <v>381570O00</v>
      </c>
      <c r="E29" s="1">
        <v>30599</v>
      </c>
      <c r="F29" t="s">
        <v>298</v>
      </c>
      <c r="G29" t="e">
        <f>INDEX(#REF!,MATCH(P29,#REF!,0),1)</f>
        <v>#REF!</v>
      </c>
      <c r="H29" t="s">
        <v>299</v>
      </c>
      <c r="J29" t="s">
        <v>300</v>
      </c>
      <c r="K29" t="s">
        <v>99</v>
      </c>
      <c r="L29" t="s">
        <v>301</v>
      </c>
      <c r="M29" t="s">
        <v>302</v>
      </c>
      <c r="N29">
        <v>65</v>
      </c>
      <c r="O29" t="s">
        <v>298</v>
      </c>
      <c r="P29">
        <v>65</v>
      </c>
      <c r="Q29" t="s">
        <v>298</v>
      </c>
      <c r="R29" t="s">
        <v>129</v>
      </c>
      <c r="S29" t="s">
        <v>130</v>
      </c>
      <c r="T29" t="s">
        <v>44</v>
      </c>
      <c r="U29" t="s">
        <v>45</v>
      </c>
      <c r="AA29" t="s">
        <v>93</v>
      </c>
    </row>
    <row r="30" spans="1:33" x14ac:dyDescent="0.3">
      <c r="A30">
        <v>67</v>
      </c>
      <c r="B30" t="s">
        <v>303</v>
      </c>
      <c r="C30" t="str">
        <f>"1100006271523"</f>
        <v>1100006271523</v>
      </c>
      <c r="D30" t="str">
        <f>"H3N4VNT00"</f>
        <v>H3N4VNT00</v>
      </c>
      <c r="E30" s="1">
        <v>28417</v>
      </c>
      <c r="F30" t="s">
        <v>304</v>
      </c>
      <c r="G30" t="e">
        <f>INDEX(#REF!,MATCH(P30,#REF!,0),1)</f>
        <v>#REF!</v>
      </c>
      <c r="H30" t="s">
        <v>305</v>
      </c>
      <c r="J30" t="s">
        <v>306</v>
      </c>
      <c r="K30" t="s">
        <v>307</v>
      </c>
      <c r="L30" t="s">
        <v>308</v>
      </c>
      <c r="M30" t="s">
        <v>309</v>
      </c>
      <c r="N30">
        <v>67</v>
      </c>
      <c r="O30" t="s">
        <v>304</v>
      </c>
      <c r="P30">
        <v>67</v>
      </c>
      <c r="Q30" t="s">
        <v>304</v>
      </c>
      <c r="R30" t="s">
        <v>310</v>
      </c>
      <c r="S30" t="s">
        <v>311</v>
      </c>
      <c r="T30" t="s">
        <v>44</v>
      </c>
      <c r="U30" t="s">
        <v>81</v>
      </c>
      <c r="AE30" t="s">
        <v>269</v>
      </c>
    </row>
    <row r="31" spans="1:33" x14ac:dyDescent="0.3">
      <c r="A31">
        <v>69</v>
      </c>
      <c r="B31" t="s">
        <v>312</v>
      </c>
      <c r="C31" t="str">
        <f>"1100004437150"</f>
        <v>1100004437150</v>
      </c>
      <c r="D31" t="str">
        <f>"RN7XYHX00"</f>
        <v>RN7XYHX00</v>
      </c>
      <c r="E31" s="1">
        <v>42583</v>
      </c>
      <c r="F31" t="s">
        <v>313</v>
      </c>
      <c r="G31" t="e">
        <f>INDEX(#REF!,MATCH(P31,#REF!,0),1)</f>
        <v>#REF!</v>
      </c>
      <c r="H31" t="s">
        <v>314</v>
      </c>
      <c r="J31" t="s">
        <v>315</v>
      </c>
      <c r="K31" t="s">
        <v>65</v>
      </c>
      <c r="L31" t="s">
        <v>316</v>
      </c>
      <c r="M31" t="s">
        <v>317</v>
      </c>
      <c r="N31">
        <v>53913</v>
      </c>
      <c r="O31" t="s">
        <v>318</v>
      </c>
      <c r="P31">
        <v>53913</v>
      </c>
      <c r="Q31" t="s">
        <v>318</v>
      </c>
      <c r="R31" t="s">
        <v>245</v>
      </c>
      <c r="S31" t="s">
        <v>246</v>
      </c>
      <c r="T31" t="s">
        <v>44</v>
      </c>
      <c r="U31" t="s">
        <v>45</v>
      </c>
    </row>
    <row r="32" spans="1:33" x14ac:dyDescent="0.3">
      <c r="A32">
        <v>73</v>
      </c>
      <c r="B32" t="s">
        <v>319</v>
      </c>
      <c r="C32" t="str">
        <f>""</f>
        <v/>
      </c>
      <c r="D32" t="str">
        <f>"840520J00"</f>
        <v>840520J00</v>
      </c>
      <c r="E32" s="1">
        <v>30876</v>
      </c>
      <c r="F32" t="s">
        <v>320</v>
      </c>
      <c r="G32" t="e">
        <f>INDEX(#REF!,MATCH(P32,#REF!,0),1)</f>
        <v>#REF!</v>
      </c>
      <c r="H32" t="s">
        <v>321</v>
      </c>
      <c r="J32" t="s">
        <v>322</v>
      </c>
      <c r="K32" t="s">
        <v>225</v>
      </c>
      <c r="L32" t="s">
        <v>323</v>
      </c>
      <c r="M32" t="s">
        <v>324</v>
      </c>
      <c r="N32">
        <v>73</v>
      </c>
      <c r="O32" t="s">
        <v>320</v>
      </c>
      <c r="P32">
        <v>73</v>
      </c>
      <c r="Q32" t="s">
        <v>320</v>
      </c>
      <c r="R32" t="s">
        <v>325</v>
      </c>
      <c r="S32" t="s">
        <v>326</v>
      </c>
      <c r="T32" t="s">
        <v>44</v>
      </c>
      <c r="U32" t="s">
        <v>45</v>
      </c>
      <c r="AA32" t="s">
        <v>327</v>
      </c>
      <c r="AB32" t="s">
        <v>328</v>
      </c>
      <c r="AE32" t="s">
        <v>144</v>
      </c>
    </row>
    <row r="33" spans="1:33" x14ac:dyDescent="0.3">
      <c r="A33">
        <v>75</v>
      </c>
      <c r="B33" t="s">
        <v>329</v>
      </c>
      <c r="C33" t="str">
        <f>""</f>
        <v/>
      </c>
      <c r="D33" t="str">
        <f>"EH2AAYF00"</f>
        <v>EH2AAYF00</v>
      </c>
      <c r="E33" s="1">
        <v>30267</v>
      </c>
      <c r="F33" t="s">
        <v>330</v>
      </c>
      <c r="G33" t="e">
        <f>INDEX(#REF!,MATCH(P33,#REF!,0),1)</f>
        <v>#REF!</v>
      </c>
      <c r="H33" t="s">
        <v>331</v>
      </c>
      <c r="J33" t="s">
        <v>332</v>
      </c>
      <c r="K33" t="s">
        <v>307</v>
      </c>
      <c r="L33" t="s">
        <v>333</v>
      </c>
      <c r="M33" t="s">
        <v>334</v>
      </c>
      <c r="N33">
        <v>75</v>
      </c>
      <c r="O33" t="s">
        <v>330</v>
      </c>
      <c r="P33">
        <v>75</v>
      </c>
      <c r="Q33" t="s">
        <v>330</v>
      </c>
      <c r="R33" t="s">
        <v>335</v>
      </c>
      <c r="S33" t="s">
        <v>336</v>
      </c>
      <c r="T33" t="s">
        <v>44</v>
      </c>
      <c r="U33" t="s">
        <v>81</v>
      </c>
      <c r="AA33" t="s">
        <v>337</v>
      </c>
      <c r="AD33" t="s">
        <v>94</v>
      </c>
      <c r="AE33" t="s">
        <v>269</v>
      </c>
    </row>
    <row r="34" spans="1:33" x14ac:dyDescent="0.3">
      <c r="A34">
        <v>76</v>
      </c>
      <c r="B34" t="s">
        <v>338</v>
      </c>
      <c r="C34" t="str">
        <f>""</f>
        <v/>
      </c>
      <c r="D34" t="str">
        <f>"431090H00"</f>
        <v>431090H00</v>
      </c>
      <c r="E34" s="1">
        <v>28417</v>
      </c>
      <c r="F34" t="s">
        <v>339</v>
      </c>
      <c r="G34" t="e">
        <f>INDEX(#REF!,MATCH(P34,#REF!,0),1)</f>
        <v>#REF!</v>
      </c>
      <c r="H34" t="s">
        <v>340</v>
      </c>
      <c r="J34" t="s">
        <v>341</v>
      </c>
      <c r="K34" t="s">
        <v>342</v>
      </c>
      <c r="L34" t="s">
        <v>343</v>
      </c>
      <c r="M34" t="s">
        <v>344</v>
      </c>
      <c r="N34">
        <v>332</v>
      </c>
      <c r="O34" t="s">
        <v>345</v>
      </c>
      <c r="P34">
        <v>332</v>
      </c>
      <c r="Q34" t="s">
        <v>345</v>
      </c>
      <c r="R34" t="s">
        <v>346</v>
      </c>
      <c r="S34" t="s">
        <v>347</v>
      </c>
      <c r="T34" t="s">
        <v>44</v>
      </c>
      <c r="U34" t="s">
        <v>45</v>
      </c>
      <c r="AA34" t="s">
        <v>119</v>
      </c>
      <c r="AE34" t="s">
        <v>348</v>
      </c>
      <c r="AG34" t="s">
        <v>48</v>
      </c>
    </row>
    <row r="35" spans="1:33" x14ac:dyDescent="0.3">
      <c r="A35">
        <v>79</v>
      </c>
      <c r="B35" t="s">
        <v>349</v>
      </c>
      <c r="C35" t="str">
        <f>""</f>
        <v/>
      </c>
      <c r="D35" t="str">
        <f>"721040E00"</f>
        <v>721040E00</v>
      </c>
      <c r="E35" s="1">
        <v>42662</v>
      </c>
      <c r="F35" t="s">
        <v>350</v>
      </c>
      <c r="G35" t="e">
        <f>INDEX(#REF!,MATCH(P35,#REF!,0),1)</f>
        <v>#REF!</v>
      </c>
      <c r="H35" t="s">
        <v>351</v>
      </c>
      <c r="J35" t="s">
        <v>352</v>
      </c>
      <c r="K35" t="s">
        <v>353</v>
      </c>
      <c r="L35">
        <v>71052</v>
      </c>
      <c r="M35" t="s">
        <v>354</v>
      </c>
      <c r="N35">
        <v>2623319</v>
      </c>
      <c r="O35" t="s">
        <v>355</v>
      </c>
      <c r="P35">
        <v>2623319</v>
      </c>
      <c r="Q35" t="s">
        <v>355</v>
      </c>
      <c r="R35" t="s">
        <v>356</v>
      </c>
      <c r="S35" t="s">
        <v>357</v>
      </c>
      <c r="T35" t="s">
        <v>44</v>
      </c>
      <c r="U35" t="s">
        <v>45</v>
      </c>
      <c r="AA35" t="s">
        <v>211</v>
      </c>
      <c r="AC35" t="s">
        <v>358</v>
      </c>
    </row>
    <row r="36" spans="1:33" x14ac:dyDescent="0.3">
      <c r="A36">
        <v>81</v>
      </c>
      <c r="B36" t="s">
        <v>359</v>
      </c>
      <c r="C36" t="str">
        <f>""</f>
        <v/>
      </c>
      <c r="D36" t="str">
        <f>"D2MP7FC00"</f>
        <v>D2MP7FC00</v>
      </c>
      <c r="E36" s="1">
        <v>40770</v>
      </c>
      <c r="F36" t="s">
        <v>360</v>
      </c>
      <c r="G36" t="e">
        <f>INDEX(#REF!,MATCH(P36,#REF!,0),1)</f>
        <v>#REF!</v>
      </c>
      <c r="H36" t="s">
        <v>361</v>
      </c>
      <c r="J36" t="s">
        <v>362</v>
      </c>
      <c r="K36" t="s">
        <v>167</v>
      </c>
      <c r="L36" t="s">
        <v>363</v>
      </c>
      <c r="M36" t="s">
        <v>364</v>
      </c>
      <c r="N36">
        <v>81</v>
      </c>
      <c r="O36" t="s">
        <v>360</v>
      </c>
      <c r="P36">
        <v>81</v>
      </c>
      <c r="Q36" t="s">
        <v>360</v>
      </c>
      <c r="R36" t="s">
        <v>365</v>
      </c>
      <c r="S36" t="s">
        <v>366</v>
      </c>
      <c r="T36" t="s">
        <v>44</v>
      </c>
      <c r="U36" t="s">
        <v>45</v>
      </c>
      <c r="AA36" t="s">
        <v>93</v>
      </c>
      <c r="AC36" t="s">
        <v>367</v>
      </c>
      <c r="AE36" t="s">
        <v>220</v>
      </c>
    </row>
    <row r="37" spans="1:33" x14ac:dyDescent="0.3">
      <c r="A37">
        <v>82</v>
      </c>
      <c r="B37" t="s">
        <v>368</v>
      </c>
      <c r="C37" t="str">
        <f>"1100004161130"</f>
        <v>1100004161130</v>
      </c>
      <c r="D37" t="str">
        <f>"391120G00"</f>
        <v>391120G00</v>
      </c>
      <c r="E37" s="1">
        <v>40449</v>
      </c>
      <c r="F37" t="s">
        <v>369</v>
      </c>
      <c r="G37" t="e">
        <f>INDEX(#REF!,MATCH(P37,#REF!,0),1)</f>
        <v>#REF!</v>
      </c>
      <c r="H37" t="s">
        <v>370</v>
      </c>
      <c r="J37" t="s">
        <v>371</v>
      </c>
      <c r="K37" t="s">
        <v>167</v>
      </c>
      <c r="L37" t="s">
        <v>372</v>
      </c>
      <c r="M37" t="s">
        <v>373</v>
      </c>
      <c r="N37">
        <v>58207</v>
      </c>
      <c r="O37" t="s">
        <v>374</v>
      </c>
      <c r="P37">
        <v>42052</v>
      </c>
      <c r="Q37" t="s">
        <v>375</v>
      </c>
      <c r="R37" t="s">
        <v>376</v>
      </c>
      <c r="S37" t="s">
        <v>377</v>
      </c>
      <c r="T37" t="s">
        <v>44</v>
      </c>
      <c r="U37" t="s">
        <v>184</v>
      </c>
      <c r="AA37" t="s">
        <v>378</v>
      </c>
      <c r="AB37" t="s">
        <v>105</v>
      </c>
      <c r="AE37" t="s">
        <v>379</v>
      </c>
      <c r="AG37" t="s">
        <v>48</v>
      </c>
    </row>
    <row r="38" spans="1:33" x14ac:dyDescent="0.3">
      <c r="A38">
        <v>87</v>
      </c>
      <c r="B38" t="s">
        <v>380</v>
      </c>
      <c r="C38" t="str">
        <f>"1100005160668"</f>
        <v>1100005160668</v>
      </c>
      <c r="D38" t="str">
        <f>"361690P00"</f>
        <v>361690P00</v>
      </c>
      <c r="E38" s="1">
        <v>30980</v>
      </c>
      <c r="F38" t="s">
        <v>381</v>
      </c>
      <c r="G38" t="e">
        <f>INDEX(#REF!,MATCH(P38,#REF!,0),1)</f>
        <v>#REF!</v>
      </c>
      <c r="H38" t="s">
        <v>382</v>
      </c>
      <c r="J38" t="s">
        <v>383</v>
      </c>
      <c r="K38" t="s">
        <v>384</v>
      </c>
      <c r="L38" t="s">
        <v>385</v>
      </c>
      <c r="M38" t="s">
        <v>386</v>
      </c>
      <c r="N38">
        <v>665</v>
      </c>
      <c r="O38" t="s">
        <v>387</v>
      </c>
      <c r="P38">
        <v>665</v>
      </c>
      <c r="Q38" t="s">
        <v>387</v>
      </c>
      <c r="R38" t="s">
        <v>388</v>
      </c>
      <c r="S38" t="s">
        <v>389</v>
      </c>
      <c r="T38" t="s">
        <v>44</v>
      </c>
      <c r="U38" t="s">
        <v>45</v>
      </c>
      <c r="AA38" t="s">
        <v>82</v>
      </c>
      <c r="AE38" t="s">
        <v>83</v>
      </c>
    </row>
    <row r="39" spans="1:33" x14ac:dyDescent="0.3">
      <c r="A39">
        <v>90</v>
      </c>
      <c r="B39" t="s">
        <v>390</v>
      </c>
      <c r="C39" t="str">
        <f>"1100004329189"</f>
        <v>1100004329189</v>
      </c>
      <c r="D39" t="str">
        <f>"061NON500"</f>
        <v>061NON500</v>
      </c>
      <c r="E39" s="1">
        <v>28417</v>
      </c>
      <c r="F39" t="s">
        <v>391</v>
      </c>
      <c r="G39" t="e">
        <f>INDEX(#REF!,MATCH(P39,#REF!,0),1)</f>
        <v>#REF!</v>
      </c>
      <c r="H39" t="s">
        <v>392</v>
      </c>
      <c r="J39" t="s">
        <v>393</v>
      </c>
      <c r="K39" t="s">
        <v>342</v>
      </c>
      <c r="L39" t="s">
        <v>394</v>
      </c>
      <c r="M39" t="s">
        <v>395</v>
      </c>
      <c r="N39">
        <v>90</v>
      </c>
      <c r="O39" t="s">
        <v>391</v>
      </c>
      <c r="P39">
        <v>90</v>
      </c>
      <c r="Q39" t="s">
        <v>391</v>
      </c>
      <c r="R39" t="s">
        <v>396</v>
      </c>
      <c r="S39" t="s">
        <v>397</v>
      </c>
      <c r="T39" t="s">
        <v>44</v>
      </c>
      <c r="U39" t="s">
        <v>81</v>
      </c>
      <c r="AA39" t="s">
        <v>119</v>
      </c>
      <c r="AE39" t="s">
        <v>120</v>
      </c>
    </row>
    <row r="40" spans="1:33" x14ac:dyDescent="0.3">
      <c r="A40">
        <v>91</v>
      </c>
      <c r="B40" t="s">
        <v>398</v>
      </c>
      <c r="C40" t="str">
        <f>""</f>
        <v/>
      </c>
      <c r="D40" t="str">
        <f>"420250D00"</f>
        <v>420250D00</v>
      </c>
      <c r="E40" s="1">
        <v>42583</v>
      </c>
      <c r="F40" t="s">
        <v>399</v>
      </c>
      <c r="G40" t="e">
        <f>INDEX(#REF!,MATCH(P40,#REF!,0),1)</f>
        <v>#REF!</v>
      </c>
      <c r="H40" t="s">
        <v>400</v>
      </c>
      <c r="J40" t="s">
        <v>401</v>
      </c>
      <c r="K40" t="s">
        <v>307</v>
      </c>
      <c r="L40">
        <v>47331</v>
      </c>
      <c r="M40" t="s">
        <v>402</v>
      </c>
      <c r="N40">
        <v>207</v>
      </c>
      <c r="O40" t="s">
        <v>403</v>
      </c>
      <c r="P40">
        <v>207</v>
      </c>
      <c r="Q40" t="s">
        <v>403</v>
      </c>
      <c r="R40" t="s">
        <v>310</v>
      </c>
      <c r="S40" t="s">
        <v>311</v>
      </c>
      <c r="T40" t="s">
        <v>44</v>
      </c>
      <c r="U40" t="s">
        <v>45</v>
      </c>
      <c r="AA40" t="s">
        <v>119</v>
      </c>
      <c r="AE40" t="s">
        <v>404</v>
      </c>
    </row>
    <row r="41" spans="1:33" x14ac:dyDescent="0.3">
      <c r="A41">
        <v>92</v>
      </c>
      <c r="B41" t="s">
        <v>405</v>
      </c>
      <c r="C41" t="str">
        <f>""</f>
        <v/>
      </c>
      <c r="D41" t="str">
        <f>"506121F00"</f>
        <v>506121F00</v>
      </c>
      <c r="E41" s="1">
        <v>42583</v>
      </c>
      <c r="F41" t="s">
        <v>406</v>
      </c>
      <c r="G41" t="e">
        <f>INDEX(#REF!,MATCH(P41,#REF!,0),1)</f>
        <v>#REF!</v>
      </c>
      <c r="H41" t="s">
        <v>407</v>
      </c>
      <c r="J41" t="s">
        <v>408</v>
      </c>
      <c r="K41" t="s">
        <v>251</v>
      </c>
      <c r="L41" t="str">
        <f>"07109"</f>
        <v>07109</v>
      </c>
      <c r="M41" t="s">
        <v>409</v>
      </c>
      <c r="N41">
        <v>3209841</v>
      </c>
      <c r="O41" t="s">
        <v>410</v>
      </c>
      <c r="P41">
        <v>3209841</v>
      </c>
      <c r="Q41" t="s">
        <v>410</v>
      </c>
      <c r="R41" t="s">
        <v>411</v>
      </c>
      <c r="S41" t="s">
        <v>412</v>
      </c>
      <c r="T41" t="s">
        <v>44</v>
      </c>
      <c r="U41" t="s">
        <v>81</v>
      </c>
      <c r="Y41" t="s">
        <v>46</v>
      </c>
      <c r="Z41" s="1">
        <v>45170</v>
      </c>
      <c r="AE41" t="s">
        <v>47</v>
      </c>
      <c r="AG41" t="s">
        <v>48</v>
      </c>
    </row>
    <row r="42" spans="1:33" x14ac:dyDescent="0.3">
      <c r="A42">
        <v>93</v>
      </c>
      <c r="B42" t="s">
        <v>413</v>
      </c>
      <c r="C42" t="str">
        <f>"860014702105"</f>
        <v>860014702105</v>
      </c>
      <c r="D42" t="str">
        <f>"431380J00"</f>
        <v>431380J00</v>
      </c>
      <c r="E42" s="1">
        <v>30958</v>
      </c>
      <c r="F42" t="s">
        <v>414</v>
      </c>
      <c r="G42" t="e">
        <f>INDEX(#REF!,MATCH(P42,#REF!,0),1)</f>
        <v>#REF!</v>
      </c>
      <c r="H42" t="s">
        <v>415</v>
      </c>
      <c r="J42" t="s">
        <v>416</v>
      </c>
      <c r="K42" t="s">
        <v>342</v>
      </c>
      <c r="L42" t="s">
        <v>417</v>
      </c>
      <c r="M42" t="s">
        <v>418</v>
      </c>
      <c r="N42">
        <v>93</v>
      </c>
      <c r="O42" t="s">
        <v>414</v>
      </c>
      <c r="P42">
        <v>93</v>
      </c>
      <c r="Q42" t="s">
        <v>414</v>
      </c>
      <c r="R42" t="s">
        <v>419</v>
      </c>
      <c r="S42" t="s">
        <v>420</v>
      </c>
      <c r="T42" t="s">
        <v>44</v>
      </c>
      <c r="U42" t="s">
        <v>45</v>
      </c>
      <c r="AA42" t="s">
        <v>119</v>
      </c>
      <c r="AE42" t="s">
        <v>120</v>
      </c>
    </row>
    <row r="43" spans="1:33" x14ac:dyDescent="0.3">
      <c r="A43">
        <v>94</v>
      </c>
      <c r="B43" t="s">
        <v>421</v>
      </c>
      <c r="C43" t="str">
        <f>"1100009763421"</f>
        <v>1100009763421</v>
      </c>
      <c r="D43" t="str">
        <f>"130100500"</f>
        <v>130100500</v>
      </c>
      <c r="E43" s="1">
        <v>42583</v>
      </c>
      <c r="F43" t="s">
        <v>422</v>
      </c>
      <c r="G43" t="e">
        <f>INDEX(#REF!,MATCH(P43,#REF!,0),1)</f>
        <v>#REF!</v>
      </c>
      <c r="H43" t="s">
        <v>423</v>
      </c>
      <c r="J43" t="s">
        <v>424</v>
      </c>
      <c r="K43" t="s">
        <v>425</v>
      </c>
      <c r="L43" t="str">
        <f>"05060"</f>
        <v>05060</v>
      </c>
      <c r="M43" t="s">
        <v>426</v>
      </c>
      <c r="N43">
        <v>94</v>
      </c>
      <c r="O43" t="s">
        <v>422</v>
      </c>
      <c r="P43">
        <v>94</v>
      </c>
      <c r="Q43" t="s">
        <v>422</v>
      </c>
      <c r="R43" t="s">
        <v>56</v>
      </c>
      <c r="S43" t="s">
        <v>57</v>
      </c>
      <c r="T43" t="s">
        <v>44</v>
      </c>
      <c r="U43" t="s">
        <v>45</v>
      </c>
    </row>
    <row r="44" spans="1:33" x14ac:dyDescent="0.3">
      <c r="A44">
        <v>95</v>
      </c>
      <c r="B44" t="s">
        <v>427</v>
      </c>
      <c r="C44" t="str">
        <f>""</f>
        <v/>
      </c>
      <c r="D44" t="str">
        <f>"520770L00"</f>
        <v>520770L00</v>
      </c>
      <c r="E44" s="1">
        <v>28417</v>
      </c>
      <c r="F44" t="s">
        <v>428</v>
      </c>
      <c r="G44" t="e">
        <f>INDEX(#REF!,MATCH(P44,#REF!,0),1)</f>
        <v>#REF!</v>
      </c>
      <c r="H44" t="s">
        <v>429</v>
      </c>
      <c r="J44" t="s">
        <v>430</v>
      </c>
      <c r="K44" t="s">
        <v>139</v>
      </c>
      <c r="L44" t="s">
        <v>431</v>
      </c>
      <c r="M44" t="s">
        <v>432</v>
      </c>
      <c r="N44">
        <v>7585</v>
      </c>
      <c r="O44" t="s">
        <v>433</v>
      </c>
      <c r="P44">
        <v>7585</v>
      </c>
      <c r="Q44" t="s">
        <v>433</v>
      </c>
      <c r="R44" t="s">
        <v>434</v>
      </c>
      <c r="S44" t="s">
        <v>435</v>
      </c>
      <c r="T44" t="s">
        <v>44</v>
      </c>
      <c r="U44" t="s">
        <v>45</v>
      </c>
      <c r="AA44" t="s">
        <v>119</v>
      </c>
      <c r="AE44" t="s">
        <v>120</v>
      </c>
    </row>
    <row r="45" spans="1:33" x14ac:dyDescent="0.3">
      <c r="A45">
        <v>99</v>
      </c>
      <c r="B45" t="s">
        <v>436</v>
      </c>
      <c r="C45" t="str">
        <f>"1100005989603"</f>
        <v>1100005989603</v>
      </c>
      <c r="D45" t="str">
        <f>"431460I00"</f>
        <v>431460I00</v>
      </c>
      <c r="E45" s="1">
        <v>28417</v>
      </c>
      <c r="F45" t="s">
        <v>437</v>
      </c>
      <c r="G45" t="e">
        <f>INDEX(#REF!,MATCH(P45,#REF!,0),1)</f>
        <v>#REF!</v>
      </c>
      <c r="H45" t="s">
        <v>438</v>
      </c>
      <c r="J45" t="s">
        <v>439</v>
      </c>
      <c r="K45" t="s">
        <v>342</v>
      </c>
      <c r="L45" t="s">
        <v>440</v>
      </c>
      <c r="M45" t="s">
        <v>441</v>
      </c>
      <c r="N45">
        <v>90</v>
      </c>
      <c r="O45" t="s">
        <v>391</v>
      </c>
      <c r="P45">
        <v>4168342</v>
      </c>
      <c r="Q45" t="s">
        <v>442</v>
      </c>
      <c r="R45" t="s">
        <v>396</v>
      </c>
      <c r="S45" t="s">
        <v>397</v>
      </c>
      <c r="T45" t="s">
        <v>44</v>
      </c>
      <c r="U45" t="s">
        <v>45</v>
      </c>
      <c r="AA45" t="s">
        <v>119</v>
      </c>
      <c r="AE45" t="s">
        <v>120</v>
      </c>
    </row>
    <row r="46" spans="1:33" x14ac:dyDescent="0.3">
      <c r="A46">
        <v>100</v>
      </c>
      <c r="B46" t="s">
        <v>443</v>
      </c>
      <c r="C46" t="str">
        <f>"1100004822567"</f>
        <v>1100004822567</v>
      </c>
      <c r="D46" t="str">
        <f>"540280J00"</f>
        <v>540280J00</v>
      </c>
      <c r="E46" s="1">
        <v>34060</v>
      </c>
      <c r="F46" t="s">
        <v>444</v>
      </c>
      <c r="G46" t="e">
        <f>INDEX(#REF!,MATCH(P46,#REF!,0),1)</f>
        <v>#REF!</v>
      </c>
      <c r="H46" t="s">
        <v>445</v>
      </c>
      <c r="J46" t="s">
        <v>446</v>
      </c>
      <c r="K46" t="s">
        <v>149</v>
      </c>
      <c r="L46" t="s">
        <v>447</v>
      </c>
      <c r="M46" t="s">
        <v>448</v>
      </c>
      <c r="N46">
        <v>29</v>
      </c>
      <c r="O46" t="s">
        <v>136</v>
      </c>
      <c r="P46">
        <v>29</v>
      </c>
      <c r="Q46" t="s">
        <v>136</v>
      </c>
      <c r="R46" t="s">
        <v>142</v>
      </c>
      <c r="S46" t="s">
        <v>143</v>
      </c>
      <c r="T46" t="s">
        <v>44</v>
      </c>
      <c r="U46" t="s">
        <v>45</v>
      </c>
      <c r="Y46" t="s">
        <v>104</v>
      </c>
      <c r="Z46" s="1">
        <v>44593</v>
      </c>
      <c r="AA46" t="s">
        <v>93</v>
      </c>
      <c r="AE46" t="s">
        <v>144</v>
      </c>
      <c r="AG46" t="s">
        <v>48</v>
      </c>
    </row>
    <row r="47" spans="1:33" x14ac:dyDescent="0.3">
      <c r="A47">
        <v>108</v>
      </c>
      <c r="B47" t="s">
        <v>449</v>
      </c>
      <c r="C47" t="str">
        <f>"1100005681927"</f>
        <v>1100005681927</v>
      </c>
      <c r="D47" t="str">
        <f>"24CNZNR00"</f>
        <v>24CNZNR00</v>
      </c>
      <c r="E47" s="1">
        <v>31293</v>
      </c>
      <c r="F47" t="s">
        <v>450</v>
      </c>
      <c r="G47" t="e">
        <f>INDEX(#REF!,MATCH(P47,#REF!,0),1)</f>
        <v>#REF!</v>
      </c>
      <c r="H47" t="s">
        <v>451</v>
      </c>
      <c r="J47" t="s">
        <v>452</v>
      </c>
      <c r="K47" t="s">
        <v>342</v>
      </c>
      <c r="L47" t="s">
        <v>453</v>
      </c>
      <c r="M47" t="s">
        <v>454</v>
      </c>
      <c r="N47">
        <v>108</v>
      </c>
      <c r="O47" t="s">
        <v>450</v>
      </c>
      <c r="P47">
        <v>108</v>
      </c>
      <c r="Q47" t="s">
        <v>450</v>
      </c>
      <c r="R47" t="s">
        <v>346</v>
      </c>
      <c r="S47" t="s">
        <v>347</v>
      </c>
      <c r="T47" t="s">
        <v>44</v>
      </c>
      <c r="U47" t="s">
        <v>81</v>
      </c>
      <c r="AA47" t="s">
        <v>105</v>
      </c>
      <c r="AE47" t="s">
        <v>348</v>
      </c>
    </row>
    <row r="48" spans="1:33" x14ac:dyDescent="0.3">
      <c r="A48">
        <v>110</v>
      </c>
      <c r="B48" t="s">
        <v>455</v>
      </c>
      <c r="C48" t="str">
        <f>""</f>
        <v/>
      </c>
      <c r="D48" t="str">
        <f>"390880S00"</f>
        <v>390880S00</v>
      </c>
      <c r="E48" s="1">
        <v>31222</v>
      </c>
      <c r="F48" t="s">
        <v>456</v>
      </c>
      <c r="G48" t="e">
        <f>INDEX(#REF!,MATCH(P48,#REF!,0),1)</f>
        <v>#REF!</v>
      </c>
      <c r="H48" t="s">
        <v>457</v>
      </c>
      <c r="J48" t="s">
        <v>458</v>
      </c>
      <c r="K48" t="s">
        <v>167</v>
      </c>
      <c r="L48">
        <v>32561</v>
      </c>
      <c r="M48" t="s">
        <v>459</v>
      </c>
      <c r="N48">
        <v>663</v>
      </c>
      <c r="O48" t="s">
        <v>170</v>
      </c>
      <c r="P48">
        <v>663</v>
      </c>
      <c r="Q48" t="s">
        <v>170</v>
      </c>
      <c r="R48" t="s">
        <v>171</v>
      </c>
      <c r="S48" t="s">
        <v>172</v>
      </c>
      <c r="T48" t="s">
        <v>44</v>
      </c>
      <c r="U48" t="s">
        <v>45</v>
      </c>
      <c r="AE48" t="s">
        <v>72</v>
      </c>
    </row>
    <row r="49" spans="1:31" x14ac:dyDescent="0.3">
      <c r="A49">
        <v>112</v>
      </c>
      <c r="B49" t="s">
        <v>460</v>
      </c>
      <c r="C49" t="str">
        <f>""</f>
        <v/>
      </c>
      <c r="D49" t="str">
        <f>"420540F00"</f>
        <v>420540F00</v>
      </c>
      <c r="E49" s="1">
        <v>42583</v>
      </c>
      <c r="F49" t="s">
        <v>461</v>
      </c>
      <c r="G49" t="e">
        <f>INDEX(#REF!,MATCH(P49,#REF!,0),1)</f>
        <v>#REF!</v>
      </c>
      <c r="H49" t="s">
        <v>462</v>
      </c>
      <c r="J49" t="s">
        <v>463</v>
      </c>
      <c r="K49" t="s">
        <v>307</v>
      </c>
      <c r="L49">
        <v>46140</v>
      </c>
      <c r="M49" t="s">
        <v>464</v>
      </c>
      <c r="N49">
        <v>112</v>
      </c>
      <c r="O49" t="s">
        <v>461</v>
      </c>
      <c r="P49">
        <v>112</v>
      </c>
      <c r="Q49" t="s">
        <v>461</v>
      </c>
      <c r="R49" t="s">
        <v>465</v>
      </c>
      <c r="S49" t="s">
        <v>466</v>
      </c>
      <c r="T49" t="s">
        <v>44</v>
      </c>
      <c r="U49" t="s">
        <v>45</v>
      </c>
    </row>
    <row r="50" spans="1:31" x14ac:dyDescent="0.3">
      <c r="A50">
        <v>113</v>
      </c>
      <c r="B50" t="s">
        <v>467</v>
      </c>
      <c r="C50" t="str">
        <f>"1100002416645"</f>
        <v>1100002416645</v>
      </c>
      <c r="D50" t="str">
        <f>"431130C00"</f>
        <v>431130C00</v>
      </c>
      <c r="E50" s="1">
        <v>44378</v>
      </c>
      <c r="F50" t="s">
        <v>468</v>
      </c>
      <c r="G50" t="e">
        <f>INDEX(#REF!,MATCH(P50,#REF!,0),1)</f>
        <v>#REF!</v>
      </c>
      <c r="H50" t="s">
        <v>469</v>
      </c>
      <c r="I50" t="s">
        <v>470</v>
      </c>
      <c r="J50" t="s">
        <v>471</v>
      </c>
      <c r="K50" t="s">
        <v>342</v>
      </c>
      <c r="L50" t="s">
        <v>472</v>
      </c>
      <c r="M50" t="s">
        <v>473</v>
      </c>
      <c r="N50">
        <v>113</v>
      </c>
      <c r="O50" t="s">
        <v>468</v>
      </c>
      <c r="P50">
        <v>113</v>
      </c>
      <c r="Q50" t="s">
        <v>468</v>
      </c>
      <c r="R50" t="s">
        <v>245</v>
      </c>
      <c r="S50" t="s">
        <v>246</v>
      </c>
      <c r="T50" t="s">
        <v>44</v>
      </c>
      <c r="U50" t="s">
        <v>45</v>
      </c>
    </row>
    <row r="51" spans="1:31" x14ac:dyDescent="0.3">
      <c r="A51">
        <v>114</v>
      </c>
      <c r="B51" t="s">
        <v>474</v>
      </c>
      <c r="C51" t="str">
        <f>""</f>
        <v/>
      </c>
      <c r="D51" t="str">
        <f>"420260E00"</f>
        <v>420260E00</v>
      </c>
      <c r="E51" s="1">
        <v>42583</v>
      </c>
      <c r="F51" t="s">
        <v>475</v>
      </c>
      <c r="G51" t="e">
        <f>INDEX(#REF!,MATCH(P51,#REF!,0),1)</f>
        <v>#REF!</v>
      </c>
      <c r="H51" t="s">
        <v>476</v>
      </c>
      <c r="J51" t="s">
        <v>477</v>
      </c>
      <c r="K51" t="s">
        <v>307</v>
      </c>
      <c r="L51" t="s">
        <v>478</v>
      </c>
      <c r="M51" t="s">
        <v>479</v>
      </c>
      <c r="N51">
        <v>114</v>
      </c>
      <c r="O51" t="s">
        <v>475</v>
      </c>
      <c r="P51">
        <v>114</v>
      </c>
      <c r="Q51" t="s">
        <v>475</v>
      </c>
      <c r="R51" t="s">
        <v>465</v>
      </c>
      <c r="S51" t="s">
        <v>466</v>
      </c>
      <c r="T51" t="s">
        <v>44</v>
      </c>
      <c r="U51" t="s">
        <v>45</v>
      </c>
    </row>
    <row r="52" spans="1:31" x14ac:dyDescent="0.3">
      <c r="A52">
        <v>116</v>
      </c>
      <c r="B52" t="s">
        <v>480</v>
      </c>
      <c r="C52" t="str">
        <f>"1100003714245"</f>
        <v>1100003714245</v>
      </c>
      <c r="D52" t="str">
        <f>"64373TG00"</f>
        <v>64373TG00</v>
      </c>
      <c r="E52" s="1">
        <v>30357</v>
      </c>
      <c r="F52" t="s">
        <v>481</v>
      </c>
      <c r="G52" t="e">
        <f>INDEX(#REF!,MATCH(P52,#REF!,0),1)</f>
        <v>#REF!</v>
      </c>
      <c r="H52" t="s">
        <v>482</v>
      </c>
      <c r="J52" t="s">
        <v>483</v>
      </c>
      <c r="K52" t="s">
        <v>307</v>
      </c>
      <c r="L52">
        <v>46122</v>
      </c>
      <c r="M52" t="s">
        <v>484</v>
      </c>
      <c r="N52">
        <v>116</v>
      </c>
      <c r="O52" t="s">
        <v>481</v>
      </c>
      <c r="P52">
        <v>116</v>
      </c>
      <c r="Q52" t="s">
        <v>481</v>
      </c>
      <c r="R52" t="s">
        <v>310</v>
      </c>
      <c r="S52" t="s">
        <v>311</v>
      </c>
      <c r="T52" t="s">
        <v>44</v>
      </c>
      <c r="U52" t="s">
        <v>45</v>
      </c>
      <c r="AA52" t="s">
        <v>337</v>
      </c>
      <c r="AD52" t="s">
        <v>94</v>
      </c>
      <c r="AE52" t="s">
        <v>404</v>
      </c>
    </row>
    <row r="53" spans="1:31" x14ac:dyDescent="0.3">
      <c r="A53">
        <v>117</v>
      </c>
      <c r="B53" t="s">
        <v>485</v>
      </c>
      <c r="C53" t="str">
        <f>""</f>
        <v/>
      </c>
      <c r="D53" t="str">
        <f>"421130B00"</f>
        <v>421130B00</v>
      </c>
      <c r="E53" s="1">
        <v>30783</v>
      </c>
      <c r="F53" t="s">
        <v>486</v>
      </c>
      <c r="G53" t="e">
        <f>INDEX(#REF!,MATCH(P53,#REF!,0),1)</f>
        <v>#REF!</v>
      </c>
      <c r="H53" t="s">
        <v>487</v>
      </c>
      <c r="J53" t="s">
        <v>488</v>
      </c>
      <c r="K53" t="s">
        <v>307</v>
      </c>
      <c r="L53" t="s">
        <v>489</v>
      </c>
      <c r="M53" t="s">
        <v>490</v>
      </c>
      <c r="N53">
        <v>3087</v>
      </c>
      <c r="O53" t="s">
        <v>491</v>
      </c>
      <c r="P53">
        <v>3087</v>
      </c>
      <c r="Q53" t="s">
        <v>491</v>
      </c>
      <c r="R53" t="s">
        <v>492</v>
      </c>
      <c r="S53" t="s">
        <v>493</v>
      </c>
      <c r="T53" t="s">
        <v>44</v>
      </c>
      <c r="U53" t="s">
        <v>45</v>
      </c>
      <c r="AA53" t="s">
        <v>337</v>
      </c>
      <c r="AD53" t="s">
        <v>94</v>
      </c>
    </row>
    <row r="54" spans="1:31" x14ac:dyDescent="0.3">
      <c r="A54">
        <v>121</v>
      </c>
      <c r="B54" t="s">
        <v>494</v>
      </c>
      <c r="C54" t="str">
        <f>"1100002287993"</f>
        <v>1100002287993</v>
      </c>
      <c r="D54" t="str">
        <f>"933440N00"</f>
        <v>933440N00</v>
      </c>
      <c r="E54" s="1">
        <v>42583</v>
      </c>
      <c r="F54" t="s">
        <v>495</v>
      </c>
      <c r="G54" t="e">
        <f>INDEX(#REF!,MATCH(P54,#REF!,0),1)</f>
        <v>#REF!</v>
      </c>
      <c r="H54" t="s">
        <v>496</v>
      </c>
      <c r="J54" t="s">
        <v>497</v>
      </c>
      <c r="K54" t="s">
        <v>88</v>
      </c>
      <c r="L54">
        <v>92663</v>
      </c>
      <c r="M54" t="s">
        <v>498</v>
      </c>
      <c r="N54">
        <v>121</v>
      </c>
      <c r="O54" t="s">
        <v>495</v>
      </c>
      <c r="P54">
        <v>121</v>
      </c>
      <c r="Q54" t="s">
        <v>495</v>
      </c>
      <c r="R54" t="s">
        <v>499</v>
      </c>
      <c r="S54" t="s">
        <v>500</v>
      </c>
      <c r="T54" t="s">
        <v>44</v>
      </c>
      <c r="U54" t="s">
        <v>45</v>
      </c>
    </row>
    <row r="55" spans="1:31" x14ac:dyDescent="0.3">
      <c r="A55">
        <v>124</v>
      </c>
      <c r="B55" t="s">
        <v>501</v>
      </c>
      <c r="C55" t="str">
        <f>""</f>
        <v/>
      </c>
      <c r="D55" t="str">
        <f>"720420F00"</f>
        <v>720420F00</v>
      </c>
      <c r="E55" s="1">
        <v>31582</v>
      </c>
      <c r="F55" t="s">
        <v>502</v>
      </c>
      <c r="G55" t="e">
        <f>INDEX(#REF!,MATCH(P55,#REF!,0),1)</f>
        <v>#REF!</v>
      </c>
      <c r="H55" t="s">
        <v>503</v>
      </c>
      <c r="J55" t="s">
        <v>504</v>
      </c>
      <c r="K55" t="s">
        <v>353</v>
      </c>
      <c r="L55" t="s">
        <v>505</v>
      </c>
      <c r="M55" t="s">
        <v>506</v>
      </c>
      <c r="N55">
        <v>124</v>
      </c>
      <c r="O55" t="s">
        <v>502</v>
      </c>
      <c r="P55">
        <v>124</v>
      </c>
      <c r="Q55" t="s">
        <v>502</v>
      </c>
      <c r="R55" t="s">
        <v>356</v>
      </c>
      <c r="S55" t="s">
        <v>357</v>
      </c>
      <c r="T55" t="s">
        <v>44</v>
      </c>
      <c r="U55" t="s">
        <v>45</v>
      </c>
      <c r="AA55" t="s">
        <v>93</v>
      </c>
      <c r="AE55" t="s">
        <v>220</v>
      </c>
    </row>
    <row r="56" spans="1:31" x14ac:dyDescent="0.3">
      <c r="A56">
        <v>130</v>
      </c>
      <c r="B56" t="s">
        <v>507</v>
      </c>
      <c r="C56" t="str">
        <f>""</f>
        <v/>
      </c>
      <c r="D56" t="str">
        <f>"391210G00"</f>
        <v>391210G00</v>
      </c>
      <c r="E56" s="1">
        <v>31222</v>
      </c>
      <c r="F56" t="s">
        <v>508</v>
      </c>
      <c r="G56" t="e">
        <f>INDEX(#REF!,MATCH(P56,#REF!,0),1)</f>
        <v>#REF!</v>
      </c>
      <c r="H56" t="s">
        <v>509</v>
      </c>
      <c r="J56" t="s">
        <v>510</v>
      </c>
      <c r="K56" t="s">
        <v>167</v>
      </c>
      <c r="L56" t="s">
        <v>511</v>
      </c>
      <c r="M56" t="s">
        <v>512</v>
      </c>
      <c r="N56">
        <v>663</v>
      </c>
      <c r="O56" t="s">
        <v>170</v>
      </c>
      <c r="P56">
        <v>663</v>
      </c>
      <c r="Q56" t="s">
        <v>170</v>
      </c>
      <c r="R56" t="s">
        <v>171</v>
      </c>
      <c r="S56" t="s">
        <v>172</v>
      </c>
      <c r="T56" t="s">
        <v>44</v>
      </c>
      <c r="U56" t="s">
        <v>45</v>
      </c>
      <c r="AE56" t="s">
        <v>72</v>
      </c>
    </row>
    <row r="57" spans="1:31" x14ac:dyDescent="0.3">
      <c r="A57">
        <v>133</v>
      </c>
      <c r="B57" t="s">
        <v>513</v>
      </c>
      <c r="C57" t="str">
        <f>"1100002983826"</f>
        <v>1100002983826</v>
      </c>
      <c r="D57" t="str">
        <f>"411680K00"</f>
        <v>411680K00</v>
      </c>
      <c r="E57" s="1">
        <v>40652</v>
      </c>
      <c r="F57" t="s">
        <v>514</v>
      </c>
      <c r="G57" t="e">
        <f>INDEX(#REF!,MATCH(P57,#REF!,0),1)</f>
        <v>#REF!</v>
      </c>
      <c r="H57" t="s">
        <v>515</v>
      </c>
      <c r="J57" t="s">
        <v>516</v>
      </c>
      <c r="K57" t="s">
        <v>37</v>
      </c>
      <c r="L57" t="s">
        <v>517</v>
      </c>
      <c r="M57" t="s">
        <v>518</v>
      </c>
      <c r="N57">
        <v>838495</v>
      </c>
      <c r="O57" t="s">
        <v>519</v>
      </c>
      <c r="P57">
        <v>838495</v>
      </c>
      <c r="Q57" t="s">
        <v>519</v>
      </c>
      <c r="R57" t="s">
        <v>520</v>
      </c>
      <c r="S57" t="s">
        <v>521</v>
      </c>
      <c r="T57" t="s">
        <v>44</v>
      </c>
      <c r="U57" t="s">
        <v>45</v>
      </c>
      <c r="AA57" t="s">
        <v>337</v>
      </c>
      <c r="AD57" t="s">
        <v>94</v>
      </c>
      <c r="AE57" t="s">
        <v>404</v>
      </c>
    </row>
    <row r="58" spans="1:31" x14ac:dyDescent="0.3">
      <c r="A58">
        <v>134</v>
      </c>
      <c r="B58" t="s">
        <v>522</v>
      </c>
      <c r="C58" t="str">
        <f>""</f>
        <v/>
      </c>
      <c r="D58" t="str">
        <f>"381970S00"</f>
        <v>381970S00</v>
      </c>
      <c r="E58" s="1">
        <v>30558</v>
      </c>
      <c r="F58" t="s">
        <v>523</v>
      </c>
      <c r="G58" t="e">
        <f>INDEX(#REF!,MATCH(P58,#REF!,0),1)</f>
        <v>#REF!</v>
      </c>
      <c r="H58" t="s">
        <v>524</v>
      </c>
      <c r="J58" t="s">
        <v>525</v>
      </c>
      <c r="K58" t="s">
        <v>99</v>
      </c>
      <c r="L58" t="s">
        <v>526</v>
      </c>
      <c r="M58" t="s">
        <v>527</v>
      </c>
      <c r="N58">
        <v>35682</v>
      </c>
      <c r="O58" t="s">
        <v>528</v>
      </c>
      <c r="P58">
        <v>35682</v>
      </c>
      <c r="Q58" t="s">
        <v>528</v>
      </c>
      <c r="R58" t="s">
        <v>434</v>
      </c>
      <c r="S58" t="s">
        <v>435</v>
      </c>
      <c r="T58" t="s">
        <v>44</v>
      </c>
      <c r="U58" t="s">
        <v>45</v>
      </c>
      <c r="AA58" t="s">
        <v>105</v>
      </c>
      <c r="AE58" t="s">
        <v>106</v>
      </c>
    </row>
    <row r="59" spans="1:31" x14ac:dyDescent="0.3">
      <c r="A59">
        <v>139</v>
      </c>
      <c r="B59" t="s">
        <v>529</v>
      </c>
      <c r="C59" t="str">
        <f>"1100002974909"</f>
        <v>1100002974909</v>
      </c>
      <c r="D59" t="str">
        <f>"820170I00"</f>
        <v>820170I00</v>
      </c>
      <c r="E59" s="1">
        <v>31020</v>
      </c>
      <c r="F59" t="s">
        <v>530</v>
      </c>
      <c r="G59" t="e">
        <f>INDEX(#REF!,MATCH(P59,#REF!,0),1)</f>
        <v>#REF!</v>
      </c>
      <c r="H59" t="s">
        <v>531</v>
      </c>
      <c r="J59" t="s">
        <v>532</v>
      </c>
      <c r="K59" t="s">
        <v>533</v>
      </c>
      <c r="L59" t="s">
        <v>534</v>
      </c>
      <c r="M59" t="s">
        <v>535</v>
      </c>
      <c r="N59">
        <v>139</v>
      </c>
      <c r="O59" t="s">
        <v>530</v>
      </c>
      <c r="P59">
        <v>139</v>
      </c>
      <c r="Q59" t="s">
        <v>530</v>
      </c>
      <c r="R59" t="s">
        <v>536</v>
      </c>
      <c r="S59" t="s">
        <v>537</v>
      </c>
      <c r="T59" t="s">
        <v>44</v>
      </c>
      <c r="U59" t="s">
        <v>45</v>
      </c>
      <c r="AC59" t="s">
        <v>538</v>
      </c>
      <c r="AD59" t="s">
        <v>94</v>
      </c>
      <c r="AE59" t="s">
        <v>539</v>
      </c>
    </row>
    <row r="60" spans="1:31" x14ac:dyDescent="0.3">
      <c r="A60">
        <v>141</v>
      </c>
      <c r="B60" t="s">
        <v>540</v>
      </c>
      <c r="C60" t="str">
        <f>""</f>
        <v/>
      </c>
      <c r="D60" t="str">
        <f>"350470J00"</f>
        <v>350470J00</v>
      </c>
      <c r="E60" s="1">
        <v>30911</v>
      </c>
      <c r="F60" t="s">
        <v>541</v>
      </c>
      <c r="G60" t="e">
        <f>INDEX(#REF!,MATCH(P60,#REF!,0),1)</f>
        <v>#REF!</v>
      </c>
      <c r="H60" t="s">
        <v>542</v>
      </c>
      <c r="J60" t="s">
        <v>543</v>
      </c>
      <c r="K60" t="s">
        <v>235</v>
      </c>
      <c r="L60" t="s">
        <v>544</v>
      </c>
      <c r="M60" t="s">
        <v>545</v>
      </c>
      <c r="N60">
        <v>3789282</v>
      </c>
      <c r="O60" t="s">
        <v>546</v>
      </c>
      <c r="P60">
        <v>3789282</v>
      </c>
      <c r="Q60" t="s">
        <v>546</v>
      </c>
      <c r="R60" t="s">
        <v>237</v>
      </c>
      <c r="S60" t="s">
        <v>238</v>
      </c>
      <c r="T60" t="s">
        <v>44</v>
      </c>
      <c r="U60" t="s">
        <v>45</v>
      </c>
      <c r="AA60" t="s">
        <v>211</v>
      </c>
      <c r="AC60" t="s">
        <v>547</v>
      </c>
    </row>
    <row r="61" spans="1:31" x14ac:dyDescent="0.3">
      <c r="A61">
        <v>142</v>
      </c>
      <c r="B61" t="s">
        <v>548</v>
      </c>
      <c r="C61" t="str">
        <f>"1100005070158"</f>
        <v>1100005070158</v>
      </c>
      <c r="D61" t="str">
        <f>"431570K00"</f>
        <v>431570K00</v>
      </c>
      <c r="E61" s="1">
        <v>31964</v>
      </c>
      <c r="F61" t="s">
        <v>549</v>
      </c>
      <c r="G61" t="e">
        <f>INDEX(#REF!,MATCH(P61,#REF!,0),1)</f>
        <v>#REF!</v>
      </c>
      <c r="H61" t="s">
        <v>550</v>
      </c>
      <c r="J61" t="s">
        <v>551</v>
      </c>
      <c r="K61" t="s">
        <v>342</v>
      </c>
      <c r="L61" t="s">
        <v>552</v>
      </c>
      <c r="M61" t="s">
        <v>553</v>
      </c>
      <c r="N61">
        <v>90</v>
      </c>
      <c r="O61" t="s">
        <v>391</v>
      </c>
      <c r="P61">
        <v>4168342</v>
      </c>
      <c r="Q61" t="s">
        <v>442</v>
      </c>
      <c r="R61" t="s">
        <v>396</v>
      </c>
      <c r="S61" t="s">
        <v>397</v>
      </c>
      <c r="T61" t="s">
        <v>44</v>
      </c>
      <c r="U61" t="s">
        <v>45</v>
      </c>
      <c r="AA61" t="s">
        <v>119</v>
      </c>
      <c r="AE61" t="s">
        <v>120</v>
      </c>
    </row>
    <row r="62" spans="1:31" x14ac:dyDescent="0.3">
      <c r="A62">
        <v>144</v>
      </c>
      <c r="B62" t="s">
        <v>554</v>
      </c>
      <c r="C62" t="str">
        <f>"1100007203097"</f>
        <v>1100007203097</v>
      </c>
      <c r="D62" t="str">
        <f>"231210900"</f>
        <v>231210900</v>
      </c>
      <c r="E62" s="1">
        <v>40924</v>
      </c>
      <c r="F62" t="s">
        <v>555</v>
      </c>
      <c r="G62" t="e">
        <f>INDEX(#REF!,MATCH(P62,#REF!,0),1)</f>
        <v>#REF!</v>
      </c>
      <c r="H62" t="s">
        <v>556</v>
      </c>
      <c r="J62" t="s">
        <v>557</v>
      </c>
      <c r="K62" t="s">
        <v>65</v>
      </c>
      <c r="L62" t="s">
        <v>558</v>
      </c>
      <c r="M62" t="s">
        <v>559</v>
      </c>
      <c r="N62">
        <v>4245201</v>
      </c>
      <c r="O62" t="s">
        <v>560</v>
      </c>
      <c r="P62">
        <v>72014</v>
      </c>
      <c r="Q62" t="s">
        <v>561</v>
      </c>
      <c r="R62" t="s">
        <v>562</v>
      </c>
      <c r="S62" t="s">
        <v>563</v>
      </c>
      <c r="T62" t="s">
        <v>44</v>
      </c>
      <c r="U62" t="s">
        <v>45</v>
      </c>
      <c r="AA62" t="s">
        <v>119</v>
      </c>
      <c r="AE62" t="s">
        <v>564</v>
      </c>
    </row>
    <row r="63" spans="1:31" x14ac:dyDescent="0.3">
      <c r="A63">
        <v>145</v>
      </c>
      <c r="B63" t="s">
        <v>565</v>
      </c>
      <c r="C63" t="str">
        <f>"1100004335456"</f>
        <v>1100004335456</v>
      </c>
      <c r="D63" t="str">
        <f>"391370N00"</f>
        <v>391370N00</v>
      </c>
      <c r="E63" s="1">
        <v>28417</v>
      </c>
      <c r="F63" t="s">
        <v>566</v>
      </c>
      <c r="G63" t="e">
        <f>INDEX(#REF!,MATCH(P63,#REF!,0),1)</f>
        <v>#REF!</v>
      </c>
      <c r="H63" t="s">
        <v>567</v>
      </c>
      <c r="I63" t="s">
        <v>259</v>
      </c>
      <c r="J63" t="s">
        <v>568</v>
      </c>
      <c r="K63" t="s">
        <v>167</v>
      </c>
      <c r="L63">
        <v>33805</v>
      </c>
      <c r="M63" t="s">
        <v>569</v>
      </c>
      <c r="N63">
        <v>77914</v>
      </c>
      <c r="O63" t="s">
        <v>570</v>
      </c>
      <c r="P63">
        <v>77914</v>
      </c>
      <c r="Q63" t="s">
        <v>570</v>
      </c>
      <c r="R63" t="s">
        <v>571</v>
      </c>
      <c r="S63" t="s">
        <v>572</v>
      </c>
      <c r="T63" t="s">
        <v>44</v>
      </c>
      <c r="U63" t="s">
        <v>45</v>
      </c>
      <c r="AA63" t="s">
        <v>119</v>
      </c>
      <c r="AC63" t="s">
        <v>203</v>
      </c>
      <c r="AE63" t="s">
        <v>120</v>
      </c>
    </row>
    <row r="64" spans="1:31" x14ac:dyDescent="0.3">
      <c r="A64">
        <v>148</v>
      </c>
      <c r="B64" t="s">
        <v>573</v>
      </c>
      <c r="C64" t="str">
        <f>""</f>
        <v/>
      </c>
      <c r="D64" t="str">
        <f>"5AG6YKJ00"</f>
        <v>5AG6YKJ00</v>
      </c>
      <c r="E64" s="1">
        <v>42583</v>
      </c>
      <c r="F64" t="s">
        <v>574</v>
      </c>
      <c r="G64" t="e">
        <f>INDEX(#REF!,MATCH(P64,#REF!,0),1)</f>
        <v>#REF!</v>
      </c>
      <c r="H64" t="s">
        <v>575</v>
      </c>
      <c r="J64" t="s">
        <v>576</v>
      </c>
      <c r="K64" t="s">
        <v>577</v>
      </c>
      <c r="L64" t="s">
        <v>578</v>
      </c>
      <c r="M64" t="s">
        <v>579</v>
      </c>
      <c r="N64">
        <v>2289159</v>
      </c>
      <c r="O64" t="s">
        <v>580</v>
      </c>
      <c r="P64">
        <v>2289159</v>
      </c>
      <c r="Q64" t="s">
        <v>580</v>
      </c>
      <c r="R64" t="s">
        <v>245</v>
      </c>
      <c r="S64" t="s">
        <v>246</v>
      </c>
      <c r="T64" t="s">
        <v>44</v>
      </c>
      <c r="U64" t="s">
        <v>81</v>
      </c>
    </row>
    <row r="65" spans="1:33" x14ac:dyDescent="0.3">
      <c r="A65">
        <v>149</v>
      </c>
      <c r="B65" t="s">
        <v>581</v>
      </c>
      <c r="C65" t="str">
        <f>"1100002813697"</f>
        <v>1100002813697</v>
      </c>
      <c r="D65" t="str">
        <f>"340680L00"</f>
        <v>340680L00</v>
      </c>
      <c r="E65" s="1">
        <v>30938</v>
      </c>
      <c r="F65" t="s">
        <v>582</v>
      </c>
      <c r="G65" t="e">
        <f>INDEX(#REF!,MATCH(P65,#REF!,0),1)</f>
        <v>#REF!</v>
      </c>
      <c r="H65" t="s">
        <v>583</v>
      </c>
      <c r="J65" t="s">
        <v>584</v>
      </c>
      <c r="K65" t="s">
        <v>77</v>
      </c>
      <c r="L65" t="s">
        <v>585</v>
      </c>
      <c r="M65" t="s">
        <v>586</v>
      </c>
      <c r="N65">
        <v>1372</v>
      </c>
      <c r="O65" t="s">
        <v>587</v>
      </c>
      <c r="P65">
        <v>1372</v>
      </c>
      <c r="Q65" t="s">
        <v>587</v>
      </c>
      <c r="R65" t="s">
        <v>588</v>
      </c>
      <c r="S65" t="s">
        <v>589</v>
      </c>
      <c r="T65" t="s">
        <v>44</v>
      </c>
      <c r="U65" t="s">
        <v>45</v>
      </c>
      <c r="AA65" t="s">
        <v>119</v>
      </c>
      <c r="AC65" t="s">
        <v>590</v>
      </c>
      <c r="AE65" t="s">
        <v>591</v>
      </c>
    </row>
    <row r="66" spans="1:33" x14ac:dyDescent="0.3">
      <c r="A66">
        <v>150</v>
      </c>
      <c r="B66" t="s">
        <v>592</v>
      </c>
      <c r="C66" t="str">
        <f>"1100004373120"</f>
        <v>1100004373120</v>
      </c>
      <c r="D66" t="str">
        <f>"432210C00"</f>
        <v>432210C00</v>
      </c>
      <c r="E66" s="1">
        <v>44470</v>
      </c>
      <c r="F66" t="s">
        <v>593</v>
      </c>
      <c r="G66" t="e">
        <f>INDEX(#REF!,MATCH(P66,#REF!,0),1)</f>
        <v>#REF!</v>
      </c>
      <c r="H66" t="s">
        <v>594</v>
      </c>
      <c r="J66" t="s">
        <v>595</v>
      </c>
      <c r="K66" t="s">
        <v>342</v>
      </c>
      <c r="L66" t="s">
        <v>596</v>
      </c>
      <c r="M66" t="s">
        <v>597</v>
      </c>
      <c r="N66">
        <v>2624461</v>
      </c>
      <c r="O66" t="s">
        <v>598</v>
      </c>
      <c r="P66">
        <v>2624461</v>
      </c>
      <c r="Q66" t="s">
        <v>598</v>
      </c>
      <c r="R66" t="s">
        <v>492</v>
      </c>
      <c r="S66" t="s">
        <v>493</v>
      </c>
      <c r="T66" t="s">
        <v>44</v>
      </c>
      <c r="U66" t="s">
        <v>45</v>
      </c>
    </row>
    <row r="67" spans="1:33" x14ac:dyDescent="0.3">
      <c r="A67">
        <v>151</v>
      </c>
      <c r="B67" t="s">
        <v>599</v>
      </c>
      <c r="C67" t="str">
        <f>""</f>
        <v/>
      </c>
      <c r="D67" t="str">
        <f>"0JVQ7P000"</f>
        <v>0JVQ7P000</v>
      </c>
      <c r="E67" s="1">
        <v>30938</v>
      </c>
      <c r="F67" t="s">
        <v>600</v>
      </c>
      <c r="G67" t="e">
        <f>INDEX(#REF!,MATCH(P67,#REF!,0),1)</f>
        <v>#REF!</v>
      </c>
      <c r="H67" t="s">
        <v>601</v>
      </c>
      <c r="J67" t="s">
        <v>602</v>
      </c>
      <c r="K67" t="s">
        <v>77</v>
      </c>
      <c r="L67">
        <v>22911</v>
      </c>
      <c r="M67" t="s">
        <v>603</v>
      </c>
      <c r="N67">
        <v>9</v>
      </c>
      <c r="O67" t="s">
        <v>74</v>
      </c>
      <c r="P67">
        <v>9</v>
      </c>
      <c r="Q67" t="s">
        <v>74</v>
      </c>
      <c r="R67" t="s">
        <v>79</v>
      </c>
      <c r="S67" t="s">
        <v>80</v>
      </c>
      <c r="T67" t="s">
        <v>44</v>
      </c>
      <c r="U67" t="s">
        <v>45</v>
      </c>
      <c r="AA67" t="s">
        <v>82</v>
      </c>
      <c r="AE67" t="s">
        <v>83</v>
      </c>
      <c r="AG67" t="s">
        <v>48</v>
      </c>
    </row>
    <row r="68" spans="1:33" x14ac:dyDescent="0.3">
      <c r="A68">
        <v>152</v>
      </c>
      <c r="B68" t="s">
        <v>604</v>
      </c>
      <c r="C68" t="str">
        <f>""</f>
        <v/>
      </c>
      <c r="D68" t="str">
        <f>"450660L00"</f>
        <v>450660L00</v>
      </c>
      <c r="E68" s="1">
        <v>43405</v>
      </c>
      <c r="F68" t="s">
        <v>605</v>
      </c>
      <c r="G68" t="e">
        <f>INDEX(#REF!,MATCH(P68,#REF!,0),1)</f>
        <v>#REF!</v>
      </c>
      <c r="H68" t="s">
        <v>606</v>
      </c>
      <c r="J68" t="s">
        <v>607</v>
      </c>
      <c r="K68" t="s">
        <v>208</v>
      </c>
      <c r="L68" t="s">
        <v>608</v>
      </c>
      <c r="M68" t="s">
        <v>609</v>
      </c>
      <c r="N68">
        <v>40357</v>
      </c>
      <c r="O68" t="s">
        <v>610</v>
      </c>
      <c r="P68">
        <v>40357</v>
      </c>
      <c r="Q68" t="s">
        <v>610</v>
      </c>
      <c r="R68" t="s">
        <v>611</v>
      </c>
      <c r="S68" t="s">
        <v>612</v>
      </c>
      <c r="T68" t="s">
        <v>44</v>
      </c>
      <c r="U68" t="s">
        <v>45</v>
      </c>
      <c r="AD68" t="s">
        <v>94</v>
      </c>
      <c r="AE68" t="s">
        <v>186</v>
      </c>
    </row>
    <row r="69" spans="1:33" x14ac:dyDescent="0.3">
      <c r="A69">
        <v>153</v>
      </c>
      <c r="B69" t="s">
        <v>613</v>
      </c>
      <c r="C69" t="str">
        <f>""</f>
        <v/>
      </c>
      <c r="D69" t="str">
        <f>"421310B00"</f>
        <v>421310B00</v>
      </c>
      <c r="E69" s="1">
        <v>30468</v>
      </c>
      <c r="F69" t="s">
        <v>614</v>
      </c>
      <c r="G69" t="e">
        <f>INDEX(#REF!,MATCH(P69,#REF!,0),1)</f>
        <v>#REF!</v>
      </c>
      <c r="H69" t="s">
        <v>615</v>
      </c>
      <c r="J69" t="s">
        <v>616</v>
      </c>
      <c r="K69" t="s">
        <v>307</v>
      </c>
      <c r="L69" t="s">
        <v>617</v>
      </c>
      <c r="M69" t="s">
        <v>618</v>
      </c>
      <c r="N69">
        <v>153</v>
      </c>
      <c r="O69" t="s">
        <v>614</v>
      </c>
      <c r="P69">
        <v>153</v>
      </c>
      <c r="Q69" t="s">
        <v>614</v>
      </c>
      <c r="R69" t="s">
        <v>465</v>
      </c>
      <c r="S69" t="s">
        <v>466</v>
      </c>
      <c r="T69" t="s">
        <v>44</v>
      </c>
      <c r="U69" t="s">
        <v>45</v>
      </c>
      <c r="AA69" t="s">
        <v>337</v>
      </c>
      <c r="AD69" t="s">
        <v>94</v>
      </c>
      <c r="AE69" t="s">
        <v>404</v>
      </c>
    </row>
    <row r="70" spans="1:33" x14ac:dyDescent="0.3">
      <c r="A70">
        <v>154</v>
      </c>
      <c r="B70" t="s">
        <v>619</v>
      </c>
      <c r="C70" t="str">
        <f>""</f>
        <v/>
      </c>
      <c r="D70" t="str">
        <f>"340440FGK"</f>
        <v>340440FGK</v>
      </c>
      <c r="E70" s="1">
        <v>30911</v>
      </c>
      <c r="F70" t="s">
        <v>620</v>
      </c>
      <c r="G70" t="e">
        <f>INDEX(#REF!,MATCH(P70,#REF!,0),1)</f>
        <v>#REF!</v>
      </c>
      <c r="H70" t="s">
        <v>621</v>
      </c>
      <c r="J70" t="s">
        <v>622</v>
      </c>
      <c r="K70" t="s">
        <v>77</v>
      </c>
      <c r="L70" t="s">
        <v>623</v>
      </c>
      <c r="M70" t="s">
        <v>624</v>
      </c>
      <c r="N70">
        <v>1131</v>
      </c>
      <c r="O70" t="s">
        <v>625</v>
      </c>
      <c r="P70">
        <v>1131</v>
      </c>
      <c r="Q70" t="s">
        <v>625</v>
      </c>
      <c r="R70" t="s">
        <v>171</v>
      </c>
      <c r="S70" t="s">
        <v>172</v>
      </c>
      <c r="T70" t="s">
        <v>44</v>
      </c>
      <c r="U70" t="s">
        <v>45</v>
      </c>
      <c r="AC70" t="s">
        <v>590</v>
      </c>
      <c r="AD70" t="s">
        <v>94</v>
      </c>
      <c r="AE70" t="s">
        <v>591</v>
      </c>
    </row>
    <row r="71" spans="1:33" x14ac:dyDescent="0.3">
      <c r="A71">
        <v>155</v>
      </c>
      <c r="B71" t="s">
        <v>626</v>
      </c>
      <c r="C71" t="str">
        <f>"1100004735782"</f>
        <v>1100004735782</v>
      </c>
      <c r="D71" t="str">
        <f>"120170B00"</f>
        <v>120170B00</v>
      </c>
      <c r="E71" s="1">
        <v>30596</v>
      </c>
      <c r="F71" t="s">
        <v>55</v>
      </c>
      <c r="G71" t="e">
        <f>INDEX(#REF!,MATCH(P71,#REF!,0),1)</f>
        <v>#REF!</v>
      </c>
      <c r="H71" t="s">
        <v>627</v>
      </c>
      <c r="J71" t="s">
        <v>52</v>
      </c>
      <c r="K71" t="s">
        <v>53</v>
      </c>
      <c r="L71" t="str">
        <f>"03756-1000"</f>
        <v>03756-1000</v>
      </c>
      <c r="M71" t="s">
        <v>628</v>
      </c>
      <c r="N71">
        <v>155</v>
      </c>
      <c r="O71" t="s">
        <v>55</v>
      </c>
      <c r="P71">
        <v>155</v>
      </c>
      <c r="Q71" t="s">
        <v>55</v>
      </c>
      <c r="R71" t="s">
        <v>56</v>
      </c>
      <c r="S71" t="s">
        <v>57</v>
      </c>
      <c r="T71" t="s">
        <v>44</v>
      </c>
      <c r="U71" t="s">
        <v>45</v>
      </c>
      <c r="AA71" t="s">
        <v>58</v>
      </c>
      <c r="AE71" t="s">
        <v>60</v>
      </c>
      <c r="AG71" t="s">
        <v>48</v>
      </c>
    </row>
    <row r="72" spans="1:33" x14ac:dyDescent="0.3">
      <c r="A72">
        <v>161</v>
      </c>
      <c r="B72" t="s">
        <v>629</v>
      </c>
      <c r="C72" t="str">
        <f>"1100002883164"</f>
        <v>1100002883164</v>
      </c>
      <c r="D72" t="str">
        <f>"C65FMD100"</f>
        <v>C65FMD100</v>
      </c>
      <c r="E72" s="1">
        <v>28417</v>
      </c>
      <c r="F72" t="s">
        <v>630</v>
      </c>
      <c r="G72" t="e">
        <f>INDEX(#REF!,MATCH(P72,#REF!,0),1)</f>
        <v>#REF!</v>
      </c>
      <c r="H72" t="s">
        <v>631</v>
      </c>
      <c r="J72" t="s">
        <v>632</v>
      </c>
      <c r="K72" t="s">
        <v>37</v>
      </c>
      <c r="L72" t="s">
        <v>633</v>
      </c>
      <c r="M72" t="s">
        <v>634</v>
      </c>
      <c r="N72">
        <v>707715</v>
      </c>
      <c r="O72" t="s">
        <v>635</v>
      </c>
      <c r="P72">
        <v>707715</v>
      </c>
      <c r="Q72" t="s">
        <v>635</v>
      </c>
      <c r="R72" t="s">
        <v>520</v>
      </c>
      <c r="S72" t="s">
        <v>521</v>
      </c>
      <c r="T72" t="s">
        <v>44</v>
      </c>
      <c r="U72" t="s">
        <v>81</v>
      </c>
      <c r="AA72" t="s">
        <v>58</v>
      </c>
      <c r="AC72" t="s">
        <v>635</v>
      </c>
      <c r="AG72" t="s">
        <v>48</v>
      </c>
    </row>
    <row r="73" spans="1:33" x14ac:dyDescent="0.3">
      <c r="A73">
        <v>162</v>
      </c>
      <c r="B73" t="s">
        <v>636</v>
      </c>
      <c r="C73" t="str">
        <f>"1100094141289"</f>
        <v>1100094141289</v>
      </c>
      <c r="D73" t="str">
        <f>"420780L00"</f>
        <v>420780L00</v>
      </c>
      <c r="E73" s="1">
        <v>40823</v>
      </c>
      <c r="F73" t="s">
        <v>637</v>
      </c>
      <c r="G73" t="e">
        <f>INDEX(#REF!,MATCH(P73,#REF!,0),1)</f>
        <v>#REF!</v>
      </c>
      <c r="H73" t="s">
        <v>638</v>
      </c>
      <c r="J73" t="s">
        <v>639</v>
      </c>
      <c r="K73" t="s">
        <v>307</v>
      </c>
      <c r="L73" t="s">
        <v>640</v>
      </c>
      <c r="M73" t="s">
        <v>641</v>
      </c>
      <c r="N73">
        <v>75</v>
      </c>
      <c r="O73" t="s">
        <v>330</v>
      </c>
      <c r="P73">
        <v>75</v>
      </c>
      <c r="Q73" t="s">
        <v>330</v>
      </c>
      <c r="R73" t="s">
        <v>335</v>
      </c>
      <c r="S73" t="s">
        <v>336</v>
      </c>
      <c r="T73" t="s">
        <v>44</v>
      </c>
      <c r="U73" t="s">
        <v>45</v>
      </c>
      <c r="AA73" t="s">
        <v>337</v>
      </c>
      <c r="AD73" t="s">
        <v>94</v>
      </c>
      <c r="AE73" t="s">
        <v>269</v>
      </c>
    </row>
    <row r="74" spans="1:33" x14ac:dyDescent="0.3">
      <c r="A74">
        <v>163</v>
      </c>
      <c r="B74" t="s">
        <v>642</v>
      </c>
      <c r="C74" t="str">
        <f>""</f>
        <v/>
      </c>
      <c r="D74" t="str">
        <f>"450770N00"</f>
        <v>450770N00</v>
      </c>
      <c r="E74" s="1">
        <v>38991</v>
      </c>
      <c r="F74" t="s">
        <v>643</v>
      </c>
      <c r="G74" t="e">
        <f>INDEX(#REF!,MATCH(P74,#REF!,0),1)</f>
        <v>#REF!</v>
      </c>
      <c r="H74" t="s">
        <v>644</v>
      </c>
      <c r="J74" t="s">
        <v>645</v>
      </c>
      <c r="K74" t="s">
        <v>208</v>
      </c>
      <c r="L74" t="s">
        <v>646</v>
      </c>
      <c r="M74" t="s">
        <v>647</v>
      </c>
      <c r="N74">
        <v>722704</v>
      </c>
      <c r="O74" t="s">
        <v>648</v>
      </c>
      <c r="P74">
        <v>722704</v>
      </c>
      <c r="Q74" t="s">
        <v>648</v>
      </c>
      <c r="R74" t="s">
        <v>649</v>
      </c>
      <c r="S74" t="s">
        <v>650</v>
      </c>
      <c r="T74" t="s">
        <v>44</v>
      </c>
      <c r="U74" t="s">
        <v>45</v>
      </c>
      <c r="AA74" t="s">
        <v>119</v>
      </c>
      <c r="AE74" t="s">
        <v>120</v>
      </c>
    </row>
    <row r="75" spans="1:33" x14ac:dyDescent="0.3">
      <c r="A75">
        <v>164</v>
      </c>
      <c r="B75" t="s">
        <v>651</v>
      </c>
      <c r="C75" t="str">
        <f>""</f>
        <v/>
      </c>
      <c r="D75" t="str">
        <f>"41ECD5D00"</f>
        <v>41ECD5D00</v>
      </c>
      <c r="E75" s="1">
        <v>31367</v>
      </c>
      <c r="F75" t="s">
        <v>652</v>
      </c>
      <c r="G75" t="e">
        <f>INDEX(#REF!,MATCH(P75,#REF!,0),1)</f>
        <v>#REF!</v>
      </c>
      <c r="H75" t="s">
        <v>653</v>
      </c>
      <c r="J75" t="s">
        <v>654</v>
      </c>
      <c r="K75" t="s">
        <v>53</v>
      </c>
      <c r="L75" t="str">
        <f>"03060-3925"</f>
        <v>03060-3925</v>
      </c>
      <c r="M75" t="s">
        <v>655</v>
      </c>
      <c r="N75">
        <v>3544510</v>
      </c>
      <c r="O75" t="s">
        <v>656</v>
      </c>
      <c r="P75">
        <v>50415</v>
      </c>
      <c r="Q75" t="s">
        <v>657</v>
      </c>
      <c r="R75" t="s">
        <v>658</v>
      </c>
      <c r="S75" t="s">
        <v>659</v>
      </c>
      <c r="T75" t="s">
        <v>44</v>
      </c>
      <c r="U75" t="s">
        <v>45</v>
      </c>
      <c r="AA75" t="s">
        <v>58</v>
      </c>
      <c r="AE75" t="s">
        <v>60</v>
      </c>
    </row>
    <row r="76" spans="1:33" x14ac:dyDescent="0.3">
      <c r="A76">
        <v>168</v>
      </c>
      <c r="B76" t="s">
        <v>660</v>
      </c>
      <c r="C76" t="str">
        <f>""</f>
        <v/>
      </c>
      <c r="D76" t="str">
        <f>"F7FRP9Q00"</f>
        <v>F7FRP9Q00</v>
      </c>
      <c r="E76" s="1">
        <v>29621</v>
      </c>
      <c r="F76" t="s">
        <v>661</v>
      </c>
      <c r="G76" t="e">
        <f>INDEX(#REF!,MATCH(P76,#REF!,0),1)</f>
        <v>#REF!</v>
      </c>
      <c r="H76" t="s">
        <v>662</v>
      </c>
      <c r="J76" t="s">
        <v>663</v>
      </c>
      <c r="K76" t="s">
        <v>111</v>
      </c>
      <c r="L76" t="s">
        <v>664</v>
      </c>
      <c r="M76" t="s">
        <v>665</v>
      </c>
      <c r="N76">
        <v>28</v>
      </c>
      <c r="O76" t="s">
        <v>114</v>
      </c>
      <c r="P76">
        <v>28</v>
      </c>
      <c r="Q76" t="s">
        <v>114</v>
      </c>
      <c r="R76" t="s">
        <v>115</v>
      </c>
      <c r="S76" t="s">
        <v>116</v>
      </c>
      <c r="T76" t="s">
        <v>44</v>
      </c>
      <c r="U76" t="s">
        <v>45</v>
      </c>
      <c r="AA76" t="s">
        <v>119</v>
      </c>
      <c r="AE76" t="s">
        <v>120</v>
      </c>
    </row>
    <row r="77" spans="1:33" x14ac:dyDescent="0.3">
      <c r="A77">
        <v>169</v>
      </c>
      <c r="B77" t="s">
        <v>666</v>
      </c>
      <c r="C77" t="str">
        <f>""</f>
        <v/>
      </c>
      <c r="D77" t="str">
        <f>"720860N00"</f>
        <v>720860N00</v>
      </c>
      <c r="E77" s="1">
        <v>30945</v>
      </c>
      <c r="F77" t="s">
        <v>667</v>
      </c>
      <c r="G77" t="e">
        <f>INDEX(#REF!,MATCH(P77,#REF!,0),1)</f>
        <v>#REF!</v>
      </c>
      <c r="H77" t="s">
        <v>668</v>
      </c>
      <c r="J77" t="s">
        <v>669</v>
      </c>
      <c r="K77" t="s">
        <v>353</v>
      </c>
      <c r="L77">
        <v>70508</v>
      </c>
      <c r="M77" t="s">
        <v>670</v>
      </c>
      <c r="N77">
        <v>73818</v>
      </c>
      <c r="O77" t="s">
        <v>671</v>
      </c>
      <c r="P77">
        <v>73818</v>
      </c>
      <c r="Q77" t="s">
        <v>671</v>
      </c>
      <c r="R77" t="s">
        <v>356</v>
      </c>
      <c r="S77" t="s">
        <v>357</v>
      </c>
      <c r="T77" t="s">
        <v>44</v>
      </c>
      <c r="U77" t="s">
        <v>45</v>
      </c>
    </row>
    <row r="78" spans="1:33" x14ac:dyDescent="0.3">
      <c r="A78">
        <v>170</v>
      </c>
      <c r="B78" t="s">
        <v>672</v>
      </c>
      <c r="C78" t="str">
        <f>"1100004721884"</f>
        <v>1100004721884</v>
      </c>
      <c r="D78" t="str">
        <f>"124NRN800"</f>
        <v>124NRN800</v>
      </c>
      <c r="E78" s="1">
        <v>28417</v>
      </c>
      <c r="F78" t="s">
        <v>673</v>
      </c>
      <c r="G78" t="e">
        <f>INDEX(#REF!,MATCH(P78,#REF!,0),1)</f>
        <v>#REF!</v>
      </c>
      <c r="H78" t="s">
        <v>674</v>
      </c>
      <c r="J78" t="s">
        <v>675</v>
      </c>
      <c r="K78" t="s">
        <v>676</v>
      </c>
      <c r="L78" t="s">
        <v>677</v>
      </c>
      <c r="M78" t="s">
        <v>678</v>
      </c>
      <c r="N78">
        <v>170</v>
      </c>
      <c r="O78" t="s">
        <v>673</v>
      </c>
      <c r="P78">
        <v>170</v>
      </c>
      <c r="Q78" t="s">
        <v>673</v>
      </c>
      <c r="R78" t="s">
        <v>679</v>
      </c>
      <c r="S78" t="s">
        <v>680</v>
      </c>
      <c r="T78" t="s">
        <v>44</v>
      </c>
      <c r="U78" t="s">
        <v>81</v>
      </c>
      <c r="AA78" t="s">
        <v>105</v>
      </c>
      <c r="AE78" t="s">
        <v>106</v>
      </c>
      <c r="AG78" t="s">
        <v>48</v>
      </c>
    </row>
    <row r="79" spans="1:33" x14ac:dyDescent="0.3">
      <c r="A79">
        <v>171</v>
      </c>
      <c r="B79" t="s">
        <v>681</v>
      </c>
      <c r="C79" t="str">
        <f>"1100004087225"</f>
        <v>1100004087225</v>
      </c>
      <c r="D79" t="str">
        <f>"442140F00"</f>
        <v>442140F00</v>
      </c>
      <c r="E79" s="1">
        <v>30868</v>
      </c>
      <c r="F79" t="s">
        <v>682</v>
      </c>
      <c r="G79" t="e">
        <f>INDEX(#REF!,MATCH(P79,#REF!,0),1)</f>
        <v>#REF!</v>
      </c>
      <c r="H79" t="s">
        <v>683</v>
      </c>
      <c r="I79" t="s">
        <v>259</v>
      </c>
      <c r="J79" t="s">
        <v>684</v>
      </c>
      <c r="K79" t="s">
        <v>261</v>
      </c>
      <c r="L79" t="s">
        <v>685</v>
      </c>
      <c r="M79" t="s">
        <v>686</v>
      </c>
      <c r="N79">
        <v>4168349</v>
      </c>
      <c r="O79" t="s">
        <v>264</v>
      </c>
      <c r="P79">
        <v>7852</v>
      </c>
      <c r="Q79" t="s">
        <v>687</v>
      </c>
      <c r="R79" t="s">
        <v>266</v>
      </c>
      <c r="S79" t="s">
        <v>267</v>
      </c>
      <c r="T79" t="s">
        <v>44</v>
      </c>
      <c r="U79" t="s">
        <v>45</v>
      </c>
      <c r="Y79" t="s">
        <v>46</v>
      </c>
      <c r="Z79" s="1">
        <v>44835</v>
      </c>
      <c r="AC79" t="s">
        <v>268</v>
      </c>
      <c r="AE79" t="s">
        <v>269</v>
      </c>
      <c r="AG79" t="s">
        <v>48</v>
      </c>
    </row>
    <row r="80" spans="1:33" x14ac:dyDescent="0.3">
      <c r="A80">
        <v>172</v>
      </c>
      <c r="B80" t="s">
        <v>688</v>
      </c>
      <c r="C80" t="str">
        <f>"1100003972676"</f>
        <v>1100003972676</v>
      </c>
      <c r="D80" t="str">
        <f>"743120H00"</f>
        <v>743120H00</v>
      </c>
      <c r="E80" s="1">
        <v>28417</v>
      </c>
      <c r="F80" t="s">
        <v>689</v>
      </c>
      <c r="G80" t="e">
        <f>INDEX(#REF!,MATCH(P80,#REF!,0),1)</f>
        <v>#REF!</v>
      </c>
      <c r="H80" t="s">
        <v>690</v>
      </c>
      <c r="J80" t="s">
        <v>675</v>
      </c>
      <c r="K80" t="s">
        <v>676</v>
      </c>
      <c r="L80" t="s">
        <v>691</v>
      </c>
      <c r="M80" t="s">
        <v>692</v>
      </c>
      <c r="N80">
        <v>170</v>
      </c>
      <c r="O80" t="s">
        <v>673</v>
      </c>
      <c r="P80">
        <v>170</v>
      </c>
      <c r="Q80" t="s">
        <v>673</v>
      </c>
      <c r="R80" t="s">
        <v>679</v>
      </c>
      <c r="S80" t="s">
        <v>680</v>
      </c>
      <c r="T80" t="s">
        <v>44</v>
      </c>
      <c r="U80" t="s">
        <v>45</v>
      </c>
      <c r="AA80" t="s">
        <v>105</v>
      </c>
      <c r="AE80" t="s">
        <v>106</v>
      </c>
      <c r="AG80" t="s">
        <v>48</v>
      </c>
    </row>
    <row r="81" spans="1:33" x14ac:dyDescent="0.3">
      <c r="A81">
        <v>174</v>
      </c>
      <c r="B81" t="s">
        <v>693</v>
      </c>
      <c r="C81" t="str">
        <f>"1100005309098"</f>
        <v>1100005309098</v>
      </c>
      <c r="D81" t="str">
        <f>"710580L00"</f>
        <v>710580L00</v>
      </c>
      <c r="E81" s="1">
        <v>30864</v>
      </c>
      <c r="F81" t="s">
        <v>694</v>
      </c>
      <c r="G81" t="e">
        <f>INDEX(#REF!,MATCH(P81,#REF!,0),1)</f>
        <v>#REF!</v>
      </c>
      <c r="H81" t="s">
        <v>695</v>
      </c>
      <c r="J81" t="s">
        <v>696</v>
      </c>
      <c r="K81" t="s">
        <v>111</v>
      </c>
      <c r="L81">
        <v>72401</v>
      </c>
      <c r="M81" t="s">
        <v>697</v>
      </c>
      <c r="N81">
        <v>174</v>
      </c>
      <c r="O81" t="s">
        <v>694</v>
      </c>
      <c r="P81">
        <v>174</v>
      </c>
      <c r="Q81" t="s">
        <v>694</v>
      </c>
      <c r="R81" t="s">
        <v>115</v>
      </c>
      <c r="S81" t="s">
        <v>116</v>
      </c>
      <c r="T81" t="s">
        <v>44</v>
      </c>
      <c r="U81" t="s">
        <v>45</v>
      </c>
      <c r="AA81" t="s">
        <v>119</v>
      </c>
      <c r="AE81" t="s">
        <v>120</v>
      </c>
    </row>
    <row r="82" spans="1:33" x14ac:dyDescent="0.3">
      <c r="A82">
        <v>175</v>
      </c>
      <c r="B82" t="s">
        <v>698</v>
      </c>
      <c r="C82" t="str">
        <f>""</f>
        <v/>
      </c>
      <c r="D82" t="str">
        <f>""</f>
        <v/>
      </c>
      <c r="E82" s="1">
        <v>45017</v>
      </c>
      <c r="F82" t="s">
        <v>699</v>
      </c>
      <c r="G82" t="e">
        <f>INDEX(#REF!,MATCH(P82,#REF!,0),1)</f>
        <v>#REF!</v>
      </c>
      <c r="H82" t="s">
        <v>700</v>
      </c>
      <c r="J82" t="s">
        <v>701</v>
      </c>
      <c r="K82" t="s">
        <v>125</v>
      </c>
      <c r="L82" t="s">
        <v>702</v>
      </c>
      <c r="M82" t="s">
        <v>703</v>
      </c>
      <c r="N82">
        <v>175</v>
      </c>
      <c r="O82" t="s">
        <v>699</v>
      </c>
      <c r="P82">
        <v>175</v>
      </c>
      <c r="Q82" t="s">
        <v>699</v>
      </c>
      <c r="R82" t="s">
        <v>365</v>
      </c>
      <c r="S82" t="s">
        <v>366</v>
      </c>
      <c r="T82" t="s">
        <v>44</v>
      </c>
      <c r="U82" t="s">
        <v>45</v>
      </c>
      <c r="AA82" t="s">
        <v>93</v>
      </c>
      <c r="AE82" t="s">
        <v>220</v>
      </c>
    </row>
    <row r="83" spans="1:33" x14ac:dyDescent="0.3">
      <c r="A83">
        <v>178</v>
      </c>
      <c r="B83" t="s">
        <v>704</v>
      </c>
      <c r="C83" t="str">
        <f>""</f>
        <v/>
      </c>
      <c r="D83" t="str">
        <f>"421010800"</f>
        <v>421010800</v>
      </c>
      <c r="E83" s="1">
        <v>29451</v>
      </c>
      <c r="F83" t="s">
        <v>705</v>
      </c>
      <c r="G83" t="e">
        <f>INDEX(#REF!,MATCH(P83,#REF!,0),1)</f>
        <v>#REF!</v>
      </c>
      <c r="H83" t="s">
        <v>706</v>
      </c>
      <c r="J83" t="s">
        <v>707</v>
      </c>
      <c r="K83" t="s">
        <v>307</v>
      </c>
      <c r="L83" t="s">
        <v>708</v>
      </c>
      <c r="M83" t="s">
        <v>709</v>
      </c>
      <c r="N83">
        <v>36874</v>
      </c>
      <c r="O83" t="s">
        <v>710</v>
      </c>
      <c r="P83">
        <v>36874</v>
      </c>
      <c r="Q83" t="s">
        <v>710</v>
      </c>
      <c r="R83" t="s">
        <v>711</v>
      </c>
      <c r="S83" t="s">
        <v>712</v>
      </c>
      <c r="T83" t="s">
        <v>44</v>
      </c>
      <c r="U83" t="s">
        <v>45</v>
      </c>
      <c r="AD83" t="s">
        <v>94</v>
      </c>
      <c r="AE83" t="s">
        <v>60</v>
      </c>
      <c r="AG83" t="s">
        <v>48</v>
      </c>
    </row>
    <row r="84" spans="1:33" x14ac:dyDescent="0.3">
      <c r="A84">
        <v>179</v>
      </c>
      <c r="B84" t="s">
        <v>713</v>
      </c>
      <c r="C84" t="str">
        <f>""</f>
        <v/>
      </c>
      <c r="D84" t="str">
        <f>"341PCIR00"</f>
        <v>341PCIR00</v>
      </c>
      <c r="E84" s="1">
        <v>35796</v>
      </c>
      <c r="F84" t="s">
        <v>714</v>
      </c>
      <c r="G84" t="e">
        <f>INDEX(#REF!,MATCH(P84,#REF!,0),1)</f>
        <v>#REF!</v>
      </c>
      <c r="H84" t="s">
        <v>715</v>
      </c>
      <c r="J84" t="s">
        <v>250</v>
      </c>
      <c r="K84" t="s">
        <v>251</v>
      </c>
      <c r="L84" t="str">
        <f>"08060"</f>
        <v>08060</v>
      </c>
      <c r="M84" t="s">
        <v>716</v>
      </c>
      <c r="N84">
        <v>109541</v>
      </c>
      <c r="O84" t="s">
        <v>253</v>
      </c>
      <c r="P84">
        <v>109541</v>
      </c>
      <c r="Q84" t="s">
        <v>253</v>
      </c>
      <c r="R84" t="s">
        <v>254</v>
      </c>
      <c r="S84" t="s">
        <v>255</v>
      </c>
      <c r="T84" t="s">
        <v>44</v>
      </c>
      <c r="U84" t="s">
        <v>717</v>
      </c>
    </row>
    <row r="85" spans="1:33" x14ac:dyDescent="0.3">
      <c r="A85">
        <v>180</v>
      </c>
      <c r="B85" t="s">
        <v>718</v>
      </c>
      <c r="C85" t="str">
        <f>"1100003085499"</f>
        <v>1100003085499</v>
      </c>
      <c r="D85" t="str">
        <f>"130180DFE"</f>
        <v>130180DFE</v>
      </c>
      <c r="E85" s="1">
        <v>30861</v>
      </c>
      <c r="F85" t="s">
        <v>719</v>
      </c>
      <c r="G85" t="e">
        <f>INDEX(#REF!,MATCH(P85,#REF!,0),1)</f>
        <v>#REF!</v>
      </c>
      <c r="H85" t="s">
        <v>720</v>
      </c>
      <c r="J85" t="s">
        <v>721</v>
      </c>
      <c r="K85" t="s">
        <v>425</v>
      </c>
      <c r="L85" t="str">
        <f>"05089-9000"</f>
        <v>05089-9000</v>
      </c>
      <c r="M85" t="s">
        <v>722</v>
      </c>
      <c r="N85">
        <v>155</v>
      </c>
      <c r="O85" t="s">
        <v>55</v>
      </c>
      <c r="P85">
        <v>155</v>
      </c>
      <c r="Q85" t="s">
        <v>55</v>
      </c>
      <c r="R85" t="s">
        <v>56</v>
      </c>
      <c r="S85" t="s">
        <v>57</v>
      </c>
      <c r="T85" t="s">
        <v>44</v>
      </c>
      <c r="U85" t="s">
        <v>45</v>
      </c>
      <c r="AA85" t="s">
        <v>58</v>
      </c>
      <c r="AD85" t="s">
        <v>59</v>
      </c>
      <c r="AE85" t="s">
        <v>60</v>
      </c>
    </row>
    <row r="86" spans="1:33" x14ac:dyDescent="0.3">
      <c r="A86">
        <v>182</v>
      </c>
      <c r="B86" t="s">
        <v>723</v>
      </c>
      <c r="C86" t="str">
        <f>"1100002525071"</f>
        <v>1100002525071</v>
      </c>
      <c r="D86" t="str">
        <f>"660820M00"</f>
        <v>660820M00</v>
      </c>
      <c r="E86" s="1">
        <v>30530</v>
      </c>
      <c r="F86" t="s">
        <v>724</v>
      </c>
      <c r="G86" t="e">
        <f>INDEX(#REF!,MATCH(P86,#REF!,0),1)</f>
        <v>#REF!</v>
      </c>
      <c r="H86" t="s">
        <v>725</v>
      </c>
      <c r="J86" t="s">
        <v>726</v>
      </c>
      <c r="K86" t="s">
        <v>727</v>
      </c>
      <c r="L86" t="s">
        <v>728</v>
      </c>
      <c r="M86" t="s">
        <v>729</v>
      </c>
      <c r="N86">
        <v>908</v>
      </c>
      <c r="O86" t="s">
        <v>730</v>
      </c>
      <c r="P86">
        <v>908</v>
      </c>
      <c r="Q86" t="s">
        <v>730</v>
      </c>
      <c r="R86" t="s">
        <v>346</v>
      </c>
      <c r="S86" t="s">
        <v>347</v>
      </c>
      <c r="T86" t="s">
        <v>44</v>
      </c>
      <c r="U86" t="s">
        <v>45</v>
      </c>
      <c r="AA86" t="s">
        <v>327</v>
      </c>
      <c r="AD86" t="s">
        <v>94</v>
      </c>
      <c r="AE86" t="s">
        <v>348</v>
      </c>
    </row>
    <row r="87" spans="1:33" x14ac:dyDescent="0.3">
      <c r="A87">
        <v>184</v>
      </c>
      <c r="B87" t="s">
        <v>731</v>
      </c>
      <c r="C87" t="str">
        <f>"1100002438463"</f>
        <v>1100002438463</v>
      </c>
      <c r="D87" t="str">
        <f>"451080I00"</f>
        <v>451080I00</v>
      </c>
      <c r="E87" s="1">
        <v>36678</v>
      </c>
      <c r="F87" t="s">
        <v>732</v>
      </c>
      <c r="G87" t="e">
        <f>INDEX(#REF!,MATCH(P87,#REF!,0),1)</f>
        <v>#REF!</v>
      </c>
      <c r="H87" t="s">
        <v>733</v>
      </c>
      <c r="J87" t="s">
        <v>734</v>
      </c>
      <c r="K87" t="s">
        <v>208</v>
      </c>
      <c r="L87" t="s">
        <v>735</v>
      </c>
      <c r="M87" t="s">
        <v>736</v>
      </c>
      <c r="N87">
        <v>711504</v>
      </c>
      <c r="O87" t="s">
        <v>737</v>
      </c>
      <c r="P87">
        <v>39661</v>
      </c>
      <c r="Q87" t="s">
        <v>738</v>
      </c>
      <c r="R87" t="s">
        <v>711</v>
      </c>
      <c r="S87" t="s">
        <v>712</v>
      </c>
      <c r="T87" t="s">
        <v>44</v>
      </c>
      <c r="U87" t="s">
        <v>45</v>
      </c>
      <c r="AA87" t="s">
        <v>119</v>
      </c>
      <c r="AE87" t="s">
        <v>120</v>
      </c>
      <c r="AG87" t="s">
        <v>48</v>
      </c>
    </row>
    <row r="88" spans="1:33" x14ac:dyDescent="0.3">
      <c r="A88">
        <v>188</v>
      </c>
      <c r="B88" t="s">
        <v>739</v>
      </c>
      <c r="C88" t="str">
        <f>""</f>
        <v/>
      </c>
      <c r="D88" t="str">
        <f>"441770N00"</f>
        <v>441770N00</v>
      </c>
      <c r="E88" s="1">
        <v>30868</v>
      </c>
      <c r="F88" t="s">
        <v>740</v>
      </c>
      <c r="G88" t="e">
        <f>INDEX(#REF!,MATCH(P88,#REF!,0),1)</f>
        <v>#REF!</v>
      </c>
      <c r="H88" t="s">
        <v>741</v>
      </c>
      <c r="J88" t="s">
        <v>742</v>
      </c>
      <c r="K88" t="s">
        <v>261</v>
      </c>
      <c r="L88" t="s">
        <v>743</v>
      </c>
      <c r="M88" t="s">
        <v>744</v>
      </c>
      <c r="N88">
        <v>61089</v>
      </c>
      <c r="O88" t="s">
        <v>745</v>
      </c>
      <c r="P88">
        <v>61089</v>
      </c>
      <c r="Q88" t="s">
        <v>745</v>
      </c>
      <c r="R88" t="s">
        <v>245</v>
      </c>
      <c r="S88" t="s">
        <v>246</v>
      </c>
      <c r="T88" t="s">
        <v>44</v>
      </c>
      <c r="U88" t="s">
        <v>45</v>
      </c>
    </row>
    <row r="89" spans="1:33" x14ac:dyDescent="0.3">
      <c r="A89">
        <v>189</v>
      </c>
      <c r="B89" t="s">
        <v>746</v>
      </c>
      <c r="C89" t="str">
        <f>"1100003076077"</f>
        <v>1100003076077</v>
      </c>
      <c r="D89" t="str">
        <f>"521530G00"</f>
        <v>521530G00</v>
      </c>
      <c r="E89" s="1">
        <v>30323</v>
      </c>
      <c r="F89" t="s">
        <v>747</v>
      </c>
      <c r="G89" t="e">
        <f>INDEX(#REF!,MATCH(P89,#REF!,0),1)</f>
        <v>#REF!</v>
      </c>
      <c r="H89" t="s">
        <v>748</v>
      </c>
      <c r="J89" t="s">
        <v>749</v>
      </c>
      <c r="K89" t="s">
        <v>139</v>
      </c>
      <c r="L89" t="s">
        <v>750</v>
      </c>
      <c r="M89" t="s">
        <v>751</v>
      </c>
      <c r="N89">
        <v>7585</v>
      </c>
      <c r="O89" t="s">
        <v>433</v>
      </c>
      <c r="P89">
        <v>7585</v>
      </c>
      <c r="Q89" t="s">
        <v>433</v>
      </c>
      <c r="R89" t="s">
        <v>434</v>
      </c>
      <c r="S89" t="s">
        <v>435</v>
      </c>
      <c r="T89" t="s">
        <v>44</v>
      </c>
      <c r="U89" t="s">
        <v>45</v>
      </c>
      <c r="AA89" t="s">
        <v>119</v>
      </c>
      <c r="AE89" t="s">
        <v>120</v>
      </c>
    </row>
    <row r="90" spans="1:33" x14ac:dyDescent="0.3">
      <c r="A90">
        <v>190</v>
      </c>
      <c r="B90" t="s">
        <v>752</v>
      </c>
      <c r="C90" t="str">
        <f>"1100004771582"</f>
        <v>1100004771582</v>
      </c>
      <c r="D90" t="str">
        <f>""</f>
        <v/>
      </c>
      <c r="E90" s="1">
        <v>30868</v>
      </c>
      <c r="F90" t="s">
        <v>753</v>
      </c>
      <c r="G90" t="e">
        <f>INDEX(#REF!,MATCH(P90,#REF!,0),1)</f>
        <v>#REF!</v>
      </c>
      <c r="H90" t="s">
        <v>754</v>
      </c>
      <c r="J90" t="s">
        <v>755</v>
      </c>
      <c r="K90" t="s">
        <v>261</v>
      </c>
      <c r="L90" t="s">
        <v>756</v>
      </c>
      <c r="M90" t="s">
        <v>757</v>
      </c>
      <c r="N90">
        <v>4168349</v>
      </c>
      <c r="O90" t="s">
        <v>264</v>
      </c>
      <c r="P90">
        <v>281</v>
      </c>
      <c r="Q90" t="s">
        <v>758</v>
      </c>
      <c r="R90" t="s">
        <v>266</v>
      </c>
      <c r="S90" t="s">
        <v>267</v>
      </c>
      <c r="T90" t="s">
        <v>44</v>
      </c>
      <c r="U90" t="s">
        <v>81</v>
      </c>
      <c r="Y90" t="s">
        <v>46</v>
      </c>
      <c r="Z90" s="1">
        <v>45119</v>
      </c>
      <c r="AG90" t="s">
        <v>48</v>
      </c>
    </row>
    <row r="91" spans="1:33" x14ac:dyDescent="0.3">
      <c r="A91">
        <v>191</v>
      </c>
      <c r="B91" t="s">
        <v>759</v>
      </c>
      <c r="C91" t="str">
        <f>"1100002811785"</f>
        <v>1100002811785</v>
      </c>
      <c r="D91" t="str">
        <f>"BC0C5MQ00"</f>
        <v>BC0C5MQ00</v>
      </c>
      <c r="E91" s="1">
        <v>30699</v>
      </c>
      <c r="F91" t="s">
        <v>760</v>
      </c>
      <c r="G91" t="e">
        <f>INDEX(#REF!,MATCH(P91,#REF!,0),1)</f>
        <v>#REF!</v>
      </c>
      <c r="H91" t="s">
        <v>761</v>
      </c>
      <c r="J91" t="s">
        <v>762</v>
      </c>
      <c r="K91" t="s">
        <v>763</v>
      </c>
      <c r="L91" t="s">
        <v>764</v>
      </c>
      <c r="M91" t="s">
        <v>765</v>
      </c>
      <c r="N91">
        <v>191</v>
      </c>
      <c r="O91" t="s">
        <v>760</v>
      </c>
      <c r="P91">
        <v>191</v>
      </c>
      <c r="Q91" t="s">
        <v>760</v>
      </c>
      <c r="R91" t="s">
        <v>142</v>
      </c>
      <c r="S91" t="s">
        <v>143</v>
      </c>
      <c r="T91" t="s">
        <v>44</v>
      </c>
      <c r="U91" t="s">
        <v>81</v>
      </c>
      <c r="AA91" t="s">
        <v>119</v>
      </c>
      <c r="AE91" t="s">
        <v>766</v>
      </c>
    </row>
    <row r="92" spans="1:33" x14ac:dyDescent="0.3">
      <c r="A92">
        <v>192</v>
      </c>
      <c r="B92" t="s">
        <v>767</v>
      </c>
      <c r="C92" t="str">
        <f>""</f>
        <v/>
      </c>
      <c r="D92" t="str">
        <f>"392140J00"</f>
        <v>392140J00</v>
      </c>
      <c r="E92" s="1">
        <v>30510</v>
      </c>
      <c r="F92" t="s">
        <v>768</v>
      </c>
      <c r="G92" t="e">
        <f>INDEX(#REF!,MATCH(P92,#REF!,0),1)</f>
        <v>#REF!</v>
      </c>
      <c r="H92" t="s">
        <v>769</v>
      </c>
      <c r="J92" t="s">
        <v>770</v>
      </c>
      <c r="K92" t="s">
        <v>167</v>
      </c>
      <c r="L92">
        <v>32806</v>
      </c>
      <c r="M92" t="s">
        <v>771</v>
      </c>
      <c r="N92">
        <v>37497</v>
      </c>
      <c r="O92" t="s">
        <v>128</v>
      </c>
      <c r="P92">
        <v>37497</v>
      </c>
      <c r="Q92" t="s">
        <v>128</v>
      </c>
      <c r="R92" t="s">
        <v>129</v>
      </c>
      <c r="S92" t="s">
        <v>130</v>
      </c>
      <c r="T92" t="s">
        <v>44</v>
      </c>
      <c r="U92" t="s">
        <v>45</v>
      </c>
    </row>
    <row r="93" spans="1:33" x14ac:dyDescent="0.3">
      <c r="A93">
        <v>193</v>
      </c>
      <c r="B93" t="s">
        <v>772</v>
      </c>
      <c r="C93" t="str">
        <f>""</f>
        <v/>
      </c>
      <c r="D93" t="str">
        <f>"3KGT9LQ00"</f>
        <v>3KGT9LQ00</v>
      </c>
      <c r="E93" s="1">
        <v>28417</v>
      </c>
      <c r="F93" t="s">
        <v>773</v>
      </c>
      <c r="G93" t="e">
        <f>INDEX(#REF!,MATCH(P93,#REF!,0),1)</f>
        <v>#REF!</v>
      </c>
      <c r="H93" t="s">
        <v>774</v>
      </c>
      <c r="J93" t="s">
        <v>775</v>
      </c>
      <c r="K93" t="s">
        <v>353</v>
      </c>
      <c r="L93" t="s">
        <v>776</v>
      </c>
      <c r="M93" t="s">
        <v>777</v>
      </c>
      <c r="N93">
        <v>2623348</v>
      </c>
      <c r="O93" t="s">
        <v>773</v>
      </c>
      <c r="P93">
        <v>2623348</v>
      </c>
      <c r="Q93" t="s">
        <v>773</v>
      </c>
      <c r="R93" t="s">
        <v>171</v>
      </c>
      <c r="S93" t="s">
        <v>172</v>
      </c>
      <c r="T93" t="s">
        <v>44</v>
      </c>
      <c r="U93" t="s">
        <v>81</v>
      </c>
      <c r="AA93" t="s">
        <v>93</v>
      </c>
      <c r="AE93" t="s">
        <v>220</v>
      </c>
      <c r="AG93" t="s">
        <v>48</v>
      </c>
    </row>
    <row r="94" spans="1:33" x14ac:dyDescent="0.3">
      <c r="A94">
        <v>196</v>
      </c>
      <c r="B94" t="s">
        <v>778</v>
      </c>
      <c r="C94" t="str">
        <f>"1100003872846"</f>
        <v>1100003872846</v>
      </c>
      <c r="D94" t="str">
        <f>"720160G00"</f>
        <v>720160G00</v>
      </c>
      <c r="E94" s="1">
        <v>30223</v>
      </c>
      <c r="F94" t="s">
        <v>779</v>
      </c>
      <c r="G94" t="e">
        <f>INDEX(#REF!,MATCH(P94,#REF!,0),1)</f>
        <v>#REF!</v>
      </c>
      <c r="H94" t="s">
        <v>780</v>
      </c>
      <c r="J94" t="s">
        <v>781</v>
      </c>
      <c r="K94" t="s">
        <v>353</v>
      </c>
      <c r="L94">
        <v>70808</v>
      </c>
      <c r="M94" t="s">
        <v>782</v>
      </c>
      <c r="N94">
        <v>73818</v>
      </c>
      <c r="O94" t="s">
        <v>671</v>
      </c>
      <c r="P94">
        <v>73818</v>
      </c>
      <c r="Q94" t="s">
        <v>671</v>
      </c>
      <c r="R94" t="s">
        <v>356</v>
      </c>
      <c r="S94" t="s">
        <v>357</v>
      </c>
      <c r="T94" t="s">
        <v>44</v>
      </c>
      <c r="U94" t="s">
        <v>45</v>
      </c>
    </row>
    <row r="95" spans="1:33" x14ac:dyDescent="0.3">
      <c r="A95">
        <v>198</v>
      </c>
      <c r="B95" t="s">
        <v>783</v>
      </c>
      <c r="C95" t="str">
        <f>"1100002233419"</f>
        <v>1100002233419</v>
      </c>
      <c r="D95" t="str">
        <f>"232030A00"</f>
        <v>232030A00</v>
      </c>
      <c r="E95" s="1">
        <v>30169</v>
      </c>
      <c r="F95" t="s">
        <v>784</v>
      </c>
      <c r="G95" t="e">
        <f>INDEX(#REF!,MATCH(P95,#REF!,0),1)</f>
        <v>#REF!</v>
      </c>
      <c r="H95" t="s">
        <v>785</v>
      </c>
      <c r="J95" t="s">
        <v>786</v>
      </c>
      <c r="K95" t="s">
        <v>65</v>
      </c>
      <c r="L95" t="s">
        <v>787</v>
      </c>
      <c r="M95" t="s">
        <v>788</v>
      </c>
      <c r="N95">
        <v>4007</v>
      </c>
      <c r="O95" t="s">
        <v>276</v>
      </c>
      <c r="P95">
        <v>4007</v>
      </c>
      <c r="Q95" t="s">
        <v>276</v>
      </c>
      <c r="R95" t="s">
        <v>277</v>
      </c>
      <c r="S95" t="s">
        <v>278</v>
      </c>
      <c r="T95" t="s">
        <v>44</v>
      </c>
      <c r="U95" t="s">
        <v>45</v>
      </c>
      <c r="AG95" t="s">
        <v>48</v>
      </c>
    </row>
    <row r="96" spans="1:33" x14ac:dyDescent="0.3">
      <c r="A96">
        <v>200</v>
      </c>
      <c r="B96" t="s">
        <v>789</v>
      </c>
      <c r="C96" t="str">
        <f>"1100003888359"</f>
        <v>1100003888359</v>
      </c>
      <c r="D96" t="str">
        <f>"380030E00"</f>
        <v>380030E00</v>
      </c>
      <c r="E96" s="1">
        <v>31509</v>
      </c>
      <c r="F96" t="s">
        <v>790</v>
      </c>
      <c r="G96" t="e">
        <f>INDEX(#REF!,MATCH(P96,#REF!,0),1)</f>
        <v>#REF!</v>
      </c>
      <c r="H96" t="s">
        <v>791</v>
      </c>
      <c r="J96" t="s">
        <v>792</v>
      </c>
      <c r="K96" t="s">
        <v>99</v>
      </c>
      <c r="L96" t="s">
        <v>793</v>
      </c>
      <c r="M96" t="s">
        <v>794</v>
      </c>
      <c r="N96">
        <v>58293</v>
      </c>
      <c r="O96" t="s">
        <v>101</v>
      </c>
      <c r="P96">
        <v>58293</v>
      </c>
      <c r="Q96" t="s">
        <v>101</v>
      </c>
      <c r="R96" t="s">
        <v>102</v>
      </c>
      <c r="S96" t="s">
        <v>103</v>
      </c>
      <c r="T96" t="s">
        <v>44</v>
      </c>
      <c r="U96" t="s">
        <v>45</v>
      </c>
      <c r="Y96" t="s">
        <v>104</v>
      </c>
      <c r="Z96" s="1">
        <v>45352</v>
      </c>
      <c r="AA96" t="s">
        <v>93</v>
      </c>
      <c r="AB96" t="s">
        <v>105</v>
      </c>
      <c r="AE96" t="s">
        <v>106</v>
      </c>
    </row>
    <row r="97" spans="1:33" x14ac:dyDescent="0.3">
      <c r="A97">
        <v>201</v>
      </c>
      <c r="B97" t="s">
        <v>795</v>
      </c>
      <c r="C97" t="str">
        <f>""</f>
        <v/>
      </c>
      <c r="D97" t="str">
        <f>"744880V00"</f>
        <v>744880V00</v>
      </c>
      <c r="E97" s="1">
        <v>44378</v>
      </c>
      <c r="F97" t="s">
        <v>796</v>
      </c>
      <c r="G97" t="e">
        <f>INDEX(#REF!,MATCH(P97,#REF!,0),1)</f>
        <v>#REF!</v>
      </c>
      <c r="H97" t="s">
        <v>797</v>
      </c>
      <c r="J97" t="s">
        <v>798</v>
      </c>
      <c r="K97" t="s">
        <v>676</v>
      </c>
      <c r="L97" t="s">
        <v>799</v>
      </c>
      <c r="M97" t="s">
        <v>800</v>
      </c>
      <c r="N97">
        <v>201</v>
      </c>
      <c r="O97" t="s">
        <v>796</v>
      </c>
      <c r="P97">
        <v>201</v>
      </c>
      <c r="Q97" t="s">
        <v>796</v>
      </c>
      <c r="R97" t="s">
        <v>245</v>
      </c>
      <c r="S97" t="s">
        <v>246</v>
      </c>
      <c r="T97" t="s">
        <v>44</v>
      </c>
      <c r="U97" t="s">
        <v>45</v>
      </c>
    </row>
    <row r="98" spans="1:33" x14ac:dyDescent="0.3">
      <c r="A98">
        <v>202</v>
      </c>
      <c r="B98" t="s">
        <v>801</v>
      </c>
      <c r="C98" t="str">
        <f>""</f>
        <v/>
      </c>
      <c r="D98" t="str">
        <f>"441870O00"</f>
        <v>441870O00</v>
      </c>
      <c r="E98" s="1">
        <v>30868</v>
      </c>
      <c r="F98" t="s">
        <v>802</v>
      </c>
      <c r="G98" t="e">
        <f>INDEX(#REF!,MATCH(P98,#REF!,0),1)</f>
        <v>#REF!</v>
      </c>
      <c r="H98" t="s">
        <v>803</v>
      </c>
      <c r="J98" t="s">
        <v>804</v>
      </c>
      <c r="K98" t="s">
        <v>261</v>
      </c>
      <c r="L98" t="s">
        <v>805</v>
      </c>
      <c r="M98" t="s">
        <v>806</v>
      </c>
      <c r="N98">
        <v>61089</v>
      </c>
      <c r="O98" t="s">
        <v>745</v>
      </c>
      <c r="P98">
        <v>61089</v>
      </c>
      <c r="Q98" t="s">
        <v>745</v>
      </c>
      <c r="R98" t="s">
        <v>245</v>
      </c>
      <c r="S98" t="s">
        <v>246</v>
      </c>
      <c r="T98" t="s">
        <v>44</v>
      </c>
      <c r="U98" t="s">
        <v>45</v>
      </c>
    </row>
    <row r="99" spans="1:33" x14ac:dyDescent="0.3">
      <c r="A99">
        <v>203</v>
      </c>
      <c r="B99" t="s">
        <v>807</v>
      </c>
      <c r="C99" t="str">
        <f>"1100004585714"</f>
        <v>1100004585714</v>
      </c>
      <c r="D99" t="str">
        <f>"840580P00"</f>
        <v>840580P00</v>
      </c>
      <c r="E99" s="1">
        <v>43974</v>
      </c>
      <c r="F99" t="s">
        <v>808</v>
      </c>
      <c r="G99" t="e">
        <f>INDEX(#REF!,MATCH(P99,#REF!,0),1)</f>
        <v>#REF!</v>
      </c>
      <c r="H99" t="s">
        <v>809</v>
      </c>
      <c r="J99" t="s">
        <v>810</v>
      </c>
      <c r="K99" t="s">
        <v>225</v>
      </c>
      <c r="L99" t="s">
        <v>811</v>
      </c>
      <c r="M99" t="s">
        <v>812</v>
      </c>
      <c r="N99">
        <v>3037807</v>
      </c>
      <c r="O99" t="s">
        <v>813</v>
      </c>
      <c r="P99">
        <v>100997</v>
      </c>
      <c r="Q99" t="s">
        <v>814</v>
      </c>
      <c r="R99" t="s">
        <v>196</v>
      </c>
      <c r="S99" t="s">
        <v>197</v>
      </c>
      <c r="T99" t="s">
        <v>44</v>
      </c>
      <c r="U99" t="s">
        <v>45</v>
      </c>
      <c r="AA99" t="s">
        <v>328</v>
      </c>
      <c r="AG99" t="s">
        <v>48</v>
      </c>
    </row>
    <row r="100" spans="1:33" x14ac:dyDescent="0.3">
      <c r="A100">
        <v>204</v>
      </c>
      <c r="B100" t="s">
        <v>815</v>
      </c>
      <c r="C100" t="str">
        <f>"1100004539915"</f>
        <v>1100004539915</v>
      </c>
      <c r="D100" t="str">
        <f>"130020600"</f>
        <v>130020600</v>
      </c>
      <c r="E100" s="1">
        <v>31094</v>
      </c>
      <c r="F100" t="s">
        <v>816</v>
      </c>
      <c r="G100" t="e">
        <f>INDEX(#REF!,MATCH(P100,#REF!,0),1)</f>
        <v>#REF!</v>
      </c>
      <c r="H100" t="s">
        <v>817</v>
      </c>
      <c r="J100" t="s">
        <v>818</v>
      </c>
      <c r="K100" t="s">
        <v>425</v>
      </c>
      <c r="L100" t="str">
        <f>"05201-5004"</f>
        <v>05201-5004</v>
      </c>
      <c r="M100" t="s">
        <v>819</v>
      </c>
      <c r="N100">
        <v>155</v>
      </c>
      <c r="O100" t="s">
        <v>55</v>
      </c>
      <c r="P100">
        <v>7057</v>
      </c>
      <c r="Q100" t="s">
        <v>820</v>
      </c>
      <c r="R100" t="s">
        <v>56</v>
      </c>
      <c r="S100" t="s">
        <v>57</v>
      </c>
      <c r="T100" t="s">
        <v>44</v>
      </c>
      <c r="U100" t="s">
        <v>45</v>
      </c>
      <c r="AA100" t="s">
        <v>58</v>
      </c>
      <c r="AE100" t="s">
        <v>60</v>
      </c>
    </row>
    <row r="101" spans="1:33" x14ac:dyDescent="0.3">
      <c r="A101">
        <v>206</v>
      </c>
      <c r="B101" t="s">
        <v>821</v>
      </c>
      <c r="C101" t="str">
        <f>"1100002216498"</f>
        <v>1100002216498</v>
      </c>
      <c r="D101" t="str">
        <f>"530060E00"</f>
        <v>530060E00</v>
      </c>
      <c r="E101" s="1">
        <v>30704</v>
      </c>
      <c r="F101" t="s">
        <v>822</v>
      </c>
      <c r="G101" t="e">
        <f>INDEX(#REF!,MATCH(P101,#REF!,0),1)</f>
        <v>#REF!</v>
      </c>
      <c r="H101" t="s">
        <v>823</v>
      </c>
      <c r="J101" t="s">
        <v>824</v>
      </c>
      <c r="K101" t="s">
        <v>125</v>
      </c>
      <c r="L101" t="s">
        <v>825</v>
      </c>
      <c r="M101" t="s">
        <v>826</v>
      </c>
      <c r="N101">
        <v>206</v>
      </c>
      <c r="O101" t="s">
        <v>822</v>
      </c>
      <c r="P101">
        <v>206</v>
      </c>
      <c r="Q101" t="s">
        <v>822</v>
      </c>
      <c r="R101" t="s">
        <v>102</v>
      </c>
      <c r="S101" t="s">
        <v>103</v>
      </c>
      <c r="T101" t="s">
        <v>44</v>
      </c>
      <c r="U101" t="s">
        <v>45</v>
      </c>
      <c r="AA101" t="s">
        <v>93</v>
      </c>
      <c r="AB101" t="s">
        <v>105</v>
      </c>
      <c r="AE101" t="s">
        <v>220</v>
      </c>
    </row>
    <row r="102" spans="1:33" x14ac:dyDescent="0.3">
      <c r="A102">
        <v>207</v>
      </c>
      <c r="B102" t="s">
        <v>827</v>
      </c>
      <c r="C102" t="str">
        <f>""</f>
        <v/>
      </c>
      <c r="D102" t="str">
        <f>"421240D00"</f>
        <v>421240D00</v>
      </c>
      <c r="E102" s="1">
        <v>29451</v>
      </c>
      <c r="F102" t="s">
        <v>403</v>
      </c>
      <c r="G102" t="e">
        <f>INDEX(#REF!,MATCH(P102,#REF!,0),1)</f>
        <v>#REF!</v>
      </c>
      <c r="H102" t="s">
        <v>828</v>
      </c>
      <c r="J102" t="s">
        <v>798</v>
      </c>
      <c r="K102" t="s">
        <v>307</v>
      </c>
      <c r="L102" t="s">
        <v>829</v>
      </c>
      <c r="M102" t="s">
        <v>830</v>
      </c>
      <c r="N102">
        <v>207</v>
      </c>
      <c r="O102" t="s">
        <v>403</v>
      </c>
      <c r="P102">
        <v>207</v>
      </c>
      <c r="Q102" t="s">
        <v>403</v>
      </c>
      <c r="R102" t="s">
        <v>310</v>
      </c>
      <c r="S102" t="s">
        <v>311</v>
      </c>
      <c r="T102" t="s">
        <v>44</v>
      </c>
      <c r="U102" t="s">
        <v>45</v>
      </c>
      <c r="AA102" t="s">
        <v>119</v>
      </c>
      <c r="AE102" t="s">
        <v>404</v>
      </c>
    </row>
    <row r="103" spans="1:33" x14ac:dyDescent="0.3">
      <c r="A103">
        <v>208</v>
      </c>
      <c r="B103" t="s">
        <v>831</v>
      </c>
      <c r="C103" t="str">
        <f>""</f>
        <v/>
      </c>
      <c r="D103" t="str">
        <f>"670520K00"</f>
        <v>670520K00</v>
      </c>
      <c r="E103" s="1">
        <v>42493</v>
      </c>
      <c r="F103" t="s">
        <v>832</v>
      </c>
      <c r="G103" t="e">
        <f>INDEX(#REF!,MATCH(P103,#REF!,0),1)</f>
        <v>#REF!</v>
      </c>
      <c r="H103" t="s">
        <v>833</v>
      </c>
      <c r="J103" t="s">
        <v>834</v>
      </c>
      <c r="K103" t="s">
        <v>835</v>
      </c>
      <c r="L103" t="s">
        <v>836</v>
      </c>
      <c r="M103" t="s">
        <v>837</v>
      </c>
      <c r="N103">
        <v>30537</v>
      </c>
      <c r="O103" t="s">
        <v>838</v>
      </c>
      <c r="P103">
        <v>30537</v>
      </c>
      <c r="Q103" t="s">
        <v>838</v>
      </c>
      <c r="R103" t="s">
        <v>228</v>
      </c>
      <c r="S103" t="s">
        <v>229</v>
      </c>
      <c r="T103" t="s">
        <v>44</v>
      </c>
      <c r="U103" t="s">
        <v>45</v>
      </c>
      <c r="AA103" t="s">
        <v>119</v>
      </c>
      <c r="AE103" t="s">
        <v>120</v>
      </c>
    </row>
    <row r="104" spans="1:33" x14ac:dyDescent="0.3">
      <c r="A104">
        <v>210</v>
      </c>
      <c r="B104" t="s">
        <v>839</v>
      </c>
      <c r="C104" t="str">
        <f>"1100097147899"</f>
        <v>1100097147899</v>
      </c>
      <c r="D104" t="str">
        <f>"25F0F0100"</f>
        <v>25F0F0100</v>
      </c>
      <c r="E104" s="1">
        <v>28415</v>
      </c>
      <c r="F104" t="s">
        <v>840</v>
      </c>
      <c r="G104" t="e">
        <f>INDEX(#REF!,MATCH(P104,#REF!,0),1)</f>
        <v>#REF!</v>
      </c>
      <c r="H104" t="s">
        <v>841</v>
      </c>
      <c r="J104" t="s">
        <v>446</v>
      </c>
      <c r="K104" t="s">
        <v>37</v>
      </c>
      <c r="L104" t="s">
        <v>842</v>
      </c>
      <c r="M104" t="s">
        <v>843</v>
      </c>
      <c r="N104">
        <v>210</v>
      </c>
      <c r="O104" t="s">
        <v>840</v>
      </c>
      <c r="P104">
        <v>210</v>
      </c>
      <c r="Q104" t="s">
        <v>840</v>
      </c>
      <c r="R104" t="s">
        <v>844</v>
      </c>
      <c r="S104" t="s">
        <v>845</v>
      </c>
      <c r="T104" t="s">
        <v>44</v>
      </c>
      <c r="U104" t="s">
        <v>81</v>
      </c>
      <c r="Y104" t="s">
        <v>46</v>
      </c>
      <c r="Z104" s="1">
        <v>42370</v>
      </c>
      <c r="AC104" t="s">
        <v>846</v>
      </c>
      <c r="AE104" t="s">
        <v>47</v>
      </c>
    </row>
    <row r="105" spans="1:33" x14ac:dyDescent="0.3">
      <c r="A105">
        <v>213</v>
      </c>
      <c r="B105" t="s">
        <v>847</v>
      </c>
      <c r="C105" t="str">
        <f>"1100005721913"</f>
        <v>1100005721913</v>
      </c>
      <c r="D105" t="str">
        <f>"0FJT1C400"</f>
        <v>0FJT1C400</v>
      </c>
      <c r="E105" s="1">
        <v>43009</v>
      </c>
      <c r="F105" t="s">
        <v>848</v>
      </c>
      <c r="G105" t="e">
        <f>INDEX(#REF!,MATCH(P105,#REF!,0),1)</f>
        <v>#REF!</v>
      </c>
      <c r="H105" t="s">
        <v>849</v>
      </c>
      <c r="J105" t="s">
        <v>850</v>
      </c>
      <c r="K105" t="s">
        <v>225</v>
      </c>
      <c r="L105" t="s">
        <v>851</v>
      </c>
      <c r="M105" t="s">
        <v>852</v>
      </c>
      <c r="N105">
        <v>3037807</v>
      </c>
      <c r="O105" t="s">
        <v>813</v>
      </c>
      <c r="P105">
        <v>3037807</v>
      </c>
      <c r="Q105" t="s">
        <v>813</v>
      </c>
      <c r="R105" t="s">
        <v>196</v>
      </c>
      <c r="S105" t="s">
        <v>197</v>
      </c>
      <c r="T105" t="s">
        <v>44</v>
      </c>
      <c r="U105" t="s">
        <v>45</v>
      </c>
      <c r="AA105" t="s">
        <v>328</v>
      </c>
      <c r="AG105" t="s">
        <v>48</v>
      </c>
    </row>
    <row r="106" spans="1:33" x14ac:dyDescent="0.3">
      <c r="A106">
        <v>214</v>
      </c>
      <c r="B106" t="s">
        <v>853</v>
      </c>
      <c r="C106" t="str">
        <f>""</f>
        <v/>
      </c>
      <c r="D106" t="str">
        <f>"730100B00"</f>
        <v>730100B00</v>
      </c>
      <c r="E106" s="1">
        <v>44440</v>
      </c>
      <c r="F106" t="s">
        <v>854</v>
      </c>
      <c r="G106" t="e">
        <f>INDEX(#REF!,MATCH(P106,#REF!,0),1)</f>
        <v>#REF!</v>
      </c>
      <c r="H106" t="s">
        <v>855</v>
      </c>
      <c r="J106" t="s">
        <v>856</v>
      </c>
      <c r="K106" t="s">
        <v>763</v>
      </c>
      <c r="L106" t="s">
        <v>857</v>
      </c>
      <c r="M106" t="s">
        <v>858</v>
      </c>
      <c r="N106">
        <v>214</v>
      </c>
      <c r="O106" t="s">
        <v>854</v>
      </c>
      <c r="P106">
        <v>214</v>
      </c>
      <c r="Q106" t="s">
        <v>854</v>
      </c>
      <c r="R106" t="s">
        <v>245</v>
      </c>
      <c r="S106" t="s">
        <v>246</v>
      </c>
      <c r="T106" t="s">
        <v>44</v>
      </c>
      <c r="U106" t="s">
        <v>45</v>
      </c>
    </row>
    <row r="107" spans="1:33" x14ac:dyDescent="0.3">
      <c r="A107">
        <v>217</v>
      </c>
      <c r="B107" t="s">
        <v>859</v>
      </c>
      <c r="C107" t="str">
        <f>""</f>
        <v/>
      </c>
      <c r="D107" t="str">
        <f>"441960O00"</f>
        <v>441960O00</v>
      </c>
      <c r="E107" s="1">
        <v>30868</v>
      </c>
      <c r="F107" t="s">
        <v>860</v>
      </c>
      <c r="G107" t="e">
        <f>INDEX(#REF!,MATCH(P107,#REF!,0),1)</f>
        <v>#REF!</v>
      </c>
      <c r="H107" t="s">
        <v>861</v>
      </c>
      <c r="J107" t="s">
        <v>862</v>
      </c>
      <c r="K107" t="s">
        <v>261</v>
      </c>
      <c r="L107" t="s">
        <v>863</v>
      </c>
      <c r="M107" t="s">
        <v>864</v>
      </c>
      <c r="N107">
        <v>46431</v>
      </c>
      <c r="O107" t="s">
        <v>865</v>
      </c>
      <c r="P107">
        <v>46431</v>
      </c>
      <c r="Q107" t="s">
        <v>865</v>
      </c>
      <c r="R107" t="s">
        <v>310</v>
      </c>
      <c r="S107" t="s">
        <v>311</v>
      </c>
      <c r="T107" t="s">
        <v>44</v>
      </c>
      <c r="U107" t="s">
        <v>45</v>
      </c>
      <c r="AA107" t="s">
        <v>119</v>
      </c>
      <c r="AE107" t="s">
        <v>120</v>
      </c>
    </row>
    <row r="108" spans="1:33" x14ac:dyDescent="0.3">
      <c r="A108">
        <v>222</v>
      </c>
      <c r="B108" t="s">
        <v>866</v>
      </c>
      <c r="C108" t="str">
        <f>""</f>
        <v/>
      </c>
      <c r="D108" t="str">
        <f>"0B5L9LV00"</f>
        <v>0B5L9LV00</v>
      </c>
      <c r="E108" s="1">
        <v>42740</v>
      </c>
      <c r="F108" t="s">
        <v>867</v>
      </c>
      <c r="G108" t="e">
        <f>INDEX(#REF!,MATCH(P108,#REF!,0),1)</f>
        <v>#REF!</v>
      </c>
      <c r="H108" t="s">
        <v>868</v>
      </c>
      <c r="J108" t="s">
        <v>869</v>
      </c>
      <c r="K108" t="s">
        <v>88</v>
      </c>
      <c r="L108" t="s">
        <v>870</v>
      </c>
      <c r="M108" t="s">
        <v>871</v>
      </c>
      <c r="N108">
        <v>222</v>
      </c>
      <c r="O108" t="s">
        <v>867</v>
      </c>
      <c r="P108">
        <v>222</v>
      </c>
      <c r="Q108" t="s">
        <v>867</v>
      </c>
      <c r="R108" t="s">
        <v>245</v>
      </c>
      <c r="S108" t="s">
        <v>246</v>
      </c>
      <c r="T108" t="s">
        <v>44</v>
      </c>
      <c r="U108" t="s">
        <v>81</v>
      </c>
    </row>
    <row r="109" spans="1:33" x14ac:dyDescent="0.3">
      <c r="A109">
        <v>223</v>
      </c>
      <c r="B109" t="s">
        <v>872</v>
      </c>
      <c r="C109" t="str">
        <f>"1100005099845"</f>
        <v>1100005099845</v>
      </c>
      <c r="D109" t="str">
        <f>"521670L00"</f>
        <v>521670L00</v>
      </c>
      <c r="E109" s="1">
        <v>32781</v>
      </c>
      <c r="F109" t="s">
        <v>873</v>
      </c>
      <c r="G109" t="e">
        <f>INDEX(#REF!,MATCH(P109,#REF!,0),1)</f>
        <v>#REF!</v>
      </c>
      <c r="H109" t="s">
        <v>874</v>
      </c>
      <c r="J109" t="s">
        <v>875</v>
      </c>
      <c r="K109" t="s">
        <v>139</v>
      </c>
      <c r="L109" t="s">
        <v>876</v>
      </c>
      <c r="M109" t="s">
        <v>877</v>
      </c>
      <c r="N109">
        <v>7585</v>
      </c>
      <c r="O109" t="s">
        <v>433</v>
      </c>
      <c r="P109">
        <v>7585</v>
      </c>
      <c r="Q109" t="s">
        <v>433</v>
      </c>
      <c r="R109" t="s">
        <v>434</v>
      </c>
      <c r="S109" t="s">
        <v>435</v>
      </c>
      <c r="T109" t="s">
        <v>44</v>
      </c>
      <c r="U109" t="s">
        <v>45</v>
      </c>
      <c r="AA109" t="s">
        <v>119</v>
      </c>
      <c r="AE109" t="s">
        <v>120</v>
      </c>
    </row>
    <row r="110" spans="1:33" x14ac:dyDescent="0.3">
      <c r="A110">
        <v>225</v>
      </c>
      <c r="B110" t="s">
        <v>878</v>
      </c>
      <c r="C110" t="str">
        <f>""</f>
        <v/>
      </c>
      <c r="D110" t="str">
        <f>"232900G00"</f>
        <v>232900G00</v>
      </c>
      <c r="E110" s="1">
        <v>31019</v>
      </c>
      <c r="F110" t="s">
        <v>879</v>
      </c>
      <c r="G110" t="e">
        <f>INDEX(#REF!,MATCH(P110,#REF!,0),1)</f>
        <v>#REF!</v>
      </c>
      <c r="H110" t="s">
        <v>880</v>
      </c>
      <c r="J110" t="s">
        <v>881</v>
      </c>
      <c r="K110" t="s">
        <v>65</v>
      </c>
      <c r="L110">
        <v>16947</v>
      </c>
      <c r="M110" t="s">
        <v>882</v>
      </c>
      <c r="N110">
        <v>1922</v>
      </c>
      <c r="O110" t="s">
        <v>883</v>
      </c>
      <c r="P110">
        <v>1922</v>
      </c>
      <c r="Q110" t="s">
        <v>883</v>
      </c>
      <c r="R110" t="s">
        <v>884</v>
      </c>
      <c r="S110" t="s">
        <v>885</v>
      </c>
      <c r="T110" t="s">
        <v>44</v>
      </c>
      <c r="U110" t="s">
        <v>45</v>
      </c>
      <c r="AA110" t="s">
        <v>119</v>
      </c>
      <c r="AE110" t="s">
        <v>564</v>
      </c>
      <c r="AG110" t="s">
        <v>48</v>
      </c>
    </row>
    <row r="111" spans="1:33" x14ac:dyDescent="0.3">
      <c r="A111">
        <v>227</v>
      </c>
      <c r="B111" t="s">
        <v>886</v>
      </c>
      <c r="C111" t="str">
        <f>""</f>
        <v/>
      </c>
      <c r="D111" t="str">
        <f>"LOID1CHF0"</f>
        <v>LOID1CHF0</v>
      </c>
      <c r="E111" s="1">
        <v>31022</v>
      </c>
      <c r="F111" t="s">
        <v>887</v>
      </c>
      <c r="G111" t="e">
        <f>INDEX(#REF!,MATCH(P111,#REF!,0),1)</f>
        <v>#REF!</v>
      </c>
      <c r="H111" t="s">
        <v>888</v>
      </c>
      <c r="J111" t="s">
        <v>889</v>
      </c>
      <c r="K111" t="s">
        <v>149</v>
      </c>
      <c r="L111" t="s">
        <v>890</v>
      </c>
      <c r="M111" t="s">
        <v>891</v>
      </c>
      <c r="N111">
        <v>678</v>
      </c>
      <c r="O111" t="s">
        <v>892</v>
      </c>
      <c r="P111">
        <v>678</v>
      </c>
      <c r="Q111" t="s">
        <v>892</v>
      </c>
      <c r="R111" t="s">
        <v>893</v>
      </c>
      <c r="S111" t="s">
        <v>894</v>
      </c>
      <c r="T111" t="s">
        <v>44</v>
      </c>
      <c r="U111" t="s">
        <v>45</v>
      </c>
      <c r="AA111" t="s">
        <v>93</v>
      </c>
      <c r="AB111" t="s">
        <v>105</v>
      </c>
      <c r="AE111" t="s">
        <v>220</v>
      </c>
    </row>
    <row r="112" spans="1:33" x14ac:dyDescent="0.3">
      <c r="A112">
        <v>228</v>
      </c>
      <c r="B112" t="s">
        <v>895</v>
      </c>
      <c r="C112" t="str">
        <f>"1100002360788"</f>
        <v>1100002360788</v>
      </c>
      <c r="D112" t="str">
        <f>"650540K00"</f>
        <v>650540K00</v>
      </c>
      <c r="E112" s="1">
        <v>29384</v>
      </c>
      <c r="F112" t="s">
        <v>896</v>
      </c>
      <c r="G112" t="e">
        <f>INDEX(#REF!,MATCH(P112,#REF!,0),1)</f>
        <v>#REF!</v>
      </c>
      <c r="H112" t="s">
        <v>897</v>
      </c>
      <c r="J112" t="s">
        <v>898</v>
      </c>
      <c r="K112" t="s">
        <v>899</v>
      </c>
      <c r="L112" t="s">
        <v>900</v>
      </c>
      <c r="M112" t="s">
        <v>901</v>
      </c>
      <c r="N112">
        <v>871561</v>
      </c>
      <c r="O112" t="s">
        <v>194</v>
      </c>
      <c r="P112">
        <v>73130</v>
      </c>
      <c r="Q112" t="s">
        <v>902</v>
      </c>
      <c r="R112" t="s">
        <v>196</v>
      </c>
      <c r="S112" t="s">
        <v>197</v>
      </c>
      <c r="T112" t="s">
        <v>44</v>
      </c>
      <c r="U112" t="s">
        <v>45</v>
      </c>
      <c r="AA112" t="s">
        <v>119</v>
      </c>
      <c r="AE112" t="s">
        <v>120</v>
      </c>
      <c r="AG112" t="s">
        <v>48</v>
      </c>
    </row>
    <row r="113" spans="1:33" x14ac:dyDescent="0.3">
      <c r="A113">
        <v>229</v>
      </c>
      <c r="B113" t="s">
        <v>903</v>
      </c>
      <c r="C113" t="str">
        <f>""</f>
        <v/>
      </c>
      <c r="D113" t="str">
        <f>"220480G00"</f>
        <v>220480G00</v>
      </c>
      <c r="E113" s="1">
        <v>42583</v>
      </c>
      <c r="F113" t="s">
        <v>904</v>
      </c>
      <c r="G113" t="e">
        <f>INDEX(#REF!,MATCH(P113,#REF!,0),1)</f>
        <v>#REF!</v>
      </c>
      <c r="H113" t="s">
        <v>905</v>
      </c>
      <c r="J113" t="s">
        <v>906</v>
      </c>
      <c r="K113" t="s">
        <v>251</v>
      </c>
      <c r="L113" t="str">
        <f>"07306-1196"</f>
        <v>07306-1196</v>
      </c>
      <c r="M113" t="s">
        <v>907</v>
      </c>
      <c r="N113">
        <v>1096480</v>
      </c>
      <c r="O113" t="s">
        <v>908</v>
      </c>
      <c r="P113">
        <v>1096480</v>
      </c>
      <c r="Q113" t="s">
        <v>908</v>
      </c>
      <c r="R113" t="s">
        <v>909</v>
      </c>
      <c r="S113" t="s">
        <v>910</v>
      </c>
      <c r="T113" t="s">
        <v>44</v>
      </c>
      <c r="U113" t="s">
        <v>45</v>
      </c>
      <c r="AD113" t="s">
        <v>94</v>
      </c>
      <c r="AE113" t="s">
        <v>564</v>
      </c>
    </row>
    <row r="114" spans="1:33" x14ac:dyDescent="0.3">
      <c r="A114">
        <v>232</v>
      </c>
      <c r="B114" t="s">
        <v>911</v>
      </c>
      <c r="C114" t="str">
        <f>"1100003037412"</f>
        <v>1100003037412</v>
      </c>
      <c r="D114" t="str">
        <f>"382040H00"</f>
        <v>382040H00</v>
      </c>
      <c r="E114" s="1">
        <v>30558</v>
      </c>
      <c r="F114" t="s">
        <v>912</v>
      </c>
      <c r="G114" t="e">
        <f>INDEX(#REF!,MATCH(P114,#REF!,0),1)</f>
        <v>#REF!</v>
      </c>
      <c r="H114" t="s">
        <v>913</v>
      </c>
      <c r="J114" t="s">
        <v>914</v>
      </c>
      <c r="K114" t="s">
        <v>99</v>
      </c>
      <c r="L114" t="s">
        <v>915</v>
      </c>
      <c r="M114" t="s">
        <v>916</v>
      </c>
      <c r="N114">
        <v>232</v>
      </c>
      <c r="O114" t="s">
        <v>912</v>
      </c>
      <c r="P114">
        <v>232</v>
      </c>
      <c r="Q114" t="s">
        <v>912</v>
      </c>
      <c r="R114" t="s">
        <v>917</v>
      </c>
      <c r="S114" t="s">
        <v>918</v>
      </c>
      <c r="T114" t="s">
        <v>44</v>
      </c>
      <c r="U114" t="s">
        <v>45</v>
      </c>
      <c r="AA114" t="s">
        <v>105</v>
      </c>
      <c r="AB114" t="s">
        <v>93</v>
      </c>
      <c r="AE114" t="s">
        <v>106</v>
      </c>
    </row>
    <row r="115" spans="1:33" x14ac:dyDescent="0.3">
      <c r="A115">
        <v>233</v>
      </c>
      <c r="B115" t="s">
        <v>919</v>
      </c>
      <c r="C115" t="str">
        <f>""</f>
        <v/>
      </c>
      <c r="D115" t="str">
        <f>"721760N00"</f>
        <v>721760N00</v>
      </c>
      <c r="E115" s="1">
        <v>30208</v>
      </c>
      <c r="F115" t="s">
        <v>920</v>
      </c>
      <c r="G115" t="e">
        <f>INDEX(#REF!,MATCH(P115,#REF!,0),1)</f>
        <v>#REF!</v>
      </c>
      <c r="H115" t="s">
        <v>921</v>
      </c>
      <c r="J115" t="s">
        <v>922</v>
      </c>
      <c r="K115" t="s">
        <v>353</v>
      </c>
      <c r="L115" t="s">
        <v>923</v>
      </c>
      <c r="M115" t="s">
        <v>924</v>
      </c>
      <c r="N115">
        <v>284</v>
      </c>
      <c r="O115" t="s">
        <v>925</v>
      </c>
      <c r="P115">
        <v>284</v>
      </c>
      <c r="Q115" t="s">
        <v>925</v>
      </c>
      <c r="R115" t="s">
        <v>893</v>
      </c>
      <c r="S115" t="s">
        <v>894</v>
      </c>
      <c r="T115" t="s">
        <v>44</v>
      </c>
      <c r="U115" t="s">
        <v>45</v>
      </c>
      <c r="AA115" t="s">
        <v>105</v>
      </c>
      <c r="AE115" t="s">
        <v>106</v>
      </c>
    </row>
    <row r="116" spans="1:33" x14ac:dyDescent="0.3">
      <c r="A116">
        <v>235</v>
      </c>
      <c r="B116" t="s">
        <v>926</v>
      </c>
      <c r="C116" t="str">
        <f>""</f>
        <v/>
      </c>
      <c r="D116" t="str">
        <f>"220610B00"</f>
        <v>220610B00</v>
      </c>
      <c r="E116" s="1">
        <v>42583</v>
      </c>
      <c r="F116" t="s">
        <v>927</v>
      </c>
      <c r="G116" t="e">
        <f>INDEX(#REF!,MATCH(P116,#REF!,0),1)</f>
        <v>#REF!</v>
      </c>
      <c r="H116" t="s">
        <v>928</v>
      </c>
      <c r="J116" t="s">
        <v>929</v>
      </c>
      <c r="K116" t="s">
        <v>251</v>
      </c>
      <c r="L116" t="str">
        <f>"08050"</f>
        <v>08050</v>
      </c>
      <c r="M116" t="s">
        <v>930</v>
      </c>
      <c r="N116">
        <v>35683</v>
      </c>
      <c r="O116" t="s">
        <v>931</v>
      </c>
      <c r="P116">
        <v>35683</v>
      </c>
      <c r="Q116" t="s">
        <v>931</v>
      </c>
      <c r="R116" t="s">
        <v>254</v>
      </c>
      <c r="S116" t="s">
        <v>255</v>
      </c>
      <c r="T116" t="s">
        <v>44</v>
      </c>
      <c r="U116" t="s">
        <v>45</v>
      </c>
    </row>
    <row r="117" spans="1:33" x14ac:dyDescent="0.3">
      <c r="A117">
        <v>237</v>
      </c>
      <c r="B117" t="s">
        <v>932</v>
      </c>
      <c r="C117" t="str">
        <f>"1100005098909"</f>
        <v>1100005098909</v>
      </c>
      <c r="D117" t="str">
        <f>"232710F00"</f>
        <v>232710F00</v>
      </c>
      <c r="E117" s="1">
        <v>42583</v>
      </c>
      <c r="F117" t="s">
        <v>933</v>
      </c>
      <c r="G117" t="e">
        <f>INDEX(#REF!,MATCH(P117,#REF!,0),1)</f>
        <v>#REF!</v>
      </c>
      <c r="H117" t="s">
        <v>934</v>
      </c>
      <c r="J117" t="s">
        <v>935</v>
      </c>
      <c r="K117" t="s">
        <v>65</v>
      </c>
      <c r="L117" t="s">
        <v>936</v>
      </c>
      <c r="M117" t="s">
        <v>937</v>
      </c>
      <c r="N117">
        <v>866167</v>
      </c>
      <c r="O117" t="s">
        <v>938</v>
      </c>
      <c r="P117">
        <v>3601</v>
      </c>
      <c r="Q117" t="s">
        <v>939</v>
      </c>
      <c r="R117" t="s">
        <v>940</v>
      </c>
      <c r="S117" t="s">
        <v>941</v>
      </c>
      <c r="T117" t="s">
        <v>44</v>
      </c>
      <c r="U117" t="s">
        <v>45</v>
      </c>
    </row>
    <row r="118" spans="1:33" x14ac:dyDescent="0.3">
      <c r="A118">
        <v>239</v>
      </c>
      <c r="B118" t="s">
        <v>942</v>
      </c>
      <c r="C118" t="str">
        <f>""</f>
        <v/>
      </c>
      <c r="D118" t="str">
        <f>"631370K00"</f>
        <v>631370K00</v>
      </c>
      <c r="E118" s="1">
        <v>30517</v>
      </c>
      <c r="F118" t="s">
        <v>943</v>
      </c>
      <c r="G118" t="e">
        <f>INDEX(#REF!,MATCH(P118,#REF!,0),1)</f>
        <v>#REF!</v>
      </c>
      <c r="H118" t="s">
        <v>944</v>
      </c>
      <c r="J118" t="s">
        <v>945</v>
      </c>
      <c r="K118" t="s">
        <v>177</v>
      </c>
      <c r="L118">
        <v>64089</v>
      </c>
      <c r="M118" t="s">
        <v>946</v>
      </c>
      <c r="N118">
        <v>6104582</v>
      </c>
      <c r="O118" t="s">
        <v>180</v>
      </c>
      <c r="P118">
        <v>2060</v>
      </c>
      <c r="Q118" t="s">
        <v>947</v>
      </c>
      <c r="R118" t="s">
        <v>182</v>
      </c>
      <c r="S118" t="s">
        <v>183</v>
      </c>
      <c r="T118" t="s">
        <v>44</v>
      </c>
      <c r="U118" t="s">
        <v>45</v>
      </c>
      <c r="AD118" t="s">
        <v>94</v>
      </c>
      <c r="AE118" t="s">
        <v>186</v>
      </c>
    </row>
    <row r="119" spans="1:33" x14ac:dyDescent="0.3">
      <c r="A119">
        <v>244</v>
      </c>
      <c r="B119" t="s">
        <v>948</v>
      </c>
      <c r="C119" t="str">
        <f>""</f>
        <v/>
      </c>
      <c r="D119" t="str">
        <f>"630790P00"</f>
        <v>630790P00</v>
      </c>
      <c r="E119" s="1">
        <v>28417</v>
      </c>
      <c r="F119" t="s">
        <v>949</v>
      </c>
      <c r="G119" t="e">
        <f>INDEX(#REF!,MATCH(P119,#REF!,0),1)</f>
        <v>#REF!</v>
      </c>
      <c r="H119" t="s">
        <v>950</v>
      </c>
      <c r="J119" t="s">
        <v>951</v>
      </c>
      <c r="K119" t="s">
        <v>177</v>
      </c>
      <c r="L119" t="s">
        <v>952</v>
      </c>
      <c r="M119" t="s">
        <v>953</v>
      </c>
      <c r="N119">
        <v>6104582</v>
      </c>
      <c r="O119" t="s">
        <v>180</v>
      </c>
      <c r="P119">
        <v>3951</v>
      </c>
      <c r="Q119" t="s">
        <v>954</v>
      </c>
      <c r="R119" t="s">
        <v>182</v>
      </c>
      <c r="S119" t="s">
        <v>183</v>
      </c>
      <c r="T119" t="s">
        <v>44</v>
      </c>
      <c r="U119" t="s">
        <v>45</v>
      </c>
      <c r="AD119" t="s">
        <v>94</v>
      </c>
      <c r="AE119" t="s">
        <v>186</v>
      </c>
      <c r="AG119" t="s">
        <v>48</v>
      </c>
    </row>
    <row r="120" spans="1:33" x14ac:dyDescent="0.3">
      <c r="A120">
        <v>249</v>
      </c>
      <c r="B120" t="s">
        <v>955</v>
      </c>
      <c r="C120" t="str">
        <f>"1100005969780"</f>
        <v>1100005969780</v>
      </c>
      <c r="D120" t="str">
        <f>"721160H00"</f>
        <v>721160H00</v>
      </c>
      <c r="E120" s="1">
        <v>34121</v>
      </c>
      <c r="F120" t="s">
        <v>956</v>
      </c>
      <c r="G120" t="e">
        <f>INDEX(#REF!,MATCH(P120,#REF!,0),1)</f>
        <v>#REF!</v>
      </c>
      <c r="H120" t="s">
        <v>957</v>
      </c>
      <c r="J120" t="s">
        <v>958</v>
      </c>
      <c r="K120" t="s">
        <v>353</v>
      </c>
      <c r="L120" t="s">
        <v>959</v>
      </c>
      <c r="M120" t="s">
        <v>960</v>
      </c>
      <c r="N120">
        <v>73818</v>
      </c>
      <c r="O120" t="s">
        <v>671</v>
      </c>
      <c r="P120">
        <v>73818</v>
      </c>
      <c r="Q120" t="s">
        <v>671</v>
      </c>
      <c r="R120" t="s">
        <v>356</v>
      </c>
      <c r="S120" t="s">
        <v>357</v>
      </c>
      <c r="T120" t="s">
        <v>44</v>
      </c>
      <c r="U120" t="s">
        <v>45</v>
      </c>
    </row>
    <row r="121" spans="1:33" x14ac:dyDescent="0.3">
      <c r="A121">
        <v>250</v>
      </c>
      <c r="B121" t="s">
        <v>961</v>
      </c>
      <c r="C121" t="str">
        <f>"1100003823145"</f>
        <v>1100003823145</v>
      </c>
      <c r="D121" t="str">
        <f>"671520L00"</f>
        <v>671520L00</v>
      </c>
      <c r="E121" s="1">
        <v>30265</v>
      </c>
      <c r="F121" t="s">
        <v>962</v>
      </c>
      <c r="G121" t="e">
        <f>INDEX(#REF!,MATCH(P121,#REF!,0),1)</f>
        <v>#REF!</v>
      </c>
      <c r="H121" t="s">
        <v>963</v>
      </c>
      <c r="J121" t="s">
        <v>964</v>
      </c>
      <c r="K121" t="s">
        <v>835</v>
      </c>
      <c r="L121" t="s">
        <v>965</v>
      </c>
      <c r="M121" t="s">
        <v>966</v>
      </c>
      <c r="N121">
        <v>250</v>
      </c>
      <c r="O121" t="s">
        <v>962</v>
      </c>
      <c r="P121">
        <v>250</v>
      </c>
      <c r="Q121" t="s">
        <v>962</v>
      </c>
      <c r="R121" t="s">
        <v>649</v>
      </c>
      <c r="S121" t="s">
        <v>650</v>
      </c>
      <c r="T121" t="s">
        <v>44</v>
      </c>
      <c r="U121" t="s">
        <v>45</v>
      </c>
      <c r="AA121" t="s">
        <v>119</v>
      </c>
      <c r="AE121" t="s">
        <v>348</v>
      </c>
    </row>
    <row r="122" spans="1:33" x14ac:dyDescent="0.3">
      <c r="A122">
        <v>251</v>
      </c>
      <c r="B122" t="s">
        <v>967</v>
      </c>
      <c r="C122" t="str">
        <f>""</f>
        <v/>
      </c>
      <c r="D122" t="str">
        <f>"C811T1G00"</f>
        <v>C811T1G00</v>
      </c>
      <c r="E122" s="1">
        <v>30635</v>
      </c>
      <c r="F122" t="s">
        <v>90</v>
      </c>
      <c r="G122" t="e">
        <f>INDEX(#REF!,MATCH(P122,#REF!,0),1)</f>
        <v>#REF!</v>
      </c>
      <c r="H122" t="s">
        <v>968</v>
      </c>
      <c r="J122" t="s">
        <v>969</v>
      </c>
      <c r="K122" t="s">
        <v>88</v>
      </c>
      <c r="L122" t="s">
        <v>970</v>
      </c>
      <c r="M122" t="s">
        <v>971</v>
      </c>
      <c r="N122">
        <v>251</v>
      </c>
      <c r="O122" t="s">
        <v>90</v>
      </c>
      <c r="P122">
        <v>251</v>
      </c>
      <c r="Q122" t="s">
        <v>90</v>
      </c>
      <c r="R122" t="s">
        <v>91</v>
      </c>
      <c r="S122" t="s">
        <v>92</v>
      </c>
      <c r="T122" t="s">
        <v>44</v>
      </c>
      <c r="U122" t="s">
        <v>81</v>
      </c>
      <c r="AA122" t="s">
        <v>93</v>
      </c>
      <c r="AC122" t="s">
        <v>90</v>
      </c>
      <c r="AD122" t="s">
        <v>94</v>
      </c>
      <c r="AE122" t="s">
        <v>72</v>
      </c>
      <c r="AG122" t="s">
        <v>48</v>
      </c>
    </row>
    <row r="123" spans="1:33" x14ac:dyDescent="0.3">
      <c r="A123">
        <v>253</v>
      </c>
      <c r="B123" t="s">
        <v>972</v>
      </c>
      <c r="C123" t="str">
        <f>""</f>
        <v/>
      </c>
      <c r="D123" t="str">
        <f>"392820O00"</f>
        <v>392820O00</v>
      </c>
      <c r="E123" s="1">
        <v>28417</v>
      </c>
      <c r="F123" t="s">
        <v>973</v>
      </c>
      <c r="G123" t="e">
        <f>INDEX(#REF!,MATCH(P123,#REF!,0),1)</f>
        <v>#REF!</v>
      </c>
      <c r="H123" t="s">
        <v>974</v>
      </c>
      <c r="I123" t="s">
        <v>259</v>
      </c>
      <c r="J123" t="s">
        <v>975</v>
      </c>
      <c r="K123" t="s">
        <v>167</v>
      </c>
      <c r="L123" t="s">
        <v>976</v>
      </c>
      <c r="M123" t="s">
        <v>977</v>
      </c>
      <c r="N123">
        <v>253</v>
      </c>
      <c r="O123" t="s">
        <v>973</v>
      </c>
      <c r="P123">
        <v>253</v>
      </c>
      <c r="Q123" t="s">
        <v>973</v>
      </c>
      <c r="R123" t="s">
        <v>434</v>
      </c>
      <c r="S123" t="s">
        <v>435</v>
      </c>
      <c r="T123" t="s">
        <v>44</v>
      </c>
      <c r="U123" t="s">
        <v>45</v>
      </c>
      <c r="AA123" t="s">
        <v>93</v>
      </c>
      <c r="AB123" t="s">
        <v>105</v>
      </c>
      <c r="AE123" t="s">
        <v>220</v>
      </c>
    </row>
    <row r="124" spans="1:33" x14ac:dyDescent="0.3">
      <c r="A124">
        <v>254</v>
      </c>
      <c r="B124" t="s">
        <v>978</v>
      </c>
      <c r="C124" t="str">
        <f>"1100004206589"</f>
        <v>1100004206589</v>
      </c>
      <c r="D124" t="str">
        <f>"320560G00"</f>
        <v>320560G00</v>
      </c>
      <c r="E124" s="1">
        <v>42795</v>
      </c>
      <c r="F124" t="s">
        <v>979</v>
      </c>
      <c r="G124" t="e">
        <f>INDEX(#REF!,MATCH(P124,#REF!,0),1)</f>
        <v>#REF!</v>
      </c>
      <c r="H124" t="s">
        <v>980</v>
      </c>
      <c r="J124" t="s">
        <v>981</v>
      </c>
      <c r="K124" t="s">
        <v>982</v>
      </c>
      <c r="L124" t="s">
        <v>983</v>
      </c>
      <c r="M124" t="s">
        <v>984</v>
      </c>
      <c r="N124">
        <v>767189</v>
      </c>
      <c r="O124" t="s">
        <v>985</v>
      </c>
      <c r="P124">
        <v>767189</v>
      </c>
      <c r="Q124" t="s">
        <v>985</v>
      </c>
      <c r="R124" t="s">
        <v>986</v>
      </c>
      <c r="S124" t="s">
        <v>987</v>
      </c>
      <c r="T124" t="s">
        <v>44</v>
      </c>
      <c r="U124" t="s">
        <v>717</v>
      </c>
      <c r="Y124" t="s">
        <v>46</v>
      </c>
      <c r="Z124" s="1">
        <v>44805</v>
      </c>
      <c r="AA124" t="s">
        <v>219</v>
      </c>
      <c r="AB124" t="s">
        <v>93</v>
      </c>
      <c r="AE124" t="s">
        <v>220</v>
      </c>
      <c r="AG124" t="s">
        <v>48</v>
      </c>
    </row>
    <row r="125" spans="1:33" x14ac:dyDescent="0.3">
      <c r="A125">
        <v>256</v>
      </c>
      <c r="B125" t="s">
        <v>988</v>
      </c>
      <c r="C125" t="str">
        <f>"1100004512260"</f>
        <v>1100004512260</v>
      </c>
      <c r="D125" t="str">
        <f>"410390H00"</f>
        <v>410390H00</v>
      </c>
      <c r="E125" s="1">
        <v>28417</v>
      </c>
      <c r="F125" t="s">
        <v>989</v>
      </c>
      <c r="G125" t="e">
        <f>INDEX(#REF!,MATCH(P125,#REF!,0),1)</f>
        <v>#REF!</v>
      </c>
      <c r="H125" t="s">
        <v>990</v>
      </c>
      <c r="J125" t="s">
        <v>991</v>
      </c>
      <c r="K125" t="s">
        <v>37</v>
      </c>
      <c r="L125" t="s">
        <v>992</v>
      </c>
      <c r="M125" t="s">
        <v>993</v>
      </c>
      <c r="N125">
        <v>256</v>
      </c>
      <c r="O125" t="s">
        <v>989</v>
      </c>
      <c r="P125">
        <v>256</v>
      </c>
      <c r="Q125" t="s">
        <v>989</v>
      </c>
      <c r="R125" t="s">
        <v>520</v>
      </c>
      <c r="S125" t="s">
        <v>521</v>
      </c>
      <c r="T125" t="s">
        <v>44</v>
      </c>
      <c r="U125" t="s">
        <v>45</v>
      </c>
      <c r="AA125" t="s">
        <v>105</v>
      </c>
      <c r="AE125" t="s">
        <v>269</v>
      </c>
      <c r="AG125" t="s">
        <v>48</v>
      </c>
    </row>
    <row r="126" spans="1:33" x14ac:dyDescent="0.3">
      <c r="A126">
        <v>258</v>
      </c>
      <c r="B126" t="s">
        <v>994</v>
      </c>
      <c r="C126" t="str">
        <f>""</f>
        <v/>
      </c>
      <c r="D126" t="str">
        <f>"431990Q00"</f>
        <v>431990Q00</v>
      </c>
      <c r="E126" s="1">
        <v>44501</v>
      </c>
      <c r="F126" t="s">
        <v>995</v>
      </c>
      <c r="G126" t="e">
        <f>INDEX(#REF!,MATCH(P126,#REF!,0),1)</f>
        <v>#REF!</v>
      </c>
      <c r="H126" t="s">
        <v>996</v>
      </c>
      <c r="J126" t="s">
        <v>997</v>
      </c>
      <c r="K126" t="s">
        <v>342</v>
      </c>
      <c r="L126">
        <v>61856</v>
      </c>
      <c r="M126" t="s">
        <v>998</v>
      </c>
      <c r="N126">
        <v>258</v>
      </c>
      <c r="O126" t="s">
        <v>995</v>
      </c>
      <c r="P126">
        <v>258</v>
      </c>
      <c r="Q126" t="s">
        <v>995</v>
      </c>
      <c r="R126" t="s">
        <v>245</v>
      </c>
      <c r="S126" t="s">
        <v>246</v>
      </c>
      <c r="T126" t="s">
        <v>44</v>
      </c>
      <c r="U126" t="s">
        <v>45</v>
      </c>
      <c r="AA126" t="s">
        <v>211</v>
      </c>
    </row>
    <row r="127" spans="1:33" x14ac:dyDescent="0.3">
      <c r="A127">
        <v>259</v>
      </c>
      <c r="B127" t="s">
        <v>999</v>
      </c>
      <c r="C127" t="str">
        <f>""</f>
        <v/>
      </c>
      <c r="D127" t="str">
        <f>"OSZC4RM00"</f>
        <v>OSZC4RM00</v>
      </c>
      <c r="E127" s="1">
        <v>43615</v>
      </c>
      <c r="F127" t="s">
        <v>1000</v>
      </c>
      <c r="G127" t="e">
        <f>INDEX(#REF!,MATCH(P127,#REF!,0),1)</f>
        <v>#REF!</v>
      </c>
      <c r="H127" t="s">
        <v>1001</v>
      </c>
      <c r="J127" t="s">
        <v>1002</v>
      </c>
      <c r="K127" t="s">
        <v>982</v>
      </c>
      <c r="L127" t="s">
        <v>1003</v>
      </c>
      <c r="M127" t="s">
        <v>1004</v>
      </c>
      <c r="N127">
        <v>2449824</v>
      </c>
      <c r="O127" t="s">
        <v>1005</v>
      </c>
      <c r="P127">
        <v>2449824</v>
      </c>
      <c r="Q127" t="s">
        <v>1005</v>
      </c>
      <c r="R127" t="s">
        <v>1006</v>
      </c>
      <c r="S127" t="s">
        <v>1007</v>
      </c>
      <c r="T127" t="s">
        <v>44</v>
      </c>
      <c r="U127" t="s">
        <v>45</v>
      </c>
      <c r="AE127" t="s">
        <v>186</v>
      </c>
      <c r="AG127" t="s">
        <v>48</v>
      </c>
    </row>
    <row r="128" spans="1:33" x14ac:dyDescent="0.3">
      <c r="A128">
        <v>261</v>
      </c>
      <c r="B128" t="s">
        <v>1008</v>
      </c>
      <c r="C128" t="str">
        <f>"1100003201455"</f>
        <v>1100003201455</v>
      </c>
      <c r="D128" t="str">
        <f>"530620G00"</f>
        <v>530620G00</v>
      </c>
      <c r="E128" s="1">
        <v>42620</v>
      </c>
      <c r="F128" t="s">
        <v>1009</v>
      </c>
      <c r="G128" t="e">
        <f>INDEX(#REF!,MATCH(P128,#REF!,0),1)</f>
        <v>#REF!</v>
      </c>
      <c r="H128" t="s">
        <v>1010</v>
      </c>
      <c r="J128" t="s">
        <v>1011</v>
      </c>
      <c r="K128" t="s">
        <v>125</v>
      </c>
      <c r="L128" t="s">
        <v>1012</v>
      </c>
      <c r="M128" t="s">
        <v>1013</v>
      </c>
      <c r="N128">
        <v>486</v>
      </c>
      <c r="O128" t="s">
        <v>218</v>
      </c>
      <c r="P128">
        <v>486</v>
      </c>
      <c r="Q128" t="s">
        <v>218</v>
      </c>
      <c r="R128" t="s">
        <v>115</v>
      </c>
      <c r="S128" t="s">
        <v>116</v>
      </c>
      <c r="T128" t="s">
        <v>44</v>
      </c>
      <c r="U128" t="s">
        <v>45</v>
      </c>
      <c r="AA128" t="s">
        <v>105</v>
      </c>
      <c r="AB128" t="s">
        <v>219</v>
      </c>
      <c r="AE128" t="s">
        <v>220</v>
      </c>
    </row>
    <row r="129" spans="1:33" x14ac:dyDescent="0.3">
      <c r="A129">
        <v>262</v>
      </c>
      <c r="B129" t="s">
        <v>1014</v>
      </c>
      <c r="C129" t="str">
        <f>"1100005064874"</f>
        <v>1100005064874</v>
      </c>
      <c r="D129" t="str">
        <f>"BJ4CQLL00"</f>
        <v>BJ4CQLL00</v>
      </c>
      <c r="E129" s="1">
        <v>31260</v>
      </c>
      <c r="F129" t="s">
        <v>1015</v>
      </c>
      <c r="G129" t="e">
        <f>INDEX(#REF!,MATCH(P129,#REF!,0),1)</f>
        <v>#REF!</v>
      </c>
      <c r="H129" t="s">
        <v>1016</v>
      </c>
      <c r="J129" t="s">
        <v>1017</v>
      </c>
      <c r="K129" t="s">
        <v>283</v>
      </c>
      <c r="L129" t="s">
        <v>1018</v>
      </c>
      <c r="M129" t="s">
        <v>1019</v>
      </c>
      <c r="N129">
        <v>75245</v>
      </c>
      <c r="O129" t="s">
        <v>1020</v>
      </c>
      <c r="P129">
        <v>75245</v>
      </c>
      <c r="Q129" t="s">
        <v>1020</v>
      </c>
      <c r="R129" t="s">
        <v>1021</v>
      </c>
      <c r="S129" t="s">
        <v>1022</v>
      </c>
      <c r="T129" t="s">
        <v>44</v>
      </c>
      <c r="U129" t="s">
        <v>45</v>
      </c>
      <c r="AA129" t="s">
        <v>119</v>
      </c>
      <c r="AE129" t="s">
        <v>120</v>
      </c>
      <c r="AG129" t="s">
        <v>48</v>
      </c>
    </row>
    <row r="130" spans="1:33" x14ac:dyDescent="0.3">
      <c r="A130">
        <v>264</v>
      </c>
      <c r="B130" t="s">
        <v>1023</v>
      </c>
      <c r="C130" t="str">
        <f>""</f>
        <v/>
      </c>
      <c r="D130" t="str">
        <f>"L111R0F00"</f>
        <v>L111R0F00</v>
      </c>
      <c r="E130" s="1">
        <v>28417</v>
      </c>
      <c r="F130" t="s">
        <v>1024</v>
      </c>
      <c r="G130" t="e">
        <f>INDEX(#REF!,MATCH(P130,#REF!,0),1)</f>
        <v>#REF!</v>
      </c>
      <c r="H130" t="s">
        <v>1025</v>
      </c>
      <c r="J130" t="s">
        <v>1026</v>
      </c>
      <c r="K130" t="s">
        <v>577</v>
      </c>
      <c r="L130" t="s">
        <v>1027</v>
      </c>
      <c r="M130" t="s">
        <v>1028</v>
      </c>
      <c r="N130">
        <v>264</v>
      </c>
      <c r="O130" t="s">
        <v>1024</v>
      </c>
      <c r="P130">
        <v>264</v>
      </c>
      <c r="Q130" t="s">
        <v>1024</v>
      </c>
      <c r="R130" t="s">
        <v>1029</v>
      </c>
      <c r="S130" t="s">
        <v>1030</v>
      </c>
      <c r="T130" t="s">
        <v>44</v>
      </c>
      <c r="U130" t="s">
        <v>81</v>
      </c>
      <c r="Y130" t="s">
        <v>46</v>
      </c>
      <c r="Z130" s="1">
        <v>45474</v>
      </c>
      <c r="AA130" t="s">
        <v>1031</v>
      </c>
      <c r="AB130" t="s">
        <v>1032</v>
      </c>
      <c r="AE130" t="s">
        <v>1033</v>
      </c>
    </row>
    <row r="131" spans="1:33" x14ac:dyDescent="0.3">
      <c r="A131">
        <v>265</v>
      </c>
      <c r="B131" t="s">
        <v>1034</v>
      </c>
      <c r="C131" t="str">
        <f>""</f>
        <v/>
      </c>
      <c r="D131" t="str">
        <f>"710010900"</f>
        <v>710010900</v>
      </c>
      <c r="E131" s="1">
        <v>29621</v>
      </c>
      <c r="F131" t="s">
        <v>1035</v>
      </c>
      <c r="G131" t="e">
        <f>INDEX(#REF!,MATCH(P131,#REF!,0),1)</f>
        <v>#REF!</v>
      </c>
      <c r="H131" t="s">
        <v>1036</v>
      </c>
      <c r="J131" t="s">
        <v>1037</v>
      </c>
      <c r="K131" t="s">
        <v>111</v>
      </c>
      <c r="L131" t="s">
        <v>1038</v>
      </c>
      <c r="M131" t="s">
        <v>1039</v>
      </c>
      <c r="N131">
        <v>28</v>
      </c>
      <c r="O131" t="s">
        <v>114</v>
      </c>
      <c r="P131">
        <v>28</v>
      </c>
      <c r="Q131" t="s">
        <v>114</v>
      </c>
      <c r="R131" t="s">
        <v>115</v>
      </c>
      <c r="S131" t="s">
        <v>116</v>
      </c>
      <c r="T131" t="s">
        <v>44</v>
      </c>
      <c r="U131" t="s">
        <v>45</v>
      </c>
      <c r="AA131" t="s">
        <v>119</v>
      </c>
      <c r="AE131" t="s">
        <v>120</v>
      </c>
    </row>
    <row r="132" spans="1:33" x14ac:dyDescent="0.3">
      <c r="A132">
        <v>266</v>
      </c>
      <c r="B132" t="s">
        <v>1040</v>
      </c>
      <c r="C132" t="str">
        <f>"1100005381216"</f>
        <v>1100005381216</v>
      </c>
      <c r="D132" t="str">
        <f>"421420D00"</f>
        <v>421420D00</v>
      </c>
      <c r="E132" s="1">
        <v>31034</v>
      </c>
      <c r="F132" t="s">
        <v>1041</v>
      </c>
      <c r="G132" t="e">
        <f>INDEX(#REF!,MATCH(P132,#REF!,0),1)</f>
        <v>#REF!</v>
      </c>
      <c r="H132" t="s">
        <v>1042</v>
      </c>
      <c r="J132" t="s">
        <v>1043</v>
      </c>
      <c r="K132" t="s">
        <v>307</v>
      </c>
      <c r="L132" t="s">
        <v>1044</v>
      </c>
      <c r="M132" t="s">
        <v>1045</v>
      </c>
      <c r="N132">
        <v>266</v>
      </c>
      <c r="O132" t="s">
        <v>1041</v>
      </c>
      <c r="P132">
        <v>266</v>
      </c>
      <c r="Q132" t="s">
        <v>1041</v>
      </c>
      <c r="R132" t="s">
        <v>1046</v>
      </c>
      <c r="S132" t="s">
        <v>1047</v>
      </c>
      <c r="T132" t="s">
        <v>44</v>
      </c>
      <c r="U132" t="s">
        <v>45</v>
      </c>
    </row>
    <row r="133" spans="1:33" x14ac:dyDescent="0.3">
      <c r="A133">
        <v>267</v>
      </c>
      <c r="B133" t="s">
        <v>1048</v>
      </c>
      <c r="C133" t="str">
        <f>"1100005383180"</f>
        <v>1100005383180</v>
      </c>
      <c r="D133" t="str">
        <f>"441020B00"</f>
        <v>441020B00</v>
      </c>
      <c r="E133" s="1">
        <v>30868</v>
      </c>
      <c r="F133" t="s">
        <v>1049</v>
      </c>
      <c r="G133" t="e">
        <f>INDEX(#REF!,MATCH(P133,#REF!,0),1)</f>
        <v>#REF!</v>
      </c>
      <c r="H133" t="s">
        <v>1050</v>
      </c>
      <c r="J133" t="s">
        <v>1051</v>
      </c>
      <c r="K133" t="s">
        <v>261</v>
      </c>
      <c r="L133" t="s">
        <v>1052</v>
      </c>
      <c r="M133" t="s">
        <v>1053</v>
      </c>
      <c r="N133">
        <v>4168349</v>
      </c>
      <c r="O133" t="s">
        <v>264</v>
      </c>
      <c r="P133">
        <v>43714</v>
      </c>
      <c r="Q133" t="s">
        <v>265</v>
      </c>
      <c r="R133" t="s">
        <v>266</v>
      </c>
      <c r="S133" t="s">
        <v>267</v>
      </c>
      <c r="T133" t="s">
        <v>44</v>
      </c>
      <c r="U133" t="s">
        <v>45</v>
      </c>
      <c r="Y133" t="s">
        <v>46</v>
      </c>
      <c r="Z133" s="1">
        <v>44835</v>
      </c>
      <c r="AC133" t="s">
        <v>268</v>
      </c>
      <c r="AE133" t="s">
        <v>269</v>
      </c>
      <c r="AG133" t="s">
        <v>48</v>
      </c>
    </row>
    <row r="134" spans="1:33" x14ac:dyDescent="0.3">
      <c r="A134">
        <v>273</v>
      </c>
      <c r="B134" t="s">
        <v>1054</v>
      </c>
      <c r="C134" t="str">
        <f>"1100002093358"</f>
        <v>1100002093358</v>
      </c>
      <c r="D134" t="str">
        <f>"420200800"</f>
        <v>420200800</v>
      </c>
      <c r="E134" s="1">
        <v>42562</v>
      </c>
      <c r="F134" t="s">
        <v>1055</v>
      </c>
      <c r="G134" t="e">
        <f>INDEX(#REF!,MATCH(P134,#REF!,0),1)</f>
        <v>#REF!</v>
      </c>
      <c r="H134" t="s">
        <v>1056</v>
      </c>
      <c r="J134" t="s">
        <v>1057</v>
      </c>
      <c r="K134" t="s">
        <v>307</v>
      </c>
      <c r="L134" t="s">
        <v>1058</v>
      </c>
      <c r="M134" t="s">
        <v>1059</v>
      </c>
      <c r="N134">
        <v>266</v>
      </c>
      <c r="O134" t="s">
        <v>1041</v>
      </c>
      <c r="P134">
        <v>266</v>
      </c>
      <c r="Q134" t="s">
        <v>1041</v>
      </c>
      <c r="R134" t="s">
        <v>465</v>
      </c>
      <c r="S134" t="s">
        <v>466</v>
      </c>
      <c r="T134" t="s">
        <v>44</v>
      </c>
      <c r="U134" t="s">
        <v>45</v>
      </c>
    </row>
    <row r="135" spans="1:33" x14ac:dyDescent="0.3">
      <c r="A135">
        <v>275</v>
      </c>
      <c r="B135" t="s">
        <v>1060</v>
      </c>
      <c r="C135" t="str">
        <f>""</f>
        <v/>
      </c>
      <c r="D135" t="str">
        <f>"038FDSV00"</f>
        <v>038FDSV00</v>
      </c>
      <c r="E135" s="1">
        <v>31055</v>
      </c>
      <c r="F135" t="s">
        <v>1061</v>
      </c>
      <c r="G135" t="e">
        <f>INDEX(#REF!,MATCH(P135,#REF!,0),1)</f>
        <v>#REF!</v>
      </c>
      <c r="H135" t="s">
        <v>1062</v>
      </c>
      <c r="J135" t="s">
        <v>1063</v>
      </c>
      <c r="K135" t="s">
        <v>261</v>
      </c>
      <c r="L135" t="s">
        <v>1064</v>
      </c>
      <c r="M135" t="s">
        <v>1065</v>
      </c>
      <c r="N135">
        <v>275</v>
      </c>
      <c r="O135" t="s">
        <v>1061</v>
      </c>
      <c r="P135">
        <v>275</v>
      </c>
      <c r="Q135" t="s">
        <v>1061</v>
      </c>
      <c r="R135" t="s">
        <v>310</v>
      </c>
      <c r="S135" t="s">
        <v>311</v>
      </c>
      <c r="T135" t="s">
        <v>44</v>
      </c>
      <c r="U135" t="s">
        <v>81</v>
      </c>
      <c r="AC135" t="s">
        <v>1066</v>
      </c>
    </row>
    <row r="136" spans="1:33" x14ac:dyDescent="0.3">
      <c r="A136">
        <v>278</v>
      </c>
      <c r="B136" t="s">
        <v>1067</v>
      </c>
      <c r="C136" t="str">
        <f>"1100003107313"</f>
        <v>1100003107313</v>
      </c>
      <c r="D136" t="str">
        <f>""</f>
        <v/>
      </c>
      <c r="E136" s="1">
        <v>41271</v>
      </c>
      <c r="F136" t="s">
        <v>1068</v>
      </c>
      <c r="G136" t="e">
        <f>INDEX(#REF!,MATCH(P136,#REF!,0),1)</f>
        <v>#REF!</v>
      </c>
      <c r="H136" t="s">
        <v>1069</v>
      </c>
      <c r="J136" t="s">
        <v>1070</v>
      </c>
      <c r="K136" t="s">
        <v>37</v>
      </c>
      <c r="L136">
        <v>44111</v>
      </c>
      <c r="M136" t="s">
        <v>1071</v>
      </c>
      <c r="N136">
        <v>770471</v>
      </c>
      <c r="O136" t="s">
        <v>40</v>
      </c>
      <c r="P136">
        <v>770471</v>
      </c>
      <c r="Q136" t="s">
        <v>40</v>
      </c>
      <c r="R136" t="s">
        <v>42</v>
      </c>
      <c r="S136" t="s">
        <v>43</v>
      </c>
      <c r="T136" t="s">
        <v>44</v>
      </c>
      <c r="U136" t="s">
        <v>45</v>
      </c>
      <c r="Y136" t="s">
        <v>46</v>
      </c>
      <c r="Z136" s="1">
        <v>41562</v>
      </c>
      <c r="AE136" t="s">
        <v>47</v>
      </c>
      <c r="AG136" t="s">
        <v>48</v>
      </c>
    </row>
    <row r="137" spans="1:33" x14ac:dyDescent="0.3">
      <c r="A137">
        <v>280</v>
      </c>
      <c r="B137" t="s">
        <v>1072</v>
      </c>
      <c r="C137" t="str">
        <f>"1100005898455"</f>
        <v>1100005898455</v>
      </c>
      <c r="D137" t="str">
        <f>""</f>
        <v/>
      </c>
      <c r="E137" s="1">
        <v>42583</v>
      </c>
      <c r="F137" t="s">
        <v>1073</v>
      </c>
      <c r="G137" t="e">
        <f>INDEX(#REF!,MATCH(P137,#REF!,0),1)</f>
        <v>#REF!</v>
      </c>
      <c r="H137" t="s">
        <v>1074</v>
      </c>
      <c r="J137" t="s">
        <v>1075</v>
      </c>
      <c r="K137" t="s">
        <v>111</v>
      </c>
      <c r="L137" t="s">
        <v>1076</v>
      </c>
      <c r="M137" t="s">
        <v>1077</v>
      </c>
      <c r="N137">
        <v>280</v>
      </c>
      <c r="O137" t="s">
        <v>1073</v>
      </c>
      <c r="P137">
        <v>280</v>
      </c>
      <c r="Q137" t="s">
        <v>1073</v>
      </c>
      <c r="R137" t="s">
        <v>1078</v>
      </c>
      <c r="S137" t="s">
        <v>1079</v>
      </c>
      <c r="T137" t="s">
        <v>44</v>
      </c>
      <c r="U137" t="s">
        <v>45</v>
      </c>
      <c r="AC137" t="s">
        <v>1080</v>
      </c>
    </row>
    <row r="138" spans="1:33" x14ac:dyDescent="0.3">
      <c r="A138">
        <v>281</v>
      </c>
      <c r="B138" t="s">
        <v>1081</v>
      </c>
      <c r="C138" t="str">
        <f>"1100004541512"</f>
        <v>1100004541512</v>
      </c>
      <c r="D138" t="str">
        <f>""</f>
        <v/>
      </c>
      <c r="E138" s="1">
        <v>30672</v>
      </c>
      <c r="F138" t="s">
        <v>758</v>
      </c>
      <c r="G138" t="e">
        <f>INDEX(#REF!,MATCH(P138,#REF!,0),1)</f>
        <v>#REF!</v>
      </c>
      <c r="H138" t="s">
        <v>1082</v>
      </c>
      <c r="J138" t="s">
        <v>1083</v>
      </c>
      <c r="K138" t="s">
        <v>261</v>
      </c>
      <c r="L138" t="s">
        <v>1084</v>
      </c>
      <c r="M138" t="s">
        <v>1085</v>
      </c>
      <c r="N138">
        <v>4168349</v>
      </c>
      <c r="O138" t="s">
        <v>264</v>
      </c>
      <c r="P138">
        <v>4168349</v>
      </c>
      <c r="Q138" t="s">
        <v>264</v>
      </c>
      <c r="R138" t="s">
        <v>266</v>
      </c>
      <c r="S138" t="s">
        <v>267</v>
      </c>
      <c r="T138" t="s">
        <v>44</v>
      </c>
      <c r="U138" t="s">
        <v>81</v>
      </c>
      <c r="Y138" t="s">
        <v>46</v>
      </c>
      <c r="Z138" s="1">
        <v>44835</v>
      </c>
      <c r="AG138" t="s">
        <v>48</v>
      </c>
    </row>
    <row r="139" spans="1:33" x14ac:dyDescent="0.3">
      <c r="A139">
        <v>282</v>
      </c>
      <c r="B139" t="s">
        <v>1086</v>
      </c>
      <c r="C139" t="str">
        <f>"1100005995819"</f>
        <v>1100005995819</v>
      </c>
      <c r="D139" t="str">
        <f>"520450G00"</f>
        <v>520450G00</v>
      </c>
      <c r="E139" s="1">
        <v>30473</v>
      </c>
      <c r="F139" t="s">
        <v>1087</v>
      </c>
      <c r="G139" t="e">
        <f>INDEX(#REF!,MATCH(P139,#REF!,0),1)</f>
        <v>#REF!</v>
      </c>
      <c r="H139" t="s">
        <v>1088</v>
      </c>
      <c r="J139" t="s">
        <v>1089</v>
      </c>
      <c r="K139" t="s">
        <v>139</v>
      </c>
      <c r="L139" t="s">
        <v>1090</v>
      </c>
      <c r="M139" t="s">
        <v>1091</v>
      </c>
      <c r="N139">
        <v>282</v>
      </c>
      <c r="O139" t="s">
        <v>1087</v>
      </c>
      <c r="P139">
        <v>282</v>
      </c>
      <c r="Q139" t="s">
        <v>1087</v>
      </c>
      <c r="R139" t="s">
        <v>1092</v>
      </c>
      <c r="S139" t="s">
        <v>1093</v>
      </c>
      <c r="T139" t="s">
        <v>44</v>
      </c>
      <c r="U139" t="s">
        <v>45</v>
      </c>
      <c r="AA139" t="s">
        <v>105</v>
      </c>
      <c r="AB139" t="s">
        <v>93</v>
      </c>
      <c r="AE139" t="s">
        <v>220</v>
      </c>
    </row>
    <row r="140" spans="1:33" x14ac:dyDescent="0.3">
      <c r="A140">
        <v>283</v>
      </c>
      <c r="B140" t="s">
        <v>1094</v>
      </c>
      <c r="C140" t="str">
        <f>""</f>
        <v/>
      </c>
      <c r="D140" t="str">
        <f>"720260H00"</f>
        <v>720260H00</v>
      </c>
      <c r="E140" s="1">
        <v>44531</v>
      </c>
      <c r="F140" t="s">
        <v>1095</v>
      </c>
      <c r="G140" t="e">
        <f>INDEX(#REF!,MATCH(P140,#REF!,0),1)</f>
        <v>#REF!</v>
      </c>
      <c r="H140" t="s">
        <v>1096</v>
      </c>
      <c r="J140" t="s">
        <v>1097</v>
      </c>
      <c r="K140" t="s">
        <v>353</v>
      </c>
      <c r="L140" t="s">
        <v>1098</v>
      </c>
      <c r="M140" t="s">
        <v>1099</v>
      </c>
      <c r="N140">
        <v>283</v>
      </c>
      <c r="O140" t="s">
        <v>1095</v>
      </c>
      <c r="P140">
        <v>283</v>
      </c>
      <c r="Q140" t="s">
        <v>1095</v>
      </c>
      <c r="R140" t="s">
        <v>356</v>
      </c>
      <c r="S140" t="s">
        <v>357</v>
      </c>
      <c r="T140" t="s">
        <v>44</v>
      </c>
      <c r="U140" t="s">
        <v>45</v>
      </c>
      <c r="AC140" t="s">
        <v>1100</v>
      </c>
    </row>
    <row r="141" spans="1:33" x14ac:dyDescent="0.3">
      <c r="A141">
        <v>284</v>
      </c>
      <c r="B141" t="s">
        <v>1101</v>
      </c>
      <c r="C141" t="str">
        <f>""</f>
        <v/>
      </c>
      <c r="D141" t="str">
        <f>"721790Q00"</f>
        <v>721790Q00</v>
      </c>
      <c r="E141" s="1">
        <v>30208</v>
      </c>
      <c r="F141" t="s">
        <v>925</v>
      </c>
      <c r="G141" t="e">
        <f>INDEX(#REF!,MATCH(P141,#REF!,0),1)</f>
        <v>#REF!</v>
      </c>
      <c r="H141" t="s">
        <v>1102</v>
      </c>
      <c r="J141" t="s">
        <v>922</v>
      </c>
      <c r="K141" t="s">
        <v>353</v>
      </c>
      <c r="L141" t="s">
        <v>1103</v>
      </c>
      <c r="M141" t="s">
        <v>1104</v>
      </c>
      <c r="N141">
        <v>284</v>
      </c>
      <c r="O141" t="s">
        <v>925</v>
      </c>
      <c r="P141">
        <v>284</v>
      </c>
      <c r="Q141" t="s">
        <v>925</v>
      </c>
      <c r="R141" t="s">
        <v>893</v>
      </c>
      <c r="S141" t="s">
        <v>894</v>
      </c>
      <c r="T141" t="s">
        <v>44</v>
      </c>
      <c r="U141" t="s">
        <v>45</v>
      </c>
      <c r="AA141" t="s">
        <v>105</v>
      </c>
      <c r="AE141" t="s">
        <v>106</v>
      </c>
    </row>
    <row r="142" spans="1:33" x14ac:dyDescent="0.3">
      <c r="A142">
        <v>286</v>
      </c>
      <c r="B142" t="s">
        <v>1105</v>
      </c>
      <c r="C142" t="str">
        <f>"1100005094208"</f>
        <v>1100005094208</v>
      </c>
      <c r="D142" t="str">
        <f>"9R37WEK00"</f>
        <v>9R37WEK00</v>
      </c>
      <c r="E142" s="1">
        <v>30511</v>
      </c>
      <c r="F142" t="s">
        <v>1106</v>
      </c>
      <c r="G142" t="e">
        <f>INDEX(#REF!,MATCH(P142,#REF!,0),1)</f>
        <v>#REF!</v>
      </c>
      <c r="H142" t="s">
        <v>1107</v>
      </c>
      <c r="J142" t="s">
        <v>1108</v>
      </c>
      <c r="K142" t="s">
        <v>1109</v>
      </c>
      <c r="L142" t="str">
        <f>"06510-3220"</f>
        <v>06510-3220</v>
      </c>
      <c r="M142" t="s">
        <v>1110</v>
      </c>
      <c r="N142">
        <v>286</v>
      </c>
      <c r="O142" t="s">
        <v>1106</v>
      </c>
      <c r="P142">
        <v>286</v>
      </c>
      <c r="Q142" t="s">
        <v>1106</v>
      </c>
      <c r="R142" t="s">
        <v>56</v>
      </c>
      <c r="S142" t="s">
        <v>57</v>
      </c>
      <c r="T142" t="s">
        <v>44</v>
      </c>
      <c r="U142" t="s">
        <v>81</v>
      </c>
      <c r="AA142" t="s">
        <v>58</v>
      </c>
      <c r="AE142" t="s">
        <v>60</v>
      </c>
      <c r="AG142" t="s">
        <v>48</v>
      </c>
    </row>
    <row r="143" spans="1:33" x14ac:dyDescent="0.3">
      <c r="A143">
        <v>287</v>
      </c>
      <c r="B143" t="s">
        <v>1111</v>
      </c>
      <c r="C143" t="str">
        <f>""</f>
        <v/>
      </c>
      <c r="D143" t="str">
        <f>"85QP2HB00"</f>
        <v>85QP2HB00</v>
      </c>
      <c r="E143" s="1">
        <v>31260</v>
      </c>
      <c r="F143" t="s">
        <v>1112</v>
      </c>
      <c r="G143" t="e">
        <f>INDEX(#REF!,MATCH(P143,#REF!,0),1)</f>
        <v>#REF!</v>
      </c>
      <c r="H143" t="s">
        <v>1113</v>
      </c>
      <c r="J143" t="s">
        <v>1114</v>
      </c>
      <c r="K143" t="s">
        <v>283</v>
      </c>
      <c r="L143" t="s">
        <v>1115</v>
      </c>
      <c r="M143" t="s">
        <v>1116</v>
      </c>
      <c r="N143">
        <v>742</v>
      </c>
      <c r="O143" t="s">
        <v>1117</v>
      </c>
      <c r="P143">
        <v>742</v>
      </c>
      <c r="Q143" t="s">
        <v>1117</v>
      </c>
      <c r="R143" t="s">
        <v>1046</v>
      </c>
      <c r="S143" t="s">
        <v>1047</v>
      </c>
      <c r="T143" t="s">
        <v>44</v>
      </c>
      <c r="U143" t="s">
        <v>45</v>
      </c>
      <c r="AA143" t="s">
        <v>119</v>
      </c>
      <c r="AE143" t="s">
        <v>120</v>
      </c>
    </row>
    <row r="144" spans="1:33" x14ac:dyDescent="0.3">
      <c r="A144">
        <v>288</v>
      </c>
      <c r="B144" t="s">
        <v>1118</v>
      </c>
      <c r="C144" t="str">
        <f>"1100004533272"</f>
        <v>1100004533272</v>
      </c>
      <c r="D144" t="str">
        <f>"441410E00"</f>
        <v>441410E00</v>
      </c>
      <c r="E144" s="1">
        <v>30868</v>
      </c>
      <c r="F144" t="s">
        <v>1119</v>
      </c>
      <c r="G144" t="e">
        <f>INDEX(#REF!,MATCH(P144,#REF!,0),1)</f>
        <v>#REF!</v>
      </c>
      <c r="H144" t="s">
        <v>1120</v>
      </c>
      <c r="I144" t="s">
        <v>1121</v>
      </c>
      <c r="J144" t="s">
        <v>1122</v>
      </c>
      <c r="K144" t="s">
        <v>261</v>
      </c>
      <c r="L144" t="s">
        <v>1123</v>
      </c>
      <c r="M144" t="s">
        <v>1124</v>
      </c>
      <c r="N144">
        <v>4168349</v>
      </c>
      <c r="O144" t="s">
        <v>264</v>
      </c>
      <c r="P144">
        <v>43714</v>
      </c>
      <c r="Q144" t="s">
        <v>265</v>
      </c>
      <c r="R144" t="s">
        <v>266</v>
      </c>
      <c r="S144" t="s">
        <v>267</v>
      </c>
      <c r="T144" t="s">
        <v>44</v>
      </c>
      <c r="U144" t="s">
        <v>45</v>
      </c>
      <c r="Y144" t="s">
        <v>46</v>
      </c>
      <c r="Z144" s="1">
        <v>44835</v>
      </c>
      <c r="AC144" t="s">
        <v>268</v>
      </c>
      <c r="AE144" t="s">
        <v>269</v>
      </c>
      <c r="AG144" t="s">
        <v>48</v>
      </c>
    </row>
    <row r="145" spans="1:33" x14ac:dyDescent="0.3">
      <c r="A145">
        <v>293</v>
      </c>
      <c r="B145" t="s">
        <v>1125</v>
      </c>
      <c r="C145" t="str">
        <f>"1100002192631"</f>
        <v>1100002192631</v>
      </c>
      <c r="D145" t="str">
        <f>"610880N00"</f>
        <v>610880N00</v>
      </c>
      <c r="E145" s="1">
        <v>31239</v>
      </c>
      <c r="F145" t="s">
        <v>1126</v>
      </c>
      <c r="G145" t="e">
        <f>INDEX(#REF!,MATCH(P145,#REF!,0),1)</f>
        <v>#REF!</v>
      </c>
      <c r="H145" t="s">
        <v>1127</v>
      </c>
      <c r="J145" t="s">
        <v>1128</v>
      </c>
      <c r="K145" t="s">
        <v>283</v>
      </c>
      <c r="L145" t="s">
        <v>1129</v>
      </c>
      <c r="M145" t="s">
        <v>1130</v>
      </c>
      <c r="N145">
        <v>75245</v>
      </c>
      <c r="O145" t="s">
        <v>1020</v>
      </c>
      <c r="P145">
        <v>75245</v>
      </c>
      <c r="Q145" t="s">
        <v>1020</v>
      </c>
      <c r="R145" t="s">
        <v>1021</v>
      </c>
      <c r="S145" t="s">
        <v>1022</v>
      </c>
      <c r="T145" t="s">
        <v>44</v>
      </c>
      <c r="U145" t="s">
        <v>45</v>
      </c>
      <c r="AA145" t="s">
        <v>119</v>
      </c>
      <c r="AE145" t="s">
        <v>120</v>
      </c>
      <c r="AG145" t="s">
        <v>48</v>
      </c>
    </row>
    <row r="146" spans="1:33" x14ac:dyDescent="0.3">
      <c r="A146">
        <v>298</v>
      </c>
      <c r="B146" t="s">
        <v>1131</v>
      </c>
      <c r="C146" t="str">
        <f>"1100003733994"</f>
        <v>1100003733994</v>
      </c>
      <c r="D146" t="str">
        <f>"611840K00"</f>
        <v>611840K00</v>
      </c>
      <c r="E146" s="1">
        <v>31260</v>
      </c>
      <c r="F146" t="s">
        <v>1132</v>
      </c>
      <c r="G146" t="e">
        <f>INDEX(#REF!,MATCH(P146,#REF!,0),1)</f>
        <v>#REF!</v>
      </c>
      <c r="H146" t="s">
        <v>1133</v>
      </c>
      <c r="J146" t="s">
        <v>1134</v>
      </c>
      <c r="K146" t="s">
        <v>283</v>
      </c>
      <c r="L146" t="s">
        <v>1135</v>
      </c>
      <c r="M146" t="s">
        <v>1136</v>
      </c>
      <c r="N146">
        <v>871561</v>
      </c>
      <c r="O146" t="s">
        <v>194</v>
      </c>
      <c r="P146">
        <v>6179343</v>
      </c>
      <c r="Q146" t="s">
        <v>1137</v>
      </c>
      <c r="R146" t="s">
        <v>196</v>
      </c>
      <c r="S146" t="s">
        <v>197</v>
      </c>
      <c r="T146" t="s">
        <v>44</v>
      </c>
      <c r="U146" t="s">
        <v>45</v>
      </c>
      <c r="AA146" t="s">
        <v>119</v>
      </c>
      <c r="AE146" t="s">
        <v>120</v>
      </c>
      <c r="AG146" t="s">
        <v>48</v>
      </c>
    </row>
    <row r="147" spans="1:33" x14ac:dyDescent="0.3">
      <c r="A147">
        <v>299</v>
      </c>
      <c r="B147" t="s">
        <v>1138</v>
      </c>
      <c r="C147" t="str">
        <f>""</f>
        <v/>
      </c>
      <c r="D147" t="str">
        <f>"410760I00"</f>
        <v>410760I00</v>
      </c>
      <c r="E147" s="1">
        <v>32905</v>
      </c>
      <c r="F147" t="s">
        <v>1139</v>
      </c>
      <c r="G147" t="e">
        <f>INDEX(#REF!,MATCH(P147,#REF!,0),1)</f>
        <v>#REF!</v>
      </c>
      <c r="H147" t="s">
        <v>1140</v>
      </c>
      <c r="J147" t="s">
        <v>1070</v>
      </c>
      <c r="K147" t="s">
        <v>37</v>
      </c>
      <c r="L147" t="s">
        <v>1141</v>
      </c>
      <c r="M147" t="s">
        <v>1142</v>
      </c>
      <c r="N147">
        <v>299</v>
      </c>
      <c r="O147" t="s">
        <v>1139</v>
      </c>
      <c r="P147">
        <v>299</v>
      </c>
      <c r="Q147" t="s">
        <v>1139</v>
      </c>
      <c r="R147" t="s">
        <v>940</v>
      </c>
      <c r="S147" t="s">
        <v>941</v>
      </c>
      <c r="T147" t="s">
        <v>44</v>
      </c>
      <c r="U147" t="s">
        <v>45</v>
      </c>
    </row>
    <row r="148" spans="1:33" x14ac:dyDescent="0.3">
      <c r="A148">
        <v>300</v>
      </c>
      <c r="B148" t="s">
        <v>1143</v>
      </c>
      <c r="C148" t="str">
        <f>"1100002813833"</f>
        <v>1100002813833</v>
      </c>
      <c r="D148" t="str">
        <f>"411220A00"</f>
        <v>411220A00</v>
      </c>
      <c r="E148" s="1">
        <v>41271</v>
      </c>
      <c r="F148" t="s">
        <v>1144</v>
      </c>
      <c r="G148" t="e">
        <f>INDEX(#REF!,MATCH(P148,#REF!,0),1)</f>
        <v>#REF!</v>
      </c>
      <c r="H148" t="s">
        <v>1145</v>
      </c>
      <c r="J148" t="s">
        <v>1146</v>
      </c>
      <c r="K148" t="s">
        <v>37</v>
      </c>
      <c r="L148" t="s">
        <v>1147</v>
      </c>
      <c r="M148" t="s">
        <v>1148</v>
      </c>
      <c r="N148">
        <v>770471</v>
      </c>
      <c r="O148" t="s">
        <v>40</v>
      </c>
      <c r="P148">
        <v>770471</v>
      </c>
      <c r="Q148" t="s">
        <v>40</v>
      </c>
      <c r="R148" t="s">
        <v>42</v>
      </c>
      <c r="S148" t="s">
        <v>43</v>
      </c>
      <c r="T148" t="s">
        <v>44</v>
      </c>
      <c r="U148" t="s">
        <v>45</v>
      </c>
      <c r="Y148" t="s">
        <v>46</v>
      </c>
      <c r="Z148" s="1">
        <v>41562</v>
      </c>
      <c r="AE148" t="s">
        <v>47</v>
      </c>
      <c r="AG148" t="s">
        <v>48</v>
      </c>
    </row>
    <row r="149" spans="1:33" x14ac:dyDescent="0.3">
      <c r="A149">
        <v>302</v>
      </c>
      <c r="B149" t="s">
        <v>1149</v>
      </c>
      <c r="C149" t="str">
        <f>""</f>
        <v/>
      </c>
      <c r="D149" t="str">
        <f>"611290J00"</f>
        <v>611290J00</v>
      </c>
      <c r="E149" s="1">
        <v>31260</v>
      </c>
      <c r="F149" t="s">
        <v>1150</v>
      </c>
      <c r="G149" t="e">
        <f>INDEX(#REF!,MATCH(P149,#REF!,0),1)</f>
        <v>#REF!</v>
      </c>
      <c r="H149" t="s">
        <v>1151</v>
      </c>
      <c r="J149" t="s">
        <v>1152</v>
      </c>
      <c r="K149" t="s">
        <v>283</v>
      </c>
      <c r="L149" t="s">
        <v>1153</v>
      </c>
      <c r="M149" t="s">
        <v>1154</v>
      </c>
      <c r="N149">
        <v>3460</v>
      </c>
      <c r="O149" t="s">
        <v>1155</v>
      </c>
      <c r="P149">
        <v>3460</v>
      </c>
      <c r="Q149" t="s">
        <v>1155</v>
      </c>
      <c r="R149" t="s">
        <v>1156</v>
      </c>
      <c r="S149" t="s">
        <v>1157</v>
      </c>
      <c r="T149" t="s">
        <v>44</v>
      </c>
      <c r="U149" t="s">
        <v>45</v>
      </c>
      <c r="AA149" t="s">
        <v>119</v>
      </c>
      <c r="AE149" t="s">
        <v>120</v>
      </c>
    </row>
    <row r="150" spans="1:33" x14ac:dyDescent="0.3">
      <c r="A150">
        <v>307</v>
      </c>
      <c r="B150" t="s">
        <v>1158</v>
      </c>
      <c r="C150" t="str">
        <f>"1100004119513"</f>
        <v>1100004119513</v>
      </c>
      <c r="D150" t="str">
        <f>"230340C00"</f>
        <v>230340C00</v>
      </c>
      <c r="E150" s="1">
        <v>31019</v>
      </c>
      <c r="F150" t="s">
        <v>1159</v>
      </c>
      <c r="G150" t="e">
        <f>INDEX(#REF!,MATCH(P150,#REF!,0),1)</f>
        <v>#REF!</v>
      </c>
      <c r="H150" t="s">
        <v>1160</v>
      </c>
      <c r="J150" t="s">
        <v>1161</v>
      </c>
      <c r="K150" t="s">
        <v>65</v>
      </c>
      <c r="L150" t="s">
        <v>1162</v>
      </c>
      <c r="M150" t="s">
        <v>1163</v>
      </c>
      <c r="N150">
        <v>4245201</v>
      </c>
      <c r="O150" t="s">
        <v>560</v>
      </c>
      <c r="P150">
        <v>4245201</v>
      </c>
      <c r="Q150" t="s">
        <v>560</v>
      </c>
      <c r="R150" t="s">
        <v>562</v>
      </c>
      <c r="S150" t="s">
        <v>563</v>
      </c>
      <c r="T150" t="s">
        <v>44</v>
      </c>
      <c r="U150" t="s">
        <v>81</v>
      </c>
      <c r="AA150" t="s">
        <v>119</v>
      </c>
      <c r="AE150" t="s">
        <v>564</v>
      </c>
    </row>
    <row r="151" spans="1:33" x14ac:dyDescent="0.3">
      <c r="A151">
        <v>308</v>
      </c>
      <c r="B151" t="s">
        <v>1164</v>
      </c>
      <c r="C151" t="str">
        <f>"1100006284257"</f>
        <v>1100006284257</v>
      </c>
      <c r="D151" t="str">
        <f>"G835CLT00"</f>
        <v>G835CLT00</v>
      </c>
      <c r="E151" s="1">
        <v>30970</v>
      </c>
      <c r="F151" t="s">
        <v>1165</v>
      </c>
      <c r="G151" t="e">
        <f>INDEX(#REF!,MATCH(P151,#REF!,0),1)</f>
        <v>#REF!</v>
      </c>
      <c r="H151" t="s">
        <v>1166</v>
      </c>
      <c r="J151" t="s">
        <v>1167</v>
      </c>
      <c r="K151" t="s">
        <v>342</v>
      </c>
      <c r="L151">
        <v>60126</v>
      </c>
      <c r="M151" t="s">
        <v>1168</v>
      </c>
      <c r="N151">
        <v>90</v>
      </c>
      <c r="O151" t="s">
        <v>391</v>
      </c>
      <c r="P151">
        <v>2625241</v>
      </c>
      <c r="Q151" t="s">
        <v>1169</v>
      </c>
      <c r="R151" t="s">
        <v>396</v>
      </c>
      <c r="S151" t="s">
        <v>397</v>
      </c>
      <c r="T151" t="s">
        <v>44</v>
      </c>
      <c r="U151" t="s">
        <v>45</v>
      </c>
      <c r="AA151" t="s">
        <v>119</v>
      </c>
      <c r="AE151" t="s">
        <v>120</v>
      </c>
    </row>
    <row r="152" spans="1:33" x14ac:dyDescent="0.3">
      <c r="A152">
        <v>310</v>
      </c>
      <c r="B152" t="s">
        <v>1170</v>
      </c>
      <c r="C152" t="str">
        <f>"1100003960161"</f>
        <v>1100003960161</v>
      </c>
      <c r="D152" t="str">
        <f>"320720E00"</f>
        <v>320720E00</v>
      </c>
      <c r="E152" s="1">
        <v>42795</v>
      </c>
      <c r="F152" t="s">
        <v>1171</v>
      </c>
      <c r="G152" t="e">
        <f>INDEX(#REF!,MATCH(P152,#REF!,0),1)</f>
        <v>#REF!</v>
      </c>
      <c r="H152" t="s">
        <v>1172</v>
      </c>
      <c r="J152" t="s">
        <v>1173</v>
      </c>
      <c r="K152" t="s">
        <v>982</v>
      </c>
      <c r="L152" t="s">
        <v>1174</v>
      </c>
      <c r="M152" t="s">
        <v>1175</v>
      </c>
      <c r="N152">
        <v>767189</v>
      </c>
      <c r="O152" t="s">
        <v>985</v>
      </c>
      <c r="P152">
        <v>767189</v>
      </c>
      <c r="Q152" t="s">
        <v>985</v>
      </c>
      <c r="R152" t="s">
        <v>986</v>
      </c>
      <c r="S152" t="s">
        <v>987</v>
      </c>
      <c r="T152" t="s">
        <v>44</v>
      </c>
      <c r="U152" t="s">
        <v>45</v>
      </c>
      <c r="Y152" t="s">
        <v>46</v>
      </c>
      <c r="Z152" s="1">
        <v>44805</v>
      </c>
      <c r="AA152" t="s">
        <v>93</v>
      </c>
      <c r="AE152" t="s">
        <v>220</v>
      </c>
      <c r="AG152" t="s">
        <v>48</v>
      </c>
    </row>
    <row r="153" spans="1:33" x14ac:dyDescent="0.3">
      <c r="A153">
        <v>311</v>
      </c>
      <c r="B153" t="s">
        <v>1176</v>
      </c>
      <c r="C153" t="str">
        <f>""</f>
        <v/>
      </c>
      <c r="D153" t="str">
        <f>"840820M00"</f>
        <v>840820M00</v>
      </c>
      <c r="E153" s="1">
        <v>45642</v>
      </c>
      <c r="F153" t="s">
        <v>1177</v>
      </c>
      <c r="G153" t="e">
        <f>INDEX(#REF!,MATCH(P153,#REF!,0),1)</f>
        <v>#REF!</v>
      </c>
      <c r="H153" t="s">
        <v>1178</v>
      </c>
      <c r="J153" t="s">
        <v>1179</v>
      </c>
      <c r="K153" t="s">
        <v>225</v>
      </c>
      <c r="L153">
        <v>80501</v>
      </c>
      <c r="M153" t="s">
        <v>1180</v>
      </c>
      <c r="N153">
        <v>3420970</v>
      </c>
      <c r="O153" t="s">
        <v>1181</v>
      </c>
      <c r="P153">
        <v>3420970</v>
      </c>
      <c r="Q153" t="s">
        <v>1181</v>
      </c>
      <c r="R153" t="s">
        <v>245</v>
      </c>
      <c r="S153" t="s">
        <v>246</v>
      </c>
      <c r="T153" t="s">
        <v>44</v>
      </c>
      <c r="U153" t="s">
        <v>45</v>
      </c>
    </row>
    <row r="154" spans="1:33" x14ac:dyDescent="0.3">
      <c r="A154">
        <v>312</v>
      </c>
      <c r="B154" t="s">
        <v>1182</v>
      </c>
      <c r="C154" t="str">
        <f>""</f>
        <v/>
      </c>
      <c r="D154" t="str">
        <f>"232390J00"</f>
        <v>232390J00</v>
      </c>
      <c r="E154" s="1">
        <v>31019</v>
      </c>
      <c r="F154" t="s">
        <v>1183</v>
      </c>
      <c r="G154" t="e">
        <f>INDEX(#REF!,MATCH(P154,#REF!,0),1)</f>
        <v>#REF!</v>
      </c>
      <c r="H154" t="s">
        <v>1184</v>
      </c>
      <c r="J154" t="s">
        <v>64</v>
      </c>
      <c r="K154" t="s">
        <v>65</v>
      </c>
      <c r="L154" t="s">
        <v>1185</v>
      </c>
      <c r="M154" t="s">
        <v>1186</v>
      </c>
      <c r="N154">
        <v>82293</v>
      </c>
      <c r="O154" t="s">
        <v>1187</v>
      </c>
      <c r="P154">
        <v>82293</v>
      </c>
      <c r="Q154" t="s">
        <v>1187</v>
      </c>
      <c r="R154" t="s">
        <v>562</v>
      </c>
      <c r="S154" t="s">
        <v>563</v>
      </c>
      <c r="T154" t="s">
        <v>44</v>
      </c>
      <c r="U154" t="s">
        <v>45</v>
      </c>
      <c r="AA154" t="s">
        <v>119</v>
      </c>
      <c r="AE154" t="s">
        <v>120</v>
      </c>
    </row>
    <row r="155" spans="1:33" x14ac:dyDescent="0.3">
      <c r="A155">
        <v>317</v>
      </c>
      <c r="B155" t="s">
        <v>1188</v>
      </c>
      <c r="C155" t="str">
        <f>""</f>
        <v/>
      </c>
      <c r="D155" t="str">
        <f>"340430E00"</f>
        <v>340430E00</v>
      </c>
      <c r="E155" s="1">
        <v>42583</v>
      </c>
      <c r="F155" t="s">
        <v>1189</v>
      </c>
      <c r="G155" t="e">
        <f>INDEX(#REF!,MATCH(P155,#REF!,0),1)</f>
        <v>#REF!</v>
      </c>
      <c r="H155" t="s">
        <v>1190</v>
      </c>
      <c r="J155" t="s">
        <v>1089</v>
      </c>
      <c r="K155" t="s">
        <v>77</v>
      </c>
      <c r="L155">
        <v>23851</v>
      </c>
      <c r="M155" t="s">
        <v>1191</v>
      </c>
      <c r="N155">
        <v>765703</v>
      </c>
      <c r="O155" t="s">
        <v>1192</v>
      </c>
      <c r="P155">
        <v>765703</v>
      </c>
      <c r="Q155" t="s">
        <v>1192</v>
      </c>
      <c r="R155" t="s">
        <v>1193</v>
      </c>
      <c r="S155" t="s">
        <v>1194</v>
      </c>
      <c r="T155" t="s">
        <v>44</v>
      </c>
      <c r="U155" t="s">
        <v>45</v>
      </c>
    </row>
    <row r="156" spans="1:33" x14ac:dyDescent="0.3">
      <c r="A156">
        <v>318</v>
      </c>
      <c r="B156" t="s">
        <v>1195</v>
      </c>
      <c r="C156" t="str">
        <f>""</f>
        <v/>
      </c>
      <c r="D156" t="str">
        <f>"350610F00"</f>
        <v>350610F00</v>
      </c>
      <c r="E156" s="1">
        <v>30911</v>
      </c>
      <c r="F156" t="s">
        <v>1196</v>
      </c>
      <c r="G156" t="e">
        <f>INDEX(#REF!,MATCH(P156,#REF!,0),1)</f>
        <v>#REF!</v>
      </c>
      <c r="H156" t="s">
        <v>1197</v>
      </c>
      <c r="J156" t="s">
        <v>1198</v>
      </c>
      <c r="K156" t="s">
        <v>235</v>
      </c>
      <c r="L156" t="s">
        <v>1199</v>
      </c>
      <c r="M156" t="s">
        <v>1200</v>
      </c>
      <c r="N156">
        <v>318</v>
      </c>
      <c r="O156" t="s">
        <v>1196</v>
      </c>
      <c r="P156">
        <v>318</v>
      </c>
      <c r="Q156" t="s">
        <v>1196</v>
      </c>
      <c r="R156" t="s">
        <v>237</v>
      </c>
      <c r="S156" t="s">
        <v>238</v>
      </c>
      <c r="T156" t="s">
        <v>44</v>
      </c>
      <c r="U156" t="s">
        <v>45</v>
      </c>
      <c r="AA156" t="s">
        <v>211</v>
      </c>
      <c r="AC156" t="s">
        <v>547</v>
      </c>
    </row>
    <row r="157" spans="1:33" x14ac:dyDescent="0.3">
      <c r="A157">
        <v>321</v>
      </c>
      <c r="B157" t="s">
        <v>1201</v>
      </c>
      <c r="C157" t="str">
        <f>"1100002846459"</f>
        <v>1100002846459</v>
      </c>
      <c r="D157" t="str">
        <f>"340020900"</f>
        <v>340020900</v>
      </c>
      <c r="E157" s="1">
        <v>42583</v>
      </c>
      <c r="F157" t="s">
        <v>1202</v>
      </c>
      <c r="G157" t="e">
        <f>INDEX(#REF!,MATCH(P157,#REF!,0),1)</f>
        <v>#REF!</v>
      </c>
      <c r="H157" t="s">
        <v>1203</v>
      </c>
      <c r="J157" t="s">
        <v>1204</v>
      </c>
      <c r="K157" t="s">
        <v>77</v>
      </c>
      <c r="L157" t="s">
        <v>1205</v>
      </c>
      <c r="M157" t="s">
        <v>1206</v>
      </c>
      <c r="N157">
        <v>1961</v>
      </c>
      <c r="O157" t="s">
        <v>1207</v>
      </c>
      <c r="P157">
        <v>1961</v>
      </c>
      <c r="Q157" t="s">
        <v>1207</v>
      </c>
      <c r="R157" t="s">
        <v>1006</v>
      </c>
      <c r="S157" t="s">
        <v>1007</v>
      </c>
      <c r="T157" t="s">
        <v>44</v>
      </c>
      <c r="U157" t="s">
        <v>45</v>
      </c>
      <c r="AE157" t="s">
        <v>591</v>
      </c>
      <c r="AG157" t="s">
        <v>48</v>
      </c>
    </row>
    <row r="158" spans="1:33" x14ac:dyDescent="0.3">
      <c r="A158">
        <v>323</v>
      </c>
      <c r="B158" t="s">
        <v>1208</v>
      </c>
      <c r="C158" t="str">
        <f>"1100005627727"</f>
        <v>1100005627727</v>
      </c>
      <c r="D158" t="str">
        <f>"743420K00"</f>
        <v>743420K00</v>
      </c>
      <c r="E158" s="1">
        <v>31045</v>
      </c>
      <c r="F158" t="s">
        <v>1209</v>
      </c>
      <c r="G158" t="e">
        <f>INDEX(#REF!,MATCH(P158,#REF!,0),1)</f>
        <v>#REF!</v>
      </c>
      <c r="H158" t="s">
        <v>1210</v>
      </c>
      <c r="J158" t="s">
        <v>1211</v>
      </c>
      <c r="K158" t="s">
        <v>676</v>
      </c>
      <c r="L158" t="s">
        <v>1212</v>
      </c>
      <c r="M158" t="s">
        <v>1213</v>
      </c>
      <c r="N158">
        <v>170</v>
      </c>
      <c r="O158" t="s">
        <v>673</v>
      </c>
      <c r="P158">
        <v>170</v>
      </c>
      <c r="Q158" t="s">
        <v>673</v>
      </c>
      <c r="R158" t="s">
        <v>679</v>
      </c>
      <c r="S158" t="s">
        <v>680</v>
      </c>
      <c r="T158" t="s">
        <v>44</v>
      </c>
      <c r="U158" t="s">
        <v>45</v>
      </c>
      <c r="AA158" t="s">
        <v>105</v>
      </c>
      <c r="AE158" t="s">
        <v>106</v>
      </c>
      <c r="AG158" t="s">
        <v>48</v>
      </c>
    </row>
    <row r="159" spans="1:33" x14ac:dyDescent="0.3">
      <c r="A159">
        <v>324</v>
      </c>
      <c r="B159" t="s">
        <v>1214</v>
      </c>
      <c r="C159" t="str">
        <f>""</f>
        <v/>
      </c>
      <c r="D159" t="str">
        <f>"E4DN16P00"</f>
        <v>E4DN16P00</v>
      </c>
      <c r="E159" s="1">
        <v>42817</v>
      </c>
      <c r="F159" t="s">
        <v>1215</v>
      </c>
      <c r="G159" t="e">
        <f>INDEX(#REF!,MATCH(P159,#REF!,0),1)</f>
        <v>#REF!</v>
      </c>
      <c r="H159" t="s">
        <v>1216</v>
      </c>
      <c r="J159" t="s">
        <v>1217</v>
      </c>
      <c r="K159" t="s">
        <v>342</v>
      </c>
      <c r="L159" t="s">
        <v>1218</v>
      </c>
      <c r="M159" t="s">
        <v>1219</v>
      </c>
      <c r="N159">
        <v>2449830</v>
      </c>
      <c r="O159" t="s">
        <v>1220</v>
      </c>
      <c r="P159">
        <v>2449830</v>
      </c>
      <c r="Q159" t="s">
        <v>1220</v>
      </c>
      <c r="R159" t="s">
        <v>1221</v>
      </c>
      <c r="S159" t="s">
        <v>1222</v>
      </c>
      <c r="T159" t="s">
        <v>44</v>
      </c>
      <c r="U159" t="s">
        <v>45</v>
      </c>
      <c r="AD159" t="s">
        <v>94</v>
      </c>
      <c r="AG159" t="s">
        <v>48</v>
      </c>
    </row>
    <row r="160" spans="1:33" x14ac:dyDescent="0.3">
      <c r="A160">
        <v>326</v>
      </c>
      <c r="B160" t="s">
        <v>1223</v>
      </c>
      <c r="C160" t="str">
        <f>"1100002186852"</f>
        <v>1100002186852</v>
      </c>
      <c r="D160" t="str">
        <f>"440210B00"</f>
        <v>440210B00</v>
      </c>
      <c r="E160" s="1">
        <v>41480</v>
      </c>
      <c r="F160" t="s">
        <v>1224</v>
      </c>
      <c r="G160" t="e">
        <f>INDEX(#REF!,MATCH(P160,#REF!,0),1)</f>
        <v>#REF!</v>
      </c>
      <c r="H160" t="s">
        <v>1225</v>
      </c>
      <c r="J160" t="s">
        <v>1226</v>
      </c>
      <c r="K160" t="s">
        <v>261</v>
      </c>
      <c r="L160" t="s">
        <v>1227</v>
      </c>
      <c r="M160" t="s">
        <v>1228</v>
      </c>
      <c r="N160">
        <v>61089</v>
      </c>
      <c r="O160" t="s">
        <v>745</v>
      </c>
      <c r="P160">
        <v>61089</v>
      </c>
      <c r="Q160" t="s">
        <v>745</v>
      </c>
      <c r="R160" t="s">
        <v>245</v>
      </c>
      <c r="S160" t="s">
        <v>246</v>
      </c>
      <c r="T160" t="s">
        <v>44</v>
      </c>
      <c r="U160" t="s">
        <v>45</v>
      </c>
    </row>
    <row r="161" spans="1:33" x14ac:dyDescent="0.3">
      <c r="A161">
        <v>327</v>
      </c>
      <c r="B161" t="s">
        <v>1229</v>
      </c>
      <c r="C161" t="str">
        <f>""</f>
        <v/>
      </c>
      <c r="D161" t="str">
        <f>"860640O00"</f>
        <v>860640O00</v>
      </c>
      <c r="E161" s="1">
        <v>31034</v>
      </c>
      <c r="F161" t="s">
        <v>1230</v>
      </c>
      <c r="G161" t="e">
        <f>INDEX(#REF!,MATCH(P161,#REF!,0),1)</f>
        <v>#REF!</v>
      </c>
      <c r="H161" t="s">
        <v>1231</v>
      </c>
      <c r="J161" t="s">
        <v>1232</v>
      </c>
      <c r="K161" t="s">
        <v>577</v>
      </c>
      <c r="L161" t="s">
        <v>1233</v>
      </c>
      <c r="M161" t="s">
        <v>1234</v>
      </c>
      <c r="N161">
        <v>264</v>
      </c>
      <c r="O161" t="s">
        <v>1024</v>
      </c>
      <c r="P161">
        <v>264</v>
      </c>
      <c r="Q161" t="s">
        <v>1024</v>
      </c>
      <c r="R161" t="s">
        <v>1029</v>
      </c>
      <c r="S161" t="s">
        <v>1030</v>
      </c>
      <c r="T161" t="s">
        <v>44</v>
      </c>
      <c r="U161" t="s">
        <v>45</v>
      </c>
      <c r="Y161" t="s">
        <v>46</v>
      </c>
      <c r="Z161" s="1">
        <v>45474</v>
      </c>
      <c r="AA161" t="s">
        <v>1031</v>
      </c>
      <c r="AE161" t="s">
        <v>1033</v>
      </c>
    </row>
    <row r="162" spans="1:33" x14ac:dyDescent="0.3">
      <c r="A162">
        <v>330</v>
      </c>
      <c r="B162" t="s">
        <v>1235</v>
      </c>
      <c r="C162" t="str">
        <f>"1100003236808"</f>
        <v>1100003236808</v>
      </c>
      <c r="D162" t="str">
        <f>"340840J00"</f>
        <v>340840J00</v>
      </c>
      <c r="E162" s="1">
        <v>28417</v>
      </c>
      <c r="F162" t="s">
        <v>1236</v>
      </c>
      <c r="G162" t="e">
        <f>INDEX(#REF!,MATCH(P162,#REF!,0),1)</f>
        <v>#REF!</v>
      </c>
      <c r="H162" t="s">
        <v>1237</v>
      </c>
      <c r="J162" t="s">
        <v>1238</v>
      </c>
      <c r="K162" t="s">
        <v>77</v>
      </c>
      <c r="L162" t="s">
        <v>1239</v>
      </c>
      <c r="M162" t="s">
        <v>1240</v>
      </c>
      <c r="N162">
        <v>9</v>
      </c>
      <c r="O162" t="s">
        <v>74</v>
      </c>
      <c r="P162">
        <v>9</v>
      </c>
      <c r="Q162" t="s">
        <v>74</v>
      </c>
      <c r="R162" t="s">
        <v>79</v>
      </c>
      <c r="S162" t="s">
        <v>80</v>
      </c>
      <c r="T162" t="s">
        <v>44</v>
      </c>
      <c r="U162" t="s">
        <v>45</v>
      </c>
      <c r="AA162" t="s">
        <v>82</v>
      </c>
      <c r="AE162" t="s">
        <v>83</v>
      </c>
      <c r="AG162" t="s">
        <v>48</v>
      </c>
    </row>
    <row r="163" spans="1:33" x14ac:dyDescent="0.3">
      <c r="A163">
        <v>331</v>
      </c>
      <c r="B163" t="s">
        <v>1241</v>
      </c>
      <c r="C163" t="str">
        <f>"1100003029509"</f>
        <v>1100003029509</v>
      </c>
      <c r="D163" t="str">
        <f>"340850K00"</f>
        <v>340850K00</v>
      </c>
      <c r="E163" s="1">
        <v>28417</v>
      </c>
      <c r="F163" t="s">
        <v>1242</v>
      </c>
      <c r="G163" t="e">
        <f>INDEX(#REF!,MATCH(P163,#REF!,0),1)</f>
        <v>#REF!</v>
      </c>
      <c r="H163" t="s">
        <v>1243</v>
      </c>
      <c r="J163" t="s">
        <v>1238</v>
      </c>
      <c r="K163" t="s">
        <v>77</v>
      </c>
      <c r="L163" t="s">
        <v>1244</v>
      </c>
      <c r="M163" t="s">
        <v>1245</v>
      </c>
      <c r="N163">
        <v>9</v>
      </c>
      <c r="O163" t="s">
        <v>74</v>
      </c>
      <c r="P163">
        <v>9</v>
      </c>
      <c r="Q163" t="s">
        <v>74</v>
      </c>
      <c r="R163" t="s">
        <v>79</v>
      </c>
      <c r="S163" t="s">
        <v>80</v>
      </c>
      <c r="T163" t="s">
        <v>44</v>
      </c>
      <c r="U163" t="s">
        <v>45</v>
      </c>
      <c r="AA163" t="s">
        <v>82</v>
      </c>
      <c r="AE163" t="s">
        <v>83</v>
      </c>
      <c r="AG163" t="s">
        <v>48</v>
      </c>
    </row>
    <row r="164" spans="1:33" x14ac:dyDescent="0.3">
      <c r="A164">
        <v>332</v>
      </c>
      <c r="B164" t="s">
        <v>1246</v>
      </c>
      <c r="C164" t="str">
        <f>""</f>
        <v/>
      </c>
      <c r="D164" t="str">
        <f>"521885T00"</f>
        <v>521885T00</v>
      </c>
      <c r="E164" s="1">
        <v>31182</v>
      </c>
      <c r="F164" t="s">
        <v>345</v>
      </c>
      <c r="G164" t="e">
        <f>INDEX(#REF!,MATCH(P164,#REF!,0),1)</f>
        <v>#REF!</v>
      </c>
      <c r="H164" t="s">
        <v>1247</v>
      </c>
      <c r="J164" t="s">
        <v>1248</v>
      </c>
      <c r="K164" t="s">
        <v>342</v>
      </c>
      <c r="L164" t="s">
        <v>1249</v>
      </c>
      <c r="M164" t="s">
        <v>1250</v>
      </c>
      <c r="N164">
        <v>332</v>
      </c>
      <c r="O164" t="s">
        <v>345</v>
      </c>
      <c r="P164">
        <v>332</v>
      </c>
      <c r="Q164" t="s">
        <v>345</v>
      </c>
      <c r="R164" t="s">
        <v>346</v>
      </c>
      <c r="S164" t="s">
        <v>347</v>
      </c>
      <c r="T164" t="s">
        <v>44</v>
      </c>
      <c r="U164" t="s">
        <v>81</v>
      </c>
      <c r="AA164" t="s">
        <v>119</v>
      </c>
      <c r="AG164" t="s">
        <v>48</v>
      </c>
    </row>
    <row r="165" spans="1:33" x14ac:dyDescent="0.3">
      <c r="A165">
        <v>333</v>
      </c>
      <c r="B165" t="s">
        <v>1251</v>
      </c>
      <c r="C165" t="str">
        <f>"1100002165031"</f>
        <v>1100002165031</v>
      </c>
      <c r="D165" t="str">
        <f>"HEB0H4R00"</f>
        <v>HEB0H4R00</v>
      </c>
      <c r="E165" s="1">
        <v>44470</v>
      </c>
      <c r="F165" t="s">
        <v>1252</v>
      </c>
      <c r="G165" t="e">
        <f>INDEX(#REF!,MATCH(P165,#REF!,0),1)</f>
        <v>#REF!</v>
      </c>
      <c r="H165" t="s">
        <v>1253</v>
      </c>
      <c r="J165" t="s">
        <v>1254</v>
      </c>
      <c r="K165" t="s">
        <v>342</v>
      </c>
      <c r="L165" t="s">
        <v>1255</v>
      </c>
      <c r="M165" t="s">
        <v>1256</v>
      </c>
      <c r="N165">
        <v>2624461</v>
      </c>
      <c r="O165" t="s">
        <v>598</v>
      </c>
      <c r="P165">
        <v>2624461</v>
      </c>
      <c r="Q165" t="s">
        <v>598</v>
      </c>
      <c r="R165" t="s">
        <v>492</v>
      </c>
      <c r="S165" t="s">
        <v>493</v>
      </c>
      <c r="T165" t="s">
        <v>44</v>
      </c>
      <c r="U165" t="s">
        <v>45</v>
      </c>
    </row>
    <row r="166" spans="1:33" x14ac:dyDescent="0.3">
      <c r="A166">
        <v>336</v>
      </c>
      <c r="B166" t="s">
        <v>1257</v>
      </c>
      <c r="C166" t="str">
        <f>"1100002528416"</f>
        <v>1100002528416</v>
      </c>
      <c r="D166" t="str">
        <f>"820500F00"</f>
        <v>820500F00</v>
      </c>
      <c r="E166" s="1">
        <v>31020</v>
      </c>
      <c r="F166" t="s">
        <v>1258</v>
      </c>
      <c r="G166" t="e">
        <f>INDEX(#REF!,MATCH(P166,#REF!,0),1)</f>
        <v>#REF!</v>
      </c>
      <c r="H166" t="s">
        <v>1259</v>
      </c>
      <c r="J166" t="s">
        <v>1260</v>
      </c>
      <c r="K166" t="s">
        <v>533</v>
      </c>
      <c r="L166" t="s">
        <v>1261</v>
      </c>
      <c r="M166" t="s">
        <v>1262</v>
      </c>
      <c r="N166">
        <v>336</v>
      </c>
      <c r="O166" t="s">
        <v>1258</v>
      </c>
      <c r="P166">
        <v>336</v>
      </c>
      <c r="Q166" t="s">
        <v>1258</v>
      </c>
      <c r="R166" t="s">
        <v>1263</v>
      </c>
      <c r="S166" t="s">
        <v>1264</v>
      </c>
      <c r="T166" t="s">
        <v>44</v>
      </c>
      <c r="U166" t="s">
        <v>45</v>
      </c>
      <c r="AA166" t="s">
        <v>328</v>
      </c>
      <c r="AC166" t="s">
        <v>1265</v>
      </c>
      <c r="AE166" t="s">
        <v>144</v>
      </c>
    </row>
    <row r="167" spans="1:33" x14ac:dyDescent="0.3">
      <c r="A167">
        <v>339</v>
      </c>
      <c r="B167" t="s">
        <v>1266</v>
      </c>
      <c r="C167" t="str">
        <f>""</f>
        <v/>
      </c>
      <c r="D167" t="str">
        <f>"431670L00"</f>
        <v>431670L00</v>
      </c>
      <c r="E167" s="1">
        <v>31051</v>
      </c>
      <c r="F167" t="s">
        <v>1267</v>
      </c>
      <c r="G167" t="e">
        <f>INDEX(#REF!,MATCH(P167,#REF!,0),1)</f>
        <v>#REF!</v>
      </c>
      <c r="H167" t="s">
        <v>1268</v>
      </c>
      <c r="J167" t="s">
        <v>371</v>
      </c>
      <c r="K167" t="s">
        <v>342</v>
      </c>
      <c r="L167" t="s">
        <v>1269</v>
      </c>
      <c r="M167" t="s">
        <v>1270</v>
      </c>
      <c r="N167">
        <v>332</v>
      </c>
      <c r="O167" t="s">
        <v>345</v>
      </c>
      <c r="P167">
        <v>332</v>
      </c>
      <c r="Q167" t="s">
        <v>345</v>
      </c>
      <c r="R167" t="s">
        <v>346</v>
      </c>
      <c r="S167" t="s">
        <v>347</v>
      </c>
      <c r="T167" t="s">
        <v>44</v>
      </c>
      <c r="U167" t="s">
        <v>45</v>
      </c>
      <c r="AA167" t="s">
        <v>119</v>
      </c>
      <c r="AE167" t="s">
        <v>348</v>
      </c>
      <c r="AG167" t="s">
        <v>48</v>
      </c>
    </row>
    <row r="168" spans="1:33" x14ac:dyDescent="0.3">
      <c r="A168">
        <v>340</v>
      </c>
      <c r="B168" t="s">
        <v>1271</v>
      </c>
      <c r="C168" t="str">
        <f>""</f>
        <v/>
      </c>
      <c r="D168" t="str">
        <f>"830050G00"</f>
        <v>830050G00</v>
      </c>
      <c r="E168" s="1">
        <v>31051</v>
      </c>
      <c r="F168" t="s">
        <v>1272</v>
      </c>
      <c r="G168" t="e">
        <f>INDEX(#REF!,MATCH(P168,#REF!,0),1)</f>
        <v>#REF!</v>
      </c>
      <c r="H168" t="s">
        <v>1273</v>
      </c>
      <c r="J168" t="s">
        <v>1274</v>
      </c>
      <c r="K168" t="s">
        <v>1275</v>
      </c>
      <c r="L168">
        <v>82001</v>
      </c>
      <c r="M168" t="s">
        <v>1276</v>
      </c>
      <c r="N168">
        <v>340</v>
      </c>
      <c r="O168" t="s">
        <v>1272</v>
      </c>
      <c r="P168">
        <v>340</v>
      </c>
      <c r="Q168" t="s">
        <v>1272</v>
      </c>
      <c r="R168" t="s">
        <v>228</v>
      </c>
      <c r="S168" t="s">
        <v>229</v>
      </c>
      <c r="T168" t="s">
        <v>44</v>
      </c>
      <c r="U168" t="s">
        <v>45</v>
      </c>
      <c r="AA168" t="s">
        <v>119</v>
      </c>
      <c r="AB168" t="s">
        <v>327</v>
      </c>
      <c r="AD168" t="s">
        <v>94</v>
      </c>
      <c r="AE168" t="s">
        <v>144</v>
      </c>
    </row>
    <row r="169" spans="1:33" x14ac:dyDescent="0.3">
      <c r="A169">
        <v>342</v>
      </c>
      <c r="B169" t="s">
        <v>1277</v>
      </c>
      <c r="C169" t="str">
        <f>"1100004677525"</f>
        <v>1100004677525</v>
      </c>
      <c r="D169" t="str">
        <f>""</f>
        <v/>
      </c>
      <c r="E169" s="1">
        <v>38961</v>
      </c>
      <c r="F169" t="s">
        <v>1278</v>
      </c>
      <c r="G169" t="e">
        <f>INDEX(#REF!,MATCH(P169,#REF!,0),1)</f>
        <v>#REF!</v>
      </c>
      <c r="H169" t="s">
        <v>1279</v>
      </c>
      <c r="J169" t="s">
        <v>1280</v>
      </c>
      <c r="K169" t="s">
        <v>425</v>
      </c>
      <c r="L169" t="str">
        <f>"05401-1435"</f>
        <v>05401-1435</v>
      </c>
      <c r="M169" t="s">
        <v>1281</v>
      </c>
      <c r="N169">
        <v>2108</v>
      </c>
      <c r="O169" t="s">
        <v>1282</v>
      </c>
      <c r="P169">
        <v>2108</v>
      </c>
      <c r="Q169" t="s">
        <v>1282</v>
      </c>
      <c r="R169" t="s">
        <v>1283</v>
      </c>
      <c r="S169" t="s">
        <v>1284</v>
      </c>
      <c r="T169" t="s">
        <v>44</v>
      </c>
      <c r="U169" t="s">
        <v>184</v>
      </c>
      <c r="AE169" t="s">
        <v>60</v>
      </c>
      <c r="AG169" t="s">
        <v>48</v>
      </c>
    </row>
    <row r="170" spans="1:33" x14ac:dyDescent="0.3">
      <c r="A170">
        <v>343</v>
      </c>
      <c r="B170" t="s">
        <v>1285</v>
      </c>
      <c r="C170" t="str">
        <f>"1100003055041"</f>
        <v>1100003055041</v>
      </c>
      <c r="D170" t="str">
        <f>"130030700"</f>
        <v>130030700</v>
      </c>
      <c r="E170" s="1">
        <v>31094</v>
      </c>
      <c r="F170" t="s">
        <v>1286</v>
      </c>
      <c r="G170" t="e">
        <f>INDEX(#REF!,MATCH(P170,#REF!,0),1)</f>
        <v>#REF!</v>
      </c>
      <c r="H170" t="s">
        <v>1287</v>
      </c>
      <c r="J170" t="s">
        <v>1288</v>
      </c>
      <c r="K170" t="s">
        <v>425</v>
      </c>
      <c r="L170" t="str">
        <f>"05602-8132"</f>
        <v>05602-8132</v>
      </c>
      <c r="M170" t="s">
        <v>1289</v>
      </c>
      <c r="N170">
        <v>2108</v>
      </c>
      <c r="O170" t="s">
        <v>1282</v>
      </c>
      <c r="P170">
        <v>2108</v>
      </c>
      <c r="Q170" t="s">
        <v>1282</v>
      </c>
      <c r="R170" t="s">
        <v>1283</v>
      </c>
      <c r="S170" t="s">
        <v>1284</v>
      </c>
      <c r="T170" t="s">
        <v>44</v>
      </c>
      <c r="U170" t="s">
        <v>45</v>
      </c>
      <c r="AA170" t="s">
        <v>58</v>
      </c>
      <c r="AE170" t="s">
        <v>60</v>
      </c>
      <c r="AG170" t="s">
        <v>48</v>
      </c>
    </row>
    <row r="171" spans="1:33" x14ac:dyDescent="0.3">
      <c r="A171">
        <v>345</v>
      </c>
      <c r="B171" t="s">
        <v>1290</v>
      </c>
      <c r="C171" t="str">
        <f>"1100002574604"</f>
        <v>1100002574604</v>
      </c>
      <c r="D171" t="str">
        <f>"120250A00"</f>
        <v>120250A00</v>
      </c>
      <c r="E171" s="1">
        <v>42583</v>
      </c>
      <c r="F171" t="s">
        <v>1291</v>
      </c>
      <c r="G171" t="e">
        <f>INDEX(#REF!,MATCH(P171,#REF!,0),1)</f>
        <v>#REF!</v>
      </c>
      <c r="H171" t="s">
        <v>1292</v>
      </c>
      <c r="J171" t="s">
        <v>1293</v>
      </c>
      <c r="K171" t="s">
        <v>53</v>
      </c>
      <c r="L171" t="str">
        <f>"03103-3599"</f>
        <v>03103-3599</v>
      </c>
      <c r="M171" t="s">
        <v>1294</v>
      </c>
      <c r="N171">
        <v>3544510</v>
      </c>
      <c r="O171" t="s">
        <v>656</v>
      </c>
      <c r="P171">
        <v>3544510</v>
      </c>
      <c r="Q171" t="s">
        <v>656</v>
      </c>
      <c r="R171" t="s">
        <v>658</v>
      </c>
      <c r="S171" t="s">
        <v>659</v>
      </c>
      <c r="T171" t="s">
        <v>44</v>
      </c>
      <c r="U171" t="s">
        <v>45</v>
      </c>
      <c r="AA171" t="s">
        <v>58</v>
      </c>
      <c r="AE171" t="s">
        <v>60</v>
      </c>
    </row>
    <row r="172" spans="1:33" x14ac:dyDescent="0.3">
      <c r="A172">
        <v>347</v>
      </c>
      <c r="B172" t="s">
        <v>1295</v>
      </c>
      <c r="C172" t="str">
        <f>""</f>
        <v/>
      </c>
      <c r="D172" t="str">
        <f>"130110600"</f>
        <v>130110600</v>
      </c>
      <c r="E172" s="1">
        <v>31093</v>
      </c>
      <c r="F172" t="s">
        <v>1296</v>
      </c>
      <c r="G172" t="e">
        <f>INDEX(#REF!,MATCH(P172,#REF!,0),1)</f>
        <v>#REF!</v>
      </c>
      <c r="H172" t="s">
        <v>1297</v>
      </c>
      <c r="J172" t="s">
        <v>1298</v>
      </c>
      <c r="K172" t="s">
        <v>425</v>
      </c>
      <c r="L172" t="str">
        <f>"05701-4560"</f>
        <v>05701-4560</v>
      </c>
      <c r="M172" t="s">
        <v>1299</v>
      </c>
      <c r="N172">
        <v>40975</v>
      </c>
      <c r="O172" t="s">
        <v>1300</v>
      </c>
      <c r="P172">
        <v>40975</v>
      </c>
      <c r="Q172" t="s">
        <v>1300</v>
      </c>
      <c r="R172" t="s">
        <v>1301</v>
      </c>
      <c r="S172" t="s">
        <v>1302</v>
      </c>
      <c r="T172" t="s">
        <v>44</v>
      </c>
      <c r="U172" t="s">
        <v>45</v>
      </c>
      <c r="AA172" t="s">
        <v>58</v>
      </c>
      <c r="AE172" t="s">
        <v>60</v>
      </c>
    </row>
    <row r="173" spans="1:33" x14ac:dyDescent="0.3">
      <c r="A173">
        <v>348</v>
      </c>
      <c r="B173" t="s">
        <v>1303</v>
      </c>
      <c r="C173" t="str">
        <f>""</f>
        <v/>
      </c>
      <c r="D173" t="str">
        <f>"730360J00"</f>
        <v>730360J00</v>
      </c>
      <c r="E173" s="1">
        <v>31366</v>
      </c>
      <c r="F173" t="s">
        <v>1304</v>
      </c>
      <c r="G173" t="e">
        <f>INDEX(#REF!,MATCH(P173,#REF!,0),1)</f>
        <v>#REF!</v>
      </c>
      <c r="H173" t="s">
        <v>1305</v>
      </c>
      <c r="J173" t="s">
        <v>1306</v>
      </c>
      <c r="K173" t="s">
        <v>763</v>
      </c>
      <c r="L173" t="s">
        <v>1307</v>
      </c>
      <c r="M173" t="s">
        <v>1308</v>
      </c>
      <c r="N173">
        <v>348</v>
      </c>
      <c r="O173" t="s">
        <v>1304</v>
      </c>
      <c r="P173">
        <v>348</v>
      </c>
      <c r="Q173" t="s">
        <v>1304</v>
      </c>
      <c r="R173" t="s">
        <v>1309</v>
      </c>
      <c r="S173" t="s">
        <v>1310</v>
      </c>
      <c r="T173" t="s">
        <v>44</v>
      </c>
      <c r="U173" t="s">
        <v>45</v>
      </c>
      <c r="AA173" t="s">
        <v>119</v>
      </c>
      <c r="AE173" t="s">
        <v>766</v>
      </c>
    </row>
    <row r="174" spans="1:33" x14ac:dyDescent="0.3">
      <c r="A174">
        <v>352</v>
      </c>
      <c r="B174" t="s">
        <v>1311</v>
      </c>
      <c r="C174" t="str">
        <f>"1100005558915"</f>
        <v>1100005558915</v>
      </c>
      <c r="D174" t="str">
        <f>"411290H00"</f>
        <v>411290H00</v>
      </c>
      <c r="E174" s="1">
        <v>42685</v>
      </c>
      <c r="F174" t="s">
        <v>1312</v>
      </c>
      <c r="G174" t="e">
        <f>INDEX(#REF!,MATCH(P174,#REF!,0),1)</f>
        <v>#REF!</v>
      </c>
      <c r="H174" t="s">
        <v>1313</v>
      </c>
      <c r="J174" t="s">
        <v>1314</v>
      </c>
      <c r="K174" t="s">
        <v>37</v>
      </c>
      <c r="L174">
        <v>45013</v>
      </c>
      <c r="M174" t="s">
        <v>1315</v>
      </c>
      <c r="N174">
        <v>2449825</v>
      </c>
      <c r="O174" t="s">
        <v>1316</v>
      </c>
      <c r="P174">
        <v>2449825</v>
      </c>
      <c r="Q174" t="s">
        <v>1316</v>
      </c>
      <c r="R174" t="s">
        <v>266</v>
      </c>
      <c r="S174" t="s">
        <v>267</v>
      </c>
      <c r="T174" t="s">
        <v>44</v>
      </c>
      <c r="U174" t="s">
        <v>45</v>
      </c>
      <c r="Y174" t="s">
        <v>1317</v>
      </c>
      <c r="Z174" s="1">
        <v>45328</v>
      </c>
      <c r="AC174" t="s">
        <v>1318</v>
      </c>
      <c r="AD174" t="s">
        <v>94</v>
      </c>
      <c r="AE174" t="s">
        <v>72</v>
      </c>
      <c r="AG174" t="s">
        <v>48</v>
      </c>
    </row>
    <row r="175" spans="1:33" x14ac:dyDescent="0.3">
      <c r="A175">
        <v>353</v>
      </c>
      <c r="B175" t="s">
        <v>1319</v>
      </c>
      <c r="C175" t="str">
        <f>"1100009370636"</f>
        <v>1100009370636</v>
      </c>
      <c r="D175" t="str">
        <f>"412450G00"</f>
        <v>412450G00</v>
      </c>
      <c r="E175" s="1">
        <v>44562</v>
      </c>
      <c r="F175" t="s">
        <v>1320</v>
      </c>
      <c r="G175" t="e">
        <f>INDEX(#REF!,MATCH(P175,#REF!,0),1)</f>
        <v>#REF!</v>
      </c>
      <c r="H175" t="s">
        <v>1321</v>
      </c>
      <c r="J175" t="s">
        <v>1322</v>
      </c>
      <c r="K175" t="s">
        <v>37</v>
      </c>
      <c r="L175" t="s">
        <v>1323</v>
      </c>
      <c r="M175" t="s">
        <v>1324</v>
      </c>
      <c r="N175">
        <v>2449825</v>
      </c>
      <c r="O175" t="s">
        <v>1316</v>
      </c>
      <c r="P175">
        <v>2449825</v>
      </c>
      <c r="Q175" t="s">
        <v>1316</v>
      </c>
      <c r="R175" t="s">
        <v>266</v>
      </c>
      <c r="S175" t="s">
        <v>267</v>
      </c>
      <c r="T175" t="s">
        <v>44</v>
      </c>
      <c r="U175" t="s">
        <v>45</v>
      </c>
      <c r="Y175" t="s">
        <v>1317</v>
      </c>
      <c r="Z175" s="1">
        <v>45323</v>
      </c>
      <c r="AC175" t="s">
        <v>1318</v>
      </c>
      <c r="AD175" t="s">
        <v>94</v>
      </c>
      <c r="AE175" t="s">
        <v>72</v>
      </c>
      <c r="AG175" t="s">
        <v>48</v>
      </c>
    </row>
    <row r="176" spans="1:33" x14ac:dyDescent="0.3">
      <c r="A176">
        <v>354</v>
      </c>
      <c r="B176" t="s">
        <v>1325</v>
      </c>
      <c r="C176" t="str">
        <f>"1100002415884"</f>
        <v>1100002415884</v>
      </c>
      <c r="D176" t="str">
        <f>"410270E00"</f>
        <v>410270E00</v>
      </c>
      <c r="E176" s="1">
        <v>31093</v>
      </c>
      <c r="F176" t="s">
        <v>1326</v>
      </c>
      <c r="G176" t="e">
        <f>INDEX(#REF!,MATCH(P176,#REF!,0),1)</f>
        <v>#REF!</v>
      </c>
      <c r="H176" t="s">
        <v>1327</v>
      </c>
      <c r="J176" t="s">
        <v>1328</v>
      </c>
      <c r="K176" t="s">
        <v>37</v>
      </c>
      <c r="L176" t="s">
        <v>1329</v>
      </c>
      <c r="M176" t="s">
        <v>1330</v>
      </c>
      <c r="N176">
        <v>210</v>
      </c>
      <c r="O176" t="s">
        <v>840</v>
      </c>
      <c r="P176">
        <v>210</v>
      </c>
      <c r="Q176" t="s">
        <v>840</v>
      </c>
      <c r="R176" t="s">
        <v>844</v>
      </c>
      <c r="S176" t="s">
        <v>845</v>
      </c>
      <c r="T176" t="s">
        <v>44</v>
      </c>
      <c r="U176" t="s">
        <v>45</v>
      </c>
      <c r="Y176" t="s">
        <v>46</v>
      </c>
      <c r="Z176" s="1">
        <v>43221</v>
      </c>
      <c r="AE176" t="s">
        <v>47</v>
      </c>
    </row>
    <row r="177" spans="1:33" x14ac:dyDescent="0.3">
      <c r="A177">
        <v>355</v>
      </c>
      <c r="B177" t="s">
        <v>1331</v>
      </c>
      <c r="C177" t="str">
        <f>"1100005198067"</f>
        <v>1100005198067</v>
      </c>
      <c r="D177" t="str">
        <f>"43XG16R00"</f>
        <v>43XG16R00</v>
      </c>
      <c r="E177" s="1">
        <v>31093</v>
      </c>
      <c r="F177" t="s">
        <v>1332</v>
      </c>
      <c r="G177" t="e">
        <f>INDEX(#REF!,MATCH(P177,#REF!,0),1)</f>
        <v>#REF!</v>
      </c>
      <c r="H177" t="s">
        <v>1333</v>
      </c>
      <c r="J177" t="s">
        <v>352</v>
      </c>
      <c r="K177" t="s">
        <v>37</v>
      </c>
      <c r="L177" t="s">
        <v>1334</v>
      </c>
      <c r="M177" t="s">
        <v>1335</v>
      </c>
      <c r="N177">
        <v>210</v>
      </c>
      <c r="O177" t="s">
        <v>840</v>
      </c>
      <c r="P177">
        <v>3549</v>
      </c>
      <c r="Q177" t="s">
        <v>1336</v>
      </c>
      <c r="R177" t="s">
        <v>844</v>
      </c>
      <c r="S177" t="s">
        <v>845</v>
      </c>
      <c r="T177" t="s">
        <v>44</v>
      </c>
      <c r="U177" t="s">
        <v>45</v>
      </c>
      <c r="Y177" t="s">
        <v>46</v>
      </c>
      <c r="Z177" s="1">
        <v>42370</v>
      </c>
      <c r="AE177" t="s">
        <v>47</v>
      </c>
    </row>
    <row r="178" spans="1:33" x14ac:dyDescent="0.3">
      <c r="A178">
        <v>357</v>
      </c>
      <c r="B178" t="s">
        <v>1337</v>
      </c>
      <c r="C178" t="str">
        <f>""</f>
        <v/>
      </c>
      <c r="D178" t="str">
        <f>"411950K00"</f>
        <v>411950K00</v>
      </c>
      <c r="E178" s="1">
        <v>31964</v>
      </c>
      <c r="F178" t="s">
        <v>1338</v>
      </c>
      <c r="G178" t="e">
        <f>INDEX(#REF!,MATCH(P178,#REF!,0),1)</f>
        <v>#REF!</v>
      </c>
      <c r="H178" t="s">
        <v>1339</v>
      </c>
      <c r="J178" t="s">
        <v>1340</v>
      </c>
      <c r="K178" t="s">
        <v>37</v>
      </c>
      <c r="L178" t="s">
        <v>1341</v>
      </c>
      <c r="M178" t="s">
        <v>1342</v>
      </c>
      <c r="N178">
        <v>210</v>
      </c>
      <c r="O178" t="s">
        <v>840</v>
      </c>
      <c r="P178">
        <v>210</v>
      </c>
      <c r="Q178" t="s">
        <v>840</v>
      </c>
      <c r="R178" t="s">
        <v>844</v>
      </c>
      <c r="S178" t="s">
        <v>845</v>
      </c>
      <c r="T178" t="s">
        <v>44</v>
      </c>
      <c r="U178" t="s">
        <v>45</v>
      </c>
      <c r="Y178" t="s">
        <v>46</v>
      </c>
      <c r="Z178" s="1">
        <v>42370</v>
      </c>
      <c r="AE178" t="s">
        <v>47</v>
      </c>
    </row>
    <row r="179" spans="1:33" x14ac:dyDescent="0.3">
      <c r="A179">
        <v>359</v>
      </c>
      <c r="B179" t="s">
        <v>1343</v>
      </c>
      <c r="C179" t="str">
        <f>"1100005297999"</f>
        <v>1100005297999</v>
      </c>
      <c r="D179" t="str">
        <f>"411110800"</f>
        <v>411110800</v>
      </c>
      <c r="E179" s="1">
        <v>31093</v>
      </c>
      <c r="F179" t="s">
        <v>1344</v>
      </c>
      <c r="G179" t="e">
        <f>INDEX(#REF!,MATCH(P179,#REF!,0),1)</f>
        <v>#REF!</v>
      </c>
      <c r="H179" t="s">
        <v>1345</v>
      </c>
      <c r="J179" t="s">
        <v>1346</v>
      </c>
      <c r="K179" t="s">
        <v>37</v>
      </c>
      <c r="L179" t="s">
        <v>1347</v>
      </c>
      <c r="M179" t="s">
        <v>1348</v>
      </c>
      <c r="N179">
        <v>770471</v>
      </c>
      <c r="O179" t="s">
        <v>40</v>
      </c>
      <c r="P179">
        <v>770471</v>
      </c>
      <c r="Q179" t="s">
        <v>40</v>
      </c>
      <c r="R179" t="s">
        <v>42</v>
      </c>
      <c r="S179" t="s">
        <v>43</v>
      </c>
      <c r="T179" t="s">
        <v>44</v>
      </c>
      <c r="U179" t="s">
        <v>45</v>
      </c>
      <c r="Y179" t="s">
        <v>46</v>
      </c>
      <c r="Z179" s="1">
        <v>43282</v>
      </c>
      <c r="AE179" t="s">
        <v>47</v>
      </c>
      <c r="AG179" t="s">
        <v>48</v>
      </c>
    </row>
    <row r="180" spans="1:33" x14ac:dyDescent="0.3">
      <c r="A180">
        <v>363</v>
      </c>
      <c r="B180" t="s">
        <v>1349</v>
      </c>
      <c r="C180" t="str">
        <f>"1100005039186"</f>
        <v>1100005039186</v>
      </c>
      <c r="D180" t="str">
        <f>"411700D00"</f>
        <v>411700D00</v>
      </c>
      <c r="E180" s="1">
        <v>31168</v>
      </c>
      <c r="F180" t="s">
        <v>1350</v>
      </c>
      <c r="G180" t="e">
        <f>INDEX(#REF!,MATCH(P180,#REF!,0),1)</f>
        <v>#REF!</v>
      </c>
      <c r="H180" t="s">
        <v>1351</v>
      </c>
      <c r="J180" t="s">
        <v>1352</v>
      </c>
      <c r="K180" t="s">
        <v>37</v>
      </c>
      <c r="L180" t="s">
        <v>1353</v>
      </c>
      <c r="M180" t="s">
        <v>1354</v>
      </c>
      <c r="N180">
        <v>210</v>
      </c>
      <c r="O180" t="s">
        <v>840</v>
      </c>
      <c r="P180">
        <v>210</v>
      </c>
      <c r="Q180" t="s">
        <v>840</v>
      </c>
      <c r="R180" t="s">
        <v>844</v>
      </c>
      <c r="S180" t="s">
        <v>845</v>
      </c>
      <c r="T180" t="s">
        <v>44</v>
      </c>
      <c r="U180" t="s">
        <v>45</v>
      </c>
      <c r="Y180" t="s">
        <v>46</v>
      </c>
      <c r="Z180" s="1">
        <v>42370</v>
      </c>
      <c r="AE180" t="s">
        <v>47</v>
      </c>
    </row>
    <row r="181" spans="1:33" x14ac:dyDescent="0.3">
      <c r="A181">
        <v>364</v>
      </c>
      <c r="B181" t="s">
        <v>1355</v>
      </c>
      <c r="C181" t="str">
        <f>"1100003654701"</f>
        <v>1100003654701</v>
      </c>
      <c r="D181" t="str">
        <f>"411340D00"</f>
        <v>411340D00</v>
      </c>
      <c r="E181" s="1">
        <v>31138</v>
      </c>
      <c r="F181" t="s">
        <v>1356</v>
      </c>
      <c r="G181" t="e">
        <f>INDEX(#REF!,MATCH(P181,#REF!,0),1)</f>
        <v>#REF!</v>
      </c>
      <c r="H181" t="s">
        <v>1357</v>
      </c>
      <c r="J181" t="s">
        <v>1358</v>
      </c>
      <c r="K181" t="s">
        <v>37</v>
      </c>
      <c r="L181" t="s">
        <v>1359</v>
      </c>
      <c r="M181" t="s">
        <v>1360</v>
      </c>
      <c r="N181">
        <v>210</v>
      </c>
      <c r="O181" t="s">
        <v>840</v>
      </c>
      <c r="P181">
        <v>210</v>
      </c>
      <c r="Q181" t="s">
        <v>840</v>
      </c>
      <c r="R181" t="s">
        <v>844</v>
      </c>
      <c r="S181" t="s">
        <v>845</v>
      </c>
      <c r="T181" t="s">
        <v>44</v>
      </c>
      <c r="U181" t="s">
        <v>45</v>
      </c>
      <c r="Y181" t="s">
        <v>46</v>
      </c>
      <c r="Z181" s="1">
        <v>42370</v>
      </c>
      <c r="AE181" t="s">
        <v>47</v>
      </c>
    </row>
    <row r="182" spans="1:33" x14ac:dyDescent="0.3">
      <c r="A182">
        <v>365</v>
      </c>
      <c r="B182" t="s">
        <v>1361</v>
      </c>
      <c r="C182" t="str">
        <f>""</f>
        <v/>
      </c>
      <c r="D182" t="str">
        <f>""</f>
        <v/>
      </c>
      <c r="E182" s="1">
        <v>43405</v>
      </c>
      <c r="F182" t="s">
        <v>1362</v>
      </c>
      <c r="G182" t="e">
        <f>INDEX(#REF!,MATCH(P182,#REF!,0),1)</f>
        <v>#REF!</v>
      </c>
      <c r="H182" t="s">
        <v>1363</v>
      </c>
      <c r="J182" t="s">
        <v>1364</v>
      </c>
      <c r="K182" t="s">
        <v>111</v>
      </c>
      <c r="L182" t="s">
        <v>1365</v>
      </c>
      <c r="M182" t="s">
        <v>1366</v>
      </c>
      <c r="N182">
        <v>28</v>
      </c>
      <c r="O182" t="s">
        <v>114</v>
      </c>
      <c r="P182">
        <v>28</v>
      </c>
      <c r="Q182" t="s">
        <v>114</v>
      </c>
      <c r="R182" t="s">
        <v>115</v>
      </c>
      <c r="S182" t="s">
        <v>116</v>
      </c>
      <c r="T182" t="s">
        <v>44</v>
      </c>
      <c r="U182" t="s">
        <v>45</v>
      </c>
      <c r="AA182" t="s">
        <v>119</v>
      </c>
      <c r="AE182" t="s">
        <v>120</v>
      </c>
    </row>
    <row r="183" spans="1:33" x14ac:dyDescent="0.3">
      <c r="A183">
        <v>366</v>
      </c>
      <c r="B183" t="s">
        <v>1367</v>
      </c>
      <c r="C183" t="str">
        <f>"1100005615656"</f>
        <v>1100005615656</v>
      </c>
      <c r="D183" t="str">
        <f>"743110G00"</f>
        <v>743110G00</v>
      </c>
      <c r="E183" s="1">
        <v>28417</v>
      </c>
      <c r="F183" t="s">
        <v>1368</v>
      </c>
      <c r="G183" t="e">
        <f>INDEX(#REF!,MATCH(P183,#REF!,0),1)</f>
        <v>#REF!</v>
      </c>
      <c r="H183" t="s">
        <v>1369</v>
      </c>
      <c r="J183" t="s">
        <v>675</v>
      </c>
      <c r="K183" t="s">
        <v>676</v>
      </c>
      <c r="L183" t="s">
        <v>1370</v>
      </c>
      <c r="M183" t="s">
        <v>1371</v>
      </c>
      <c r="N183">
        <v>170</v>
      </c>
      <c r="O183" t="s">
        <v>673</v>
      </c>
      <c r="P183">
        <v>170</v>
      </c>
      <c r="Q183" t="s">
        <v>673</v>
      </c>
      <c r="R183" t="s">
        <v>679</v>
      </c>
      <c r="S183" t="s">
        <v>680</v>
      </c>
      <c r="T183" t="s">
        <v>44</v>
      </c>
      <c r="U183" t="s">
        <v>45</v>
      </c>
      <c r="AA183" t="s">
        <v>105</v>
      </c>
      <c r="AE183" t="s">
        <v>106</v>
      </c>
      <c r="AG183" t="s">
        <v>48</v>
      </c>
    </row>
    <row r="184" spans="1:33" x14ac:dyDescent="0.3">
      <c r="A184">
        <v>367</v>
      </c>
      <c r="B184" t="s">
        <v>1372</v>
      </c>
      <c r="C184" t="str">
        <f>""</f>
        <v/>
      </c>
      <c r="D184" t="str">
        <f>"R4VECFV00"</f>
        <v>R4VECFV00</v>
      </c>
      <c r="E184" s="1">
        <v>31366</v>
      </c>
      <c r="F184" t="s">
        <v>1373</v>
      </c>
      <c r="G184" t="e">
        <f>INDEX(#REF!,MATCH(P184,#REF!,0),1)</f>
        <v>#REF!</v>
      </c>
      <c r="H184" t="s">
        <v>1374</v>
      </c>
      <c r="J184" t="s">
        <v>1375</v>
      </c>
      <c r="K184" t="s">
        <v>763</v>
      </c>
      <c r="L184" t="s">
        <v>1376</v>
      </c>
      <c r="M184" t="s">
        <v>1377</v>
      </c>
      <c r="N184">
        <v>367</v>
      </c>
      <c r="O184" t="s">
        <v>1373</v>
      </c>
      <c r="P184">
        <v>367</v>
      </c>
      <c r="Q184" t="s">
        <v>1373</v>
      </c>
      <c r="R184" t="s">
        <v>1309</v>
      </c>
      <c r="S184" t="s">
        <v>1310</v>
      </c>
      <c r="T184" t="s">
        <v>44</v>
      </c>
      <c r="U184" t="s">
        <v>45</v>
      </c>
      <c r="AA184" t="s">
        <v>119</v>
      </c>
      <c r="AE184" t="s">
        <v>766</v>
      </c>
    </row>
    <row r="185" spans="1:33" x14ac:dyDescent="0.3">
      <c r="A185">
        <v>369</v>
      </c>
      <c r="B185" t="s">
        <v>1378</v>
      </c>
      <c r="C185" t="str">
        <f>""</f>
        <v/>
      </c>
      <c r="D185" t="str">
        <f>"935810Q00"</f>
        <v>935810Q00</v>
      </c>
      <c r="E185" s="1">
        <v>45642</v>
      </c>
      <c r="F185" t="s">
        <v>1379</v>
      </c>
      <c r="G185" t="e">
        <f>INDEX(#REF!,MATCH(P185,#REF!,0),1)</f>
        <v>#REF!</v>
      </c>
      <c r="H185" t="s">
        <v>1380</v>
      </c>
      <c r="J185" t="s">
        <v>1381</v>
      </c>
      <c r="K185" t="s">
        <v>88</v>
      </c>
      <c r="L185" t="s">
        <v>1382</v>
      </c>
      <c r="M185" t="s">
        <v>1383</v>
      </c>
      <c r="N185">
        <v>3420970</v>
      </c>
      <c r="O185" t="s">
        <v>1181</v>
      </c>
      <c r="P185">
        <v>3420970</v>
      </c>
      <c r="Q185" t="s">
        <v>1181</v>
      </c>
      <c r="R185" t="s">
        <v>245</v>
      </c>
      <c r="S185" t="s">
        <v>246</v>
      </c>
      <c r="T185" t="s">
        <v>44</v>
      </c>
      <c r="U185" t="s">
        <v>45</v>
      </c>
    </row>
    <row r="186" spans="1:33" x14ac:dyDescent="0.3">
      <c r="A186">
        <v>373</v>
      </c>
      <c r="B186" t="s">
        <v>1384</v>
      </c>
      <c r="C186" t="str">
        <f>"1100005980518"</f>
        <v>1100005980518</v>
      </c>
      <c r="D186" t="str">
        <f>"520580K00"</f>
        <v>520580K00</v>
      </c>
      <c r="E186" s="1">
        <v>28417</v>
      </c>
      <c r="F186" t="s">
        <v>1385</v>
      </c>
      <c r="G186" t="e">
        <f>INDEX(#REF!,MATCH(P186,#REF!,0),1)</f>
        <v>#REF!</v>
      </c>
      <c r="H186" t="s">
        <v>1386</v>
      </c>
      <c r="J186" t="s">
        <v>1387</v>
      </c>
      <c r="K186" t="s">
        <v>139</v>
      </c>
      <c r="L186" t="s">
        <v>1388</v>
      </c>
      <c r="M186" t="s">
        <v>1389</v>
      </c>
      <c r="N186">
        <v>29</v>
      </c>
      <c r="O186" t="s">
        <v>136</v>
      </c>
      <c r="P186">
        <v>29</v>
      </c>
      <c r="Q186" t="s">
        <v>136</v>
      </c>
      <c r="R186" t="s">
        <v>142</v>
      </c>
      <c r="S186" t="s">
        <v>143</v>
      </c>
      <c r="T186" t="s">
        <v>44</v>
      </c>
      <c r="U186" t="s">
        <v>45</v>
      </c>
      <c r="Y186" t="s">
        <v>104</v>
      </c>
      <c r="Z186" s="1">
        <v>44593</v>
      </c>
      <c r="AA186" t="s">
        <v>93</v>
      </c>
      <c r="AE186" t="s">
        <v>144</v>
      </c>
      <c r="AG186" t="s">
        <v>48</v>
      </c>
    </row>
    <row r="187" spans="1:33" x14ac:dyDescent="0.3">
      <c r="A187">
        <v>374</v>
      </c>
      <c r="B187" t="s">
        <v>1390</v>
      </c>
      <c r="C187" t="str">
        <f>""</f>
        <v/>
      </c>
      <c r="D187" t="str">
        <f>"431690N00"</f>
        <v>431690N00</v>
      </c>
      <c r="E187" s="1">
        <v>30958</v>
      </c>
      <c r="F187" t="s">
        <v>1391</v>
      </c>
      <c r="G187" t="e">
        <f>INDEX(#REF!,MATCH(P187,#REF!,0),1)</f>
        <v>#REF!</v>
      </c>
      <c r="H187" t="s">
        <v>1392</v>
      </c>
      <c r="J187" t="s">
        <v>1393</v>
      </c>
      <c r="K187" t="s">
        <v>342</v>
      </c>
      <c r="L187">
        <v>60451</v>
      </c>
      <c r="M187" t="s">
        <v>1394</v>
      </c>
      <c r="N187">
        <v>374</v>
      </c>
      <c r="O187" t="s">
        <v>1391</v>
      </c>
      <c r="P187">
        <v>374</v>
      </c>
      <c r="Q187" t="s">
        <v>1391</v>
      </c>
      <c r="R187" t="s">
        <v>335</v>
      </c>
      <c r="S187" t="s">
        <v>336</v>
      </c>
      <c r="T187" t="s">
        <v>44</v>
      </c>
      <c r="U187" t="s">
        <v>45</v>
      </c>
      <c r="AA187" t="s">
        <v>337</v>
      </c>
      <c r="AD187" t="s">
        <v>94</v>
      </c>
      <c r="AE187" t="s">
        <v>404</v>
      </c>
    </row>
    <row r="188" spans="1:33" x14ac:dyDescent="0.3">
      <c r="A188">
        <v>375</v>
      </c>
      <c r="B188" t="s">
        <v>1395</v>
      </c>
      <c r="C188" t="str">
        <f>""</f>
        <v/>
      </c>
      <c r="D188" t="str">
        <f>""</f>
        <v/>
      </c>
      <c r="E188" s="1">
        <v>45839</v>
      </c>
      <c r="F188" t="s">
        <v>1396</v>
      </c>
      <c r="G188" t="e">
        <f>INDEX(#REF!,MATCH(P188,#REF!,0),1)</f>
        <v>#REF!</v>
      </c>
      <c r="H188" t="s">
        <v>1397</v>
      </c>
      <c r="J188" t="s">
        <v>1398</v>
      </c>
      <c r="K188" t="s">
        <v>763</v>
      </c>
      <c r="L188">
        <v>74953</v>
      </c>
      <c r="M188" t="s">
        <v>1399</v>
      </c>
      <c r="N188">
        <v>711515</v>
      </c>
      <c r="O188" t="s">
        <v>1400</v>
      </c>
      <c r="P188">
        <v>711515</v>
      </c>
      <c r="Q188" t="s">
        <v>1400</v>
      </c>
      <c r="R188" t="s">
        <v>1401</v>
      </c>
      <c r="S188" t="s">
        <v>1402</v>
      </c>
      <c r="T188" t="s">
        <v>44</v>
      </c>
      <c r="U188" t="s">
        <v>45</v>
      </c>
      <c r="AE188" t="s">
        <v>766</v>
      </c>
    </row>
    <row r="189" spans="1:33" x14ac:dyDescent="0.3">
      <c r="A189">
        <v>380</v>
      </c>
      <c r="B189" t="s">
        <v>1403</v>
      </c>
      <c r="C189" t="str">
        <f>""</f>
        <v/>
      </c>
      <c r="D189" t="str">
        <f>"510500B00"</f>
        <v>510500B00</v>
      </c>
      <c r="E189" s="1">
        <v>42583</v>
      </c>
      <c r="F189" t="s">
        <v>1404</v>
      </c>
      <c r="G189" t="e">
        <f>INDEX(#REF!,MATCH(P189,#REF!,0),1)</f>
        <v>#REF!</v>
      </c>
      <c r="H189" t="s">
        <v>1405</v>
      </c>
      <c r="J189" t="s">
        <v>1406</v>
      </c>
      <c r="K189" t="s">
        <v>1407</v>
      </c>
      <c r="L189">
        <v>42240</v>
      </c>
      <c r="M189" t="s">
        <v>1408</v>
      </c>
      <c r="N189">
        <v>380</v>
      </c>
      <c r="O189" t="s">
        <v>1404</v>
      </c>
      <c r="P189">
        <v>380</v>
      </c>
      <c r="Q189" t="s">
        <v>1404</v>
      </c>
      <c r="R189" t="s">
        <v>1078</v>
      </c>
      <c r="S189" t="s">
        <v>1079</v>
      </c>
      <c r="T189" t="s">
        <v>44</v>
      </c>
      <c r="U189" t="s">
        <v>45</v>
      </c>
    </row>
    <row r="190" spans="1:33" x14ac:dyDescent="0.3">
      <c r="A190">
        <v>381</v>
      </c>
      <c r="B190" t="s">
        <v>1409</v>
      </c>
      <c r="C190" t="str">
        <f>"1100005424319"</f>
        <v>1100005424319</v>
      </c>
      <c r="D190" t="str">
        <f>"860020G00"</f>
        <v>860020G00</v>
      </c>
      <c r="E190" s="1">
        <v>31582</v>
      </c>
      <c r="F190" t="s">
        <v>1410</v>
      </c>
      <c r="G190" t="e">
        <f>INDEX(#REF!,MATCH(P190,#REF!,0),1)</f>
        <v>#REF!</v>
      </c>
      <c r="H190" t="s">
        <v>1411</v>
      </c>
      <c r="J190" t="s">
        <v>1412</v>
      </c>
      <c r="K190" t="s">
        <v>577</v>
      </c>
      <c r="L190" t="s">
        <v>1413</v>
      </c>
      <c r="M190" t="s">
        <v>1414</v>
      </c>
      <c r="N190">
        <v>264</v>
      </c>
      <c r="O190" t="s">
        <v>1024</v>
      </c>
      <c r="P190">
        <v>264</v>
      </c>
      <c r="Q190" t="s">
        <v>1024</v>
      </c>
      <c r="R190" t="s">
        <v>1029</v>
      </c>
      <c r="S190" t="s">
        <v>1030</v>
      </c>
      <c r="T190" t="s">
        <v>44</v>
      </c>
      <c r="U190" t="s">
        <v>45</v>
      </c>
      <c r="Y190" t="s">
        <v>46</v>
      </c>
      <c r="Z190" s="1">
        <v>45474</v>
      </c>
      <c r="AA190" t="s">
        <v>1032</v>
      </c>
      <c r="AE190" t="s">
        <v>1033</v>
      </c>
    </row>
    <row r="191" spans="1:33" x14ac:dyDescent="0.3">
      <c r="A191">
        <v>382</v>
      </c>
      <c r="B191" t="s">
        <v>1415</v>
      </c>
      <c r="C191" t="str">
        <f>""</f>
        <v/>
      </c>
      <c r="D191" t="str">
        <f>"720930L00"</f>
        <v>720930L00</v>
      </c>
      <c r="E191" s="1">
        <v>30945</v>
      </c>
      <c r="F191" t="s">
        <v>1416</v>
      </c>
      <c r="G191" t="e">
        <f>INDEX(#REF!,MATCH(P191,#REF!,0),1)</f>
        <v>#REF!</v>
      </c>
      <c r="H191" t="s">
        <v>1417</v>
      </c>
      <c r="J191" t="s">
        <v>1418</v>
      </c>
      <c r="K191" t="s">
        <v>353</v>
      </c>
      <c r="L191">
        <v>70601</v>
      </c>
      <c r="M191" t="s">
        <v>1419</v>
      </c>
      <c r="N191">
        <v>382</v>
      </c>
      <c r="O191" t="s">
        <v>1416</v>
      </c>
      <c r="P191">
        <v>382</v>
      </c>
      <c r="Q191" t="s">
        <v>1416</v>
      </c>
      <c r="R191" t="s">
        <v>893</v>
      </c>
      <c r="S191" t="s">
        <v>894</v>
      </c>
      <c r="T191" t="s">
        <v>44</v>
      </c>
      <c r="U191" t="s">
        <v>45</v>
      </c>
      <c r="AA191" t="s">
        <v>93</v>
      </c>
      <c r="AD191" t="s">
        <v>94</v>
      </c>
      <c r="AE191" t="s">
        <v>220</v>
      </c>
    </row>
    <row r="192" spans="1:33" x14ac:dyDescent="0.3">
      <c r="A192">
        <v>383</v>
      </c>
      <c r="B192" t="s">
        <v>1420</v>
      </c>
      <c r="C192" t="str">
        <f>"1200144200246"</f>
        <v>1200144200246</v>
      </c>
      <c r="D192" t="str">
        <f>"540300C00"</f>
        <v>540300C00</v>
      </c>
      <c r="E192" s="1">
        <v>31034</v>
      </c>
      <c r="F192" t="s">
        <v>1421</v>
      </c>
      <c r="G192" t="e">
        <f>INDEX(#REF!,MATCH(P192,#REF!,0),1)</f>
        <v>#REF!</v>
      </c>
      <c r="H192" t="s">
        <v>1422</v>
      </c>
      <c r="J192" t="s">
        <v>1423</v>
      </c>
      <c r="K192" t="s">
        <v>149</v>
      </c>
      <c r="L192" t="s">
        <v>1424</v>
      </c>
      <c r="M192" t="s">
        <v>1425</v>
      </c>
      <c r="N192">
        <v>383</v>
      </c>
      <c r="O192" t="s">
        <v>1421</v>
      </c>
      <c r="P192">
        <v>383</v>
      </c>
      <c r="Q192" t="s">
        <v>1421</v>
      </c>
      <c r="R192" t="s">
        <v>1078</v>
      </c>
      <c r="S192" t="s">
        <v>1079</v>
      </c>
      <c r="T192" t="s">
        <v>44</v>
      </c>
      <c r="U192" t="s">
        <v>45</v>
      </c>
      <c r="AA192" t="s">
        <v>93</v>
      </c>
      <c r="AB192" t="s">
        <v>328</v>
      </c>
      <c r="AE192" t="s">
        <v>220</v>
      </c>
    </row>
    <row r="193" spans="1:33" x14ac:dyDescent="0.3">
      <c r="A193">
        <v>387</v>
      </c>
      <c r="B193" t="s">
        <v>1426</v>
      </c>
      <c r="C193" t="str">
        <f>""</f>
        <v/>
      </c>
      <c r="D193" t="str">
        <f>"540940M00"</f>
        <v>540940M00</v>
      </c>
      <c r="E193" s="1">
        <v>31034</v>
      </c>
      <c r="F193" t="s">
        <v>1427</v>
      </c>
      <c r="G193" t="e">
        <f>INDEX(#REF!,MATCH(P193,#REF!,0),1)</f>
        <v>#REF!</v>
      </c>
      <c r="H193" t="s">
        <v>1428</v>
      </c>
      <c r="J193" t="s">
        <v>1429</v>
      </c>
      <c r="K193" t="s">
        <v>149</v>
      </c>
      <c r="L193" t="s">
        <v>1430</v>
      </c>
      <c r="M193" t="s">
        <v>1431</v>
      </c>
      <c r="N193">
        <v>29</v>
      </c>
      <c r="O193" t="s">
        <v>136</v>
      </c>
      <c r="P193">
        <v>29</v>
      </c>
      <c r="Q193" t="s">
        <v>136</v>
      </c>
      <c r="R193" t="s">
        <v>142</v>
      </c>
      <c r="S193" t="s">
        <v>143</v>
      </c>
      <c r="T193" t="s">
        <v>44</v>
      </c>
      <c r="U193" t="s">
        <v>45</v>
      </c>
      <c r="Y193" t="s">
        <v>104</v>
      </c>
      <c r="Z193" s="1">
        <v>44593</v>
      </c>
      <c r="AA193" t="s">
        <v>93</v>
      </c>
      <c r="AE193" t="s">
        <v>144</v>
      </c>
      <c r="AG193" t="s">
        <v>48</v>
      </c>
    </row>
    <row r="194" spans="1:33" x14ac:dyDescent="0.3">
      <c r="A194">
        <v>390</v>
      </c>
      <c r="B194" t="s">
        <v>1432</v>
      </c>
      <c r="C194" t="str">
        <f>"1100004799920"</f>
        <v>1100004799920</v>
      </c>
      <c r="D194" t="str">
        <f>"540890Q00"</f>
        <v>540890Q00</v>
      </c>
      <c r="E194" s="1">
        <v>31034</v>
      </c>
      <c r="F194" t="s">
        <v>1433</v>
      </c>
      <c r="G194" t="e">
        <f>INDEX(#REF!,MATCH(P194,#REF!,0),1)</f>
        <v>#REF!</v>
      </c>
      <c r="H194" t="s">
        <v>1434</v>
      </c>
      <c r="J194" t="s">
        <v>1435</v>
      </c>
      <c r="K194" t="s">
        <v>149</v>
      </c>
      <c r="L194">
        <v>38652</v>
      </c>
      <c r="M194" t="s">
        <v>1436</v>
      </c>
      <c r="N194">
        <v>29</v>
      </c>
      <c r="O194" t="s">
        <v>136</v>
      </c>
      <c r="P194">
        <v>29</v>
      </c>
      <c r="Q194" t="s">
        <v>136</v>
      </c>
      <c r="R194" t="s">
        <v>142</v>
      </c>
      <c r="S194" t="s">
        <v>143</v>
      </c>
      <c r="T194" t="s">
        <v>44</v>
      </c>
      <c r="U194" t="s">
        <v>45</v>
      </c>
      <c r="Y194" t="s">
        <v>104</v>
      </c>
      <c r="Z194" s="1">
        <v>44593</v>
      </c>
      <c r="AA194" t="s">
        <v>93</v>
      </c>
      <c r="AE194" t="s">
        <v>144</v>
      </c>
      <c r="AG194" t="s">
        <v>48</v>
      </c>
    </row>
    <row r="195" spans="1:33" x14ac:dyDescent="0.3">
      <c r="A195">
        <v>391</v>
      </c>
      <c r="B195" t="s">
        <v>1437</v>
      </c>
      <c r="C195" t="str">
        <f>""</f>
        <v/>
      </c>
      <c r="D195" t="str">
        <f>"4HNQGXB00"</f>
        <v>4HNQGXB00</v>
      </c>
      <c r="E195" s="1">
        <v>31107</v>
      </c>
      <c r="F195" t="s">
        <v>1438</v>
      </c>
      <c r="G195" t="e">
        <f>INDEX(#REF!,MATCH(P195,#REF!,0),1)</f>
        <v>#REF!</v>
      </c>
      <c r="H195" t="s">
        <v>1439</v>
      </c>
      <c r="J195" t="s">
        <v>1440</v>
      </c>
      <c r="K195" t="s">
        <v>111</v>
      </c>
      <c r="L195" t="s">
        <v>1441</v>
      </c>
      <c r="M195" t="s">
        <v>1442</v>
      </c>
      <c r="N195">
        <v>1319</v>
      </c>
      <c r="O195" t="s">
        <v>1443</v>
      </c>
      <c r="P195">
        <v>1319</v>
      </c>
      <c r="Q195" t="s">
        <v>1443</v>
      </c>
      <c r="R195" t="s">
        <v>115</v>
      </c>
      <c r="S195" t="s">
        <v>116</v>
      </c>
      <c r="T195" t="s">
        <v>44</v>
      </c>
      <c r="U195" t="s">
        <v>45</v>
      </c>
      <c r="AA195" t="s">
        <v>119</v>
      </c>
      <c r="AE195" t="s">
        <v>120</v>
      </c>
    </row>
    <row r="196" spans="1:33" x14ac:dyDescent="0.3">
      <c r="A196">
        <v>394</v>
      </c>
      <c r="B196" t="s">
        <v>1444</v>
      </c>
      <c r="C196" t="str">
        <f>""</f>
        <v/>
      </c>
      <c r="D196" t="str">
        <f>"092XZX400"</f>
        <v>092XZX400</v>
      </c>
      <c r="E196" s="1">
        <v>31019</v>
      </c>
      <c r="F196" t="s">
        <v>1445</v>
      </c>
      <c r="G196" t="e">
        <f>INDEX(#REF!,MATCH(P196,#REF!,0),1)</f>
        <v>#REF!</v>
      </c>
      <c r="H196" t="s">
        <v>1446</v>
      </c>
      <c r="J196" t="s">
        <v>1447</v>
      </c>
      <c r="K196" t="s">
        <v>65</v>
      </c>
      <c r="L196" t="s">
        <v>1448</v>
      </c>
      <c r="M196" t="s">
        <v>1449</v>
      </c>
      <c r="N196">
        <v>1922</v>
      </c>
      <c r="O196" t="s">
        <v>883</v>
      </c>
      <c r="P196">
        <v>1922</v>
      </c>
      <c r="Q196" t="s">
        <v>883</v>
      </c>
      <c r="R196" t="s">
        <v>884</v>
      </c>
      <c r="S196" t="s">
        <v>885</v>
      </c>
      <c r="T196" t="s">
        <v>44</v>
      </c>
      <c r="U196" t="s">
        <v>45</v>
      </c>
      <c r="AA196" t="s">
        <v>119</v>
      </c>
      <c r="AE196" t="s">
        <v>564</v>
      </c>
      <c r="AG196" t="s">
        <v>48</v>
      </c>
    </row>
    <row r="197" spans="1:33" x14ac:dyDescent="0.3">
      <c r="A197">
        <v>397</v>
      </c>
      <c r="B197" t="s">
        <v>1450</v>
      </c>
      <c r="C197" t="str">
        <f>""</f>
        <v/>
      </c>
      <c r="D197" t="str">
        <f>"950100F00"</f>
        <v>950100F00</v>
      </c>
      <c r="E197" s="1">
        <v>31134</v>
      </c>
      <c r="F197" t="s">
        <v>1451</v>
      </c>
      <c r="G197" t="e">
        <f>INDEX(#REF!,MATCH(P197,#REF!,0),1)</f>
        <v>#REF!</v>
      </c>
      <c r="H197" t="s">
        <v>1452</v>
      </c>
      <c r="J197" t="s">
        <v>1453</v>
      </c>
      <c r="K197" t="s">
        <v>1454</v>
      </c>
      <c r="L197" t="s">
        <v>1455</v>
      </c>
      <c r="M197" t="s">
        <v>1456</v>
      </c>
      <c r="N197">
        <v>717069</v>
      </c>
      <c r="O197" t="s">
        <v>1457</v>
      </c>
      <c r="P197">
        <v>717069</v>
      </c>
      <c r="Q197" t="s">
        <v>1457</v>
      </c>
      <c r="R197" t="s">
        <v>1458</v>
      </c>
      <c r="S197" t="s">
        <v>1459</v>
      </c>
      <c r="T197" t="s">
        <v>44</v>
      </c>
      <c r="U197" t="s">
        <v>45</v>
      </c>
      <c r="AA197" t="s">
        <v>1032</v>
      </c>
      <c r="AD197" t="s">
        <v>94</v>
      </c>
      <c r="AE197" t="s">
        <v>1033</v>
      </c>
      <c r="AG197" t="s">
        <v>48</v>
      </c>
    </row>
    <row r="198" spans="1:33" x14ac:dyDescent="0.3">
      <c r="A198">
        <v>399</v>
      </c>
      <c r="B198" t="s">
        <v>1460</v>
      </c>
      <c r="C198" t="str">
        <f>""</f>
        <v/>
      </c>
      <c r="D198" t="str">
        <f>"743980V00"</f>
        <v>743980V00</v>
      </c>
      <c r="E198" s="1">
        <v>42583</v>
      </c>
      <c r="F198" t="s">
        <v>1461</v>
      </c>
      <c r="G198" t="e">
        <f>INDEX(#REF!,MATCH(P198,#REF!,0),1)</f>
        <v>#REF!</v>
      </c>
      <c r="H198" t="s">
        <v>1462</v>
      </c>
      <c r="J198" t="s">
        <v>1463</v>
      </c>
      <c r="K198" t="s">
        <v>676</v>
      </c>
      <c r="L198">
        <v>79410</v>
      </c>
      <c r="M198" t="s">
        <v>1464</v>
      </c>
      <c r="N198">
        <v>43193</v>
      </c>
      <c r="O198" t="s">
        <v>1465</v>
      </c>
      <c r="P198">
        <v>1101885</v>
      </c>
      <c r="Q198" t="s">
        <v>1466</v>
      </c>
      <c r="R198" t="s">
        <v>1467</v>
      </c>
      <c r="S198" t="s">
        <v>1468</v>
      </c>
      <c r="T198" t="s">
        <v>44</v>
      </c>
      <c r="U198" t="s">
        <v>45</v>
      </c>
      <c r="AA198" t="s">
        <v>1031</v>
      </c>
      <c r="AE198" t="s">
        <v>72</v>
      </c>
    </row>
    <row r="199" spans="1:33" x14ac:dyDescent="0.3">
      <c r="A199">
        <v>400</v>
      </c>
      <c r="B199" t="s">
        <v>1469</v>
      </c>
      <c r="C199" t="str">
        <f>""</f>
        <v/>
      </c>
      <c r="D199" t="str">
        <f>"710170G00"</f>
        <v>710170G00</v>
      </c>
      <c r="E199" s="1">
        <v>45642</v>
      </c>
      <c r="F199" t="s">
        <v>1470</v>
      </c>
      <c r="G199" t="e">
        <f>INDEX(#REF!,MATCH(P199,#REF!,0),1)</f>
        <v>#REF!</v>
      </c>
      <c r="H199" t="s">
        <v>1471</v>
      </c>
      <c r="J199" t="s">
        <v>1472</v>
      </c>
      <c r="K199" t="s">
        <v>111</v>
      </c>
      <c r="L199" t="s">
        <v>1473</v>
      </c>
      <c r="M199" t="s">
        <v>1474</v>
      </c>
      <c r="N199">
        <v>3420970</v>
      </c>
      <c r="O199" t="s">
        <v>1181</v>
      </c>
      <c r="P199">
        <v>3420970</v>
      </c>
      <c r="Q199" t="s">
        <v>1181</v>
      </c>
      <c r="R199" t="s">
        <v>245</v>
      </c>
      <c r="S199" t="s">
        <v>246</v>
      </c>
      <c r="T199" t="s">
        <v>44</v>
      </c>
      <c r="U199" t="s">
        <v>45</v>
      </c>
    </row>
    <row r="200" spans="1:33" x14ac:dyDescent="0.3">
      <c r="A200">
        <v>401</v>
      </c>
      <c r="B200" t="s">
        <v>1475</v>
      </c>
      <c r="C200" t="str">
        <f>"1100004063762"</f>
        <v>1100004063762</v>
      </c>
      <c r="D200" t="str">
        <f>"421100800"</f>
        <v>421100800</v>
      </c>
      <c r="E200" s="1">
        <v>31134</v>
      </c>
      <c r="F200" t="s">
        <v>1476</v>
      </c>
      <c r="G200" t="e">
        <f>INDEX(#REF!,MATCH(P200,#REF!,0),1)</f>
        <v>#REF!</v>
      </c>
      <c r="H200" t="s">
        <v>1477</v>
      </c>
      <c r="J200" t="s">
        <v>1478</v>
      </c>
      <c r="K200" t="s">
        <v>307</v>
      </c>
      <c r="L200" t="s">
        <v>1479</v>
      </c>
      <c r="M200" t="s">
        <v>1480</v>
      </c>
      <c r="N200">
        <v>36874</v>
      </c>
      <c r="O200" t="s">
        <v>710</v>
      </c>
      <c r="P200">
        <v>36874</v>
      </c>
      <c r="Q200" t="s">
        <v>710</v>
      </c>
      <c r="R200" t="s">
        <v>711</v>
      </c>
      <c r="S200" t="s">
        <v>712</v>
      </c>
      <c r="T200" t="s">
        <v>44</v>
      </c>
      <c r="U200" t="s">
        <v>45</v>
      </c>
      <c r="AD200" t="s">
        <v>94</v>
      </c>
      <c r="AE200" t="s">
        <v>60</v>
      </c>
      <c r="AG200" t="s">
        <v>48</v>
      </c>
    </row>
    <row r="201" spans="1:33" x14ac:dyDescent="0.3">
      <c r="A201">
        <v>404</v>
      </c>
      <c r="B201" t="s">
        <v>1481</v>
      </c>
      <c r="C201" t="str">
        <f>""</f>
        <v/>
      </c>
      <c r="D201" t="str">
        <f>"830190L00"</f>
        <v>830190L00</v>
      </c>
      <c r="E201" s="1">
        <v>41395</v>
      </c>
      <c r="F201" t="s">
        <v>1482</v>
      </c>
      <c r="G201" t="e">
        <f>INDEX(#REF!,MATCH(P201,#REF!,0),1)</f>
        <v>#REF!</v>
      </c>
      <c r="H201" t="s">
        <v>1483</v>
      </c>
      <c r="J201" t="s">
        <v>1484</v>
      </c>
      <c r="K201" t="s">
        <v>1275</v>
      </c>
      <c r="L201" t="s">
        <v>1485</v>
      </c>
      <c r="M201" t="s">
        <v>1486</v>
      </c>
      <c r="N201">
        <v>3037807</v>
      </c>
      <c r="O201" t="s">
        <v>813</v>
      </c>
      <c r="P201">
        <v>3037807</v>
      </c>
      <c r="Q201" t="s">
        <v>813</v>
      </c>
      <c r="R201" t="s">
        <v>196</v>
      </c>
      <c r="S201" t="s">
        <v>197</v>
      </c>
      <c r="T201" t="s">
        <v>44</v>
      </c>
      <c r="U201" t="s">
        <v>45</v>
      </c>
    </row>
    <row r="202" spans="1:33" x14ac:dyDescent="0.3">
      <c r="A202">
        <v>405</v>
      </c>
      <c r="B202" t="s">
        <v>1487</v>
      </c>
      <c r="C202" t="str">
        <f>"1100003671708"</f>
        <v>1100003671708</v>
      </c>
      <c r="D202" t="str">
        <f>"EEBLDPQ00"</f>
        <v>EEBLDPQ00</v>
      </c>
      <c r="E202" s="1">
        <v>31168</v>
      </c>
      <c r="F202" t="s">
        <v>1488</v>
      </c>
      <c r="G202" t="e">
        <f>INDEX(#REF!,MATCH(P202,#REF!,0),1)</f>
        <v>#REF!</v>
      </c>
      <c r="H202" t="s">
        <v>1489</v>
      </c>
      <c r="J202" t="s">
        <v>1490</v>
      </c>
      <c r="K202" t="s">
        <v>208</v>
      </c>
      <c r="L202" t="s">
        <v>1491</v>
      </c>
      <c r="M202" t="s">
        <v>1492</v>
      </c>
      <c r="N202">
        <v>405</v>
      </c>
      <c r="O202" t="s">
        <v>1488</v>
      </c>
      <c r="P202">
        <v>405</v>
      </c>
      <c r="Q202" t="s">
        <v>1488</v>
      </c>
      <c r="R202" t="s">
        <v>419</v>
      </c>
      <c r="S202" t="s">
        <v>420</v>
      </c>
      <c r="T202" t="s">
        <v>44</v>
      </c>
      <c r="U202" t="s">
        <v>81</v>
      </c>
      <c r="AA202" t="s">
        <v>119</v>
      </c>
      <c r="AC202" t="s">
        <v>1493</v>
      </c>
      <c r="AE202" t="s">
        <v>120</v>
      </c>
    </row>
    <row r="203" spans="1:33" x14ac:dyDescent="0.3">
      <c r="A203">
        <v>407</v>
      </c>
      <c r="B203" t="s">
        <v>1494</v>
      </c>
      <c r="C203" t="str">
        <f>"1100096870767"</f>
        <v>1100096870767</v>
      </c>
      <c r="D203" t="str">
        <f>"2LXG90900"</f>
        <v>2LXG90900</v>
      </c>
      <c r="E203" s="1">
        <v>31187</v>
      </c>
      <c r="F203" t="s">
        <v>1495</v>
      </c>
      <c r="G203" t="e">
        <f>INDEX(#REF!,MATCH(P203,#REF!,0),1)</f>
        <v>#REF!</v>
      </c>
      <c r="H203" t="s">
        <v>1496</v>
      </c>
      <c r="J203" t="s">
        <v>1497</v>
      </c>
      <c r="K203" t="s">
        <v>167</v>
      </c>
      <c r="L203" t="s">
        <v>1498</v>
      </c>
      <c r="M203" t="s">
        <v>1499</v>
      </c>
      <c r="N203">
        <v>407</v>
      </c>
      <c r="O203" t="s">
        <v>1495</v>
      </c>
      <c r="P203">
        <v>407</v>
      </c>
      <c r="Q203" t="s">
        <v>1495</v>
      </c>
      <c r="R203" t="s">
        <v>571</v>
      </c>
      <c r="S203" t="s">
        <v>572</v>
      </c>
      <c r="T203" t="s">
        <v>44</v>
      </c>
      <c r="U203" t="s">
        <v>81</v>
      </c>
      <c r="AA203" t="s">
        <v>105</v>
      </c>
    </row>
    <row r="204" spans="1:33" x14ac:dyDescent="0.3">
      <c r="A204">
        <v>413</v>
      </c>
      <c r="B204" t="s">
        <v>1500</v>
      </c>
      <c r="C204" t="str">
        <f>""</f>
        <v/>
      </c>
      <c r="D204" t="str">
        <f>"110490F00"</f>
        <v>110490F00</v>
      </c>
      <c r="E204" s="1">
        <v>31215</v>
      </c>
      <c r="F204" t="s">
        <v>1501</v>
      </c>
      <c r="G204" t="e">
        <f>INDEX(#REF!,MATCH(P204,#REF!,0),1)</f>
        <v>#REF!</v>
      </c>
      <c r="H204" t="s">
        <v>1502</v>
      </c>
      <c r="J204" t="s">
        <v>1503</v>
      </c>
      <c r="K204" t="s">
        <v>1504</v>
      </c>
      <c r="L204" t="str">
        <f>"04901"</f>
        <v>04901</v>
      </c>
      <c r="M204" t="s">
        <v>1505</v>
      </c>
      <c r="N204">
        <v>37708</v>
      </c>
      <c r="O204" t="s">
        <v>1506</v>
      </c>
      <c r="P204">
        <v>37708</v>
      </c>
      <c r="Q204" t="s">
        <v>1506</v>
      </c>
      <c r="R204" t="s">
        <v>658</v>
      </c>
      <c r="S204" t="s">
        <v>659</v>
      </c>
      <c r="T204" t="s">
        <v>44</v>
      </c>
      <c r="U204" t="s">
        <v>45</v>
      </c>
      <c r="AA204" t="s">
        <v>119</v>
      </c>
      <c r="AE204" t="s">
        <v>60</v>
      </c>
      <c r="AG204" t="s">
        <v>48</v>
      </c>
    </row>
    <row r="205" spans="1:33" x14ac:dyDescent="0.3">
      <c r="A205">
        <v>421</v>
      </c>
      <c r="B205" t="s">
        <v>1507</v>
      </c>
      <c r="C205" t="str">
        <f>"1100003991059"</f>
        <v>1100003991059</v>
      </c>
      <c r="D205" t="str">
        <f>"380310F00"</f>
        <v>380310F00</v>
      </c>
      <c r="E205" s="1">
        <v>42583</v>
      </c>
      <c r="F205" t="s">
        <v>1508</v>
      </c>
      <c r="G205" t="e">
        <f>INDEX(#REF!,MATCH(P205,#REF!,0),1)</f>
        <v>#REF!</v>
      </c>
      <c r="H205" t="s">
        <v>1509</v>
      </c>
      <c r="J205" t="s">
        <v>1510</v>
      </c>
      <c r="K205" t="s">
        <v>99</v>
      </c>
      <c r="L205" t="s">
        <v>1511</v>
      </c>
      <c r="M205" t="s">
        <v>1512</v>
      </c>
      <c r="N205">
        <v>2623343</v>
      </c>
      <c r="O205" t="s">
        <v>1513</v>
      </c>
      <c r="P205">
        <v>2623343</v>
      </c>
      <c r="Q205" t="s">
        <v>1513</v>
      </c>
      <c r="R205" t="s">
        <v>1514</v>
      </c>
      <c r="S205" t="s">
        <v>1515</v>
      </c>
      <c r="T205" t="s">
        <v>44</v>
      </c>
      <c r="U205" t="s">
        <v>45</v>
      </c>
      <c r="AD205" t="s">
        <v>94</v>
      </c>
      <c r="AE205" t="s">
        <v>72</v>
      </c>
    </row>
    <row r="206" spans="1:33" x14ac:dyDescent="0.3">
      <c r="A206">
        <v>423</v>
      </c>
      <c r="B206" t="s">
        <v>1516</v>
      </c>
      <c r="C206" t="str">
        <f>""</f>
        <v/>
      </c>
      <c r="D206" t="str">
        <f>"431830J00"</f>
        <v>431830J00</v>
      </c>
      <c r="E206" s="1">
        <v>31243</v>
      </c>
      <c r="F206" t="s">
        <v>1517</v>
      </c>
      <c r="G206" t="e">
        <f>INDEX(#REF!,MATCH(P206,#REF!,0),1)</f>
        <v>#REF!</v>
      </c>
      <c r="H206" t="s">
        <v>1518</v>
      </c>
      <c r="J206" t="s">
        <v>1519</v>
      </c>
      <c r="K206" t="s">
        <v>342</v>
      </c>
      <c r="L206" t="s">
        <v>1520</v>
      </c>
      <c r="M206" t="s">
        <v>1521</v>
      </c>
      <c r="N206">
        <v>423</v>
      </c>
      <c r="O206" t="s">
        <v>1517</v>
      </c>
      <c r="P206">
        <v>423</v>
      </c>
      <c r="Q206" t="s">
        <v>1517</v>
      </c>
      <c r="R206" t="s">
        <v>245</v>
      </c>
      <c r="S206" t="s">
        <v>246</v>
      </c>
      <c r="T206" t="s">
        <v>44</v>
      </c>
      <c r="U206" t="s">
        <v>45</v>
      </c>
      <c r="AA206" t="s">
        <v>327</v>
      </c>
      <c r="AE206" t="s">
        <v>1522</v>
      </c>
    </row>
    <row r="207" spans="1:33" x14ac:dyDescent="0.3">
      <c r="A207">
        <v>427</v>
      </c>
      <c r="B207" t="s">
        <v>1523</v>
      </c>
      <c r="C207" t="str">
        <f>"1100005293625"</f>
        <v>1100005293625</v>
      </c>
      <c r="D207" t="str">
        <f>"630240F00"</f>
        <v>630240F00</v>
      </c>
      <c r="E207" s="1">
        <v>34318</v>
      </c>
      <c r="F207" t="s">
        <v>1524</v>
      </c>
      <c r="G207" t="e">
        <f>INDEX(#REF!,MATCH(P207,#REF!,0),1)</f>
        <v>#REF!</v>
      </c>
      <c r="H207" t="s">
        <v>1525</v>
      </c>
      <c r="J207" t="s">
        <v>1526</v>
      </c>
      <c r="K207" t="s">
        <v>177</v>
      </c>
      <c r="L207" t="s">
        <v>1527</v>
      </c>
      <c r="M207" t="s">
        <v>1528</v>
      </c>
      <c r="N207">
        <v>427</v>
      </c>
      <c r="O207" t="s">
        <v>1524</v>
      </c>
      <c r="P207">
        <v>427</v>
      </c>
      <c r="Q207" t="s">
        <v>1524</v>
      </c>
      <c r="R207" t="s">
        <v>649</v>
      </c>
      <c r="S207" t="s">
        <v>650</v>
      </c>
      <c r="T207" t="s">
        <v>44</v>
      </c>
      <c r="U207" t="s">
        <v>45</v>
      </c>
      <c r="AA207" t="s">
        <v>119</v>
      </c>
      <c r="AC207" t="s">
        <v>1529</v>
      </c>
      <c r="AE207" t="s">
        <v>120</v>
      </c>
    </row>
    <row r="208" spans="1:33" x14ac:dyDescent="0.3">
      <c r="A208">
        <v>429</v>
      </c>
      <c r="B208" t="s">
        <v>1530</v>
      </c>
      <c r="C208" t="str">
        <f>"1100004506924"</f>
        <v>1100004506924</v>
      </c>
      <c r="D208" t="str">
        <f>"930060I00"</f>
        <v>930060I00</v>
      </c>
      <c r="E208" s="1">
        <v>42583</v>
      </c>
      <c r="F208" t="s">
        <v>1531</v>
      </c>
      <c r="G208" t="e">
        <f>INDEX(#REF!,MATCH(P208,#REF!,0),1)</f>
        <v>#REF!</v>
      </c>
      <c r="H208" t="s">
        <v>1532</v>
      </c>
      <c r="J208" t="s">
        <v>1533</v>
      </c>
      <c r="K208" t="s">
        <v>88</v>
      </c>
      <c r="L208" t="s">
        <v>1534</v>
      </c>
      <c r="M208" t="s">
        <v>1535</v>
      </c>
      <c r="N208">
        <v>2623308</v>
      </c>
      <c r="O208" t="s">
        <v>1536</v>
      </c>
      <c r="P208">
        <v>2623308</v>
      </c>
      <c r="Q208" t="s">
        <v>1536</v>
      </c>
      <c r="R208" t="s">
        <v>536</v>
      </c>
      <c r="S208" t="s">
        <v>537</v>
      </c>
      <c r="T208" t="s">
        <v>44</v>
      </c>
      <c r="U208" t="s">
        <v>45</v>
      </c>
      <c r="AE208" t="s">
        <v>1033</v>
      </c>
    </row>
    <row r="209" spans="1:33" x14ac:dyDescent="0.3">
      <c r="A209">
        <v>430</v>
      </c>
      <c r="B209" t="s">
        <v>1537</v>
      </c>
      <c r="C209" t="str">
        <f>""</f>
        <v/>
      </c>
      <c r="D209" t="str">
        <f>""</f>
        <v/>
      </c>
      <c r="E209" s="1">
        <v>42795</v>
      </c>
      <c r="F209" t="s">
        <v>1538</v>
      </c>
      <c r="G209" t="e">
        <f>INDEX(#REF!,MATCH(P209,#REF!,0),1)</f>
        <v>#REF!</v>
      </c>
      <c r="H209" t="s">
        <v>1539</v>
      </c>
      <c r="J209" t="s">
        <v>1540</v>
      </c>
      <c r="K209" t="s">
        <v>88</v>
      </c>
      <c r="L209" t="s">
        <v>1541</v>
      </c>
      <c r="M209" t="s">
        <v>1542</v>
      </c>
      <c r="N209">
        <v>430</v>
      </c>
      <c r="O209" t="s">
        <v>1538</v>
      </c>
      <c r="P209">
        <v>430</v>
      </c>
      <c r="Q209" t="s">
        <v>1538</v>
      </c>
      <c r="R209" t="s">
        <v>536</v>
      </c>
      <c r="S209" t="s">
        <v>537</v>
      </c>
      <c r="T209" t="s">
        <v>44</v>
      </c>
      <c r="U209" t="s">
        <v>45</v>
      </c>
      <c r="AD209" t="s">
        <v>94</v>
      </c>
      <c r="AE209" t="s">
        <v>1033</v>
      </c>
    </row>
    <row r="210" spans="1:33" x14ac:dyDescent="0.3">
      <c r="A210">
        <v>431</v>
      </c>
      <c r="B210" t="s">
        <v>1543</v>
      </c>
      <c r="C210" t="str">
        <f>""</f>
        <v/>
      </c>
      <c r="D210" t="str">
        <f>"934090P00"</f>
        <v>934090P00</v>
      </c>
      <c r="E210" s="1">
        <v>31260</v>
      </c>
      <c r="F210" t="s">
        <v>1544</v>
      </c>
      <c r="G210" t="e">
        <f>INDEX(#REF!,MATCH(P210,#REF!,0),1)</f>
        <v>#REF!</v>
      </c>
      <c r="H210" t="s">
        <v>1545</v>
      </c>
      <c r="J210" t="s">
        <v>1546</v>
      </c>
      <c r="K210" t="s">
        <v>88</v>
      </c>
      <c r="L210" t="s">
        <v>1547</v>
      </c>
      <c r="M210" t="s">
        <v>1548</v>
      </c>
      <c r="N210">
        <v>431</v>
      </c>
      <c r="O210" t="s">
        <v>1544</v>
      </c>
      <c r="P210">
        <v>431</v>
      </c>
      <c r="Q210" t="s">
        <v>1544</v>
      </c>
      <c r="R210" t="s">
        <v>1549</v>
      </c>
      <c r="S210" t="s">
        <v>1550</v>
      </c>
      <c r="T210" t="s">
        <v>44</v>
      </c>
      <c r="U210" t="s">
        <v>45</v>
      </c>
      <c r="AE210" t="s">
        <v>1033</v>
      </c>
    </row>
    <row r="211" spans="1:33" x14ac:dyDescent="0.3">
      <c r="A211">
        <v>432</v>
      </c>
      <c r="B211" t="s">
        <v>1551</v>
      </c>
      <c r="C211" t="str">
        <f>""</f>
        <v/>
      </c>
      <c r="D211" t="str">
        <f>"936390U00"</f>
        <v>936390U00</v>
      </c>
      <c r="E211" s="1">
        <v>31187</v>
      </c>
      <c r="F211" t="s">
        <v>1552</v>
      </c>
      <c r="G211" t="e">
        <f>INDEX(#REF!,MATCH(P211,#REF!,0),1)</f>
        <v>#REF!</v>
      </c>
      <c r="H211" t="s">
        <v>1553</v>
      </c>
      <c r="J211" t="s">
        <v>1554</v>
      </c>
      <c r="K211" t="s">
        <v>88</v>
      </c>
      <c r="L211" t="s">
        <v>1555</v>
      </c>
      <c r="M211" t="s">
        <v>1556</v>
      </c>
      <c r="N211">
        <v>3568784</v>
      </c>
      <c r="O211" t="s">
        <v>1557</v>
      </c>
      <c r="P211">
        <v>3568784</v>
      </c>
      <c r="Q211" t="s">
        <v>1557</v>
      </c>
      <c r="R211" t="s">
        <v>1549</v>
      </c>
      <c r="S211" t="s">
        <v>1550</v>
      </c>
      <c r="T211" t="s">
        <v>44</v>
      </c>
      <c r="U211" t="s">
        <v>45</v>
      </c>
      <c r="AA211" t="s">
        <v>1032</v>
      </c>
      <c r="AE211" t="s">
        <v>1033</v>
      </c>
    </row>
    <row r="212" spans="1:33" x14ac:dyDescent="0.3">
      <c r="A212">
        <v>433</v>
      </c>
      <c r="B212" t="s">
        <v>1558</v>
      </c>
      <c r="C212" t="str">
        <f>"1100002456351"</f>
        <v>1100002456351</v>
      </c>
      <c r="D212" t="str">
        <f>"933210I00"</f>
        <v>933210I00</v>
      </c>
      <c r="E212" s="1">
        <v>31260</v>
      </c>
      <c r="F212" t="s">
        <v>1559</v>
      </c>
      <c r="G212" t="e">
        <f>INDEX(#REF!,MATCH(P212,#REF!,0),1)</f>
        <v>#REF!</v>
      </c>
      <c r="H212" t="s">
        <v>1560</v>
      </c>
      <c r="J212" t="s">
        <v>1561</v>
      </c>
      <c r="K212" t="s">
        <v>88</v>
      </c>
      <c r="L212" t="s">
        <v>1562</v>
      </c>
      <c r="M212" t="s">
        <v>1563</v>
      </c>
      <c r="N212">
        <v>251</v>
      </c>
      <c r="O212" t="s">
        <v>90</v>
      </c>
      <c r="P212">
        <v>251</v>
      </c>
      <c r="Q212" t="s">
        <v>90</v>
      </c>
      <c r="R212" t="s">
        <v>91</v>
      </c>
      <c r="S212" t="s">
        <v>92</v>
      </c>
      <c r="T212" t="s">
        <v>44</v>
      </c>
      <c r="U212" t="s">
        <v>45</v>
      </c>
      <c r="AA212" t="s">
        <v>93</v>
      </c>
      <c r="AC212" t="s">
        <v>90</v>
      </c>
      <c r="AD212" t="s">
        <v>94</v>
      </c>
      <c r="AE212" t="s">
        <v>72</v>
      </c>
      <c r="AG212" t="s">
        <v>48</v>
      </c>
    </row>
    <row r="213" spans="1:33" x14ac:dyDescent="0.3">
      <c r="A213">
        <v>434</v>
      </c>
      <c r="B213" t="s">
        <v>1564</v>
      </c>
      <c r="C213" t="str">
        <f>""</f>
        <v/>
      </c>
      <c r="D213" t="str">
        <f>"936350Q00"</f>
        <v>936350Q00</v>
      </c>
      <c r="E213" s="1">
        <v>31260</v>
      </c>
      <c r="F213" t="s">
        <v>1565</v>
      </c>
      <c r="G213" t="e">
        <f>INDEX(#REF!,MATCH(P213,#REF!,0),1)</f>
        <v>#REF!</v>
      </c>
      <c r="H213" t="s">
        <v>1566</v>
      </c>
      <c r="J213" t="s">
        <v>1567</v>
      </c>
      <c r="K213" t="s">
        <v>88</v>
      </c>
      <c r="L213" t="s">
        <v>1568</v>
      </c>
      <c r="M213" t="s">
        <v>1569</v>
      </c>
      <c r="N213">
        <v>1691</v>
      </c>
      <c r="O213" t="s">
        <v>1570</v>
      </c>
      <c r="P213">
        <v>1691</v>
      </c>
      <c r="Q213" t="s">
        <v>1570</v>
      </c>
      <c r="R213" t="s">
        <v>1571</v>
      </c>
      <c r="S213" t="s">
        <v>1572</v>
      </c>
      <c r="T213" t="s">
        <v>44</v>
      </c>
      <c r="U213" t="s">
        <v>45</v>
      </c>
      <c r="AA213" t="s">
        <v>1032</v>
      </c>
      <c r="AD213" t="s">
        <v>94</v>
      </c>
      <c r="AE213" t="s">
        <v>1033</v>
      </c>
    </row>
    <row r="214" spans="1:33" x14ac:dyDescent="0.3">
      <c r="A214">
        <v>435</v>
      </c>
      <c r="B214" t="s">
        <v>1573</v>
      </c>
      <c r="C214" t="str">
        <f>"1100004396884"</f>
        <v>1100004396884</v>
      </c>
      <c r="D214" t="str">
        <f>"935270Q00"</f>
        <v>935270Q00</v>
      </c>
      <c r="E214" s="1">
        <v>37561</v>
      </c>
      <c r="F214" t="s">
        <v>1574</v>
      </c>
      <c r="G214" t="e">
        <f>INDEX(#REF!,MATCH(P214,#REF!,0),1)</f>
        <v>#REF!</v>
      </c>
      <c r="H214" t="s">
        <v>1575</v>
      </c>
      <c r="J214" t="s">
        <v>1576</v>
      </c>
      <c r="K214" t="s">
        <v>88</v>
      </c>
      <c r="L214" t="s">
        <v>1577</v>
      </c>
      <c r="M214" t="s">
        <v>1578</v>
      </c>
      <c r="N214">
        <v>43193</v>
      </c>
      <c r="O214" t="s">
        <v>1465</v>
      </c>
      <c r="P214">
        <v>717195</v>
      </c>
      <c r="Q214" t="s">
        <v>1579</v>
      </c>
      <c r="R214" t="s">
        <v>1467</v>
      </c>
      <c r="S214" t="s">
        <v>1468</v>
      </c>
      <c r="T214" t="s">
        <v>44</v>
      </c>
      <c r="U214" t="s">
        <v>45</v>
      </c>
      <c r="AA214" t="s">
        <v>1031</v>
      </c>
      <c r="AE214" t="s">
        <v>72</v>
      </c>
    </row>
    <row r="215" spans="1:33" x14ac:dyDescent="0.3">
      <c r="A215">
        <v>441</v>
      </c>
      <c r="B215" t="s">
        <v>1580</v>
      </c>
      <c r="C215" t="str">
        <f>""</f>
        <v/>
      </c>
      <c r="D215" t="str">
        <f>"540460J00"</f>
        <v>540460J00</v>
      </c>
      <c r="E215" s="1">
        <v>31229</v>
      </c>
      <c r="F215" t="s">
        <v>1581</v>
      </c>
      <c r="G215" t="e">
        <f>INDEX(#REF!,MATCH(P215,#REF!,0),1)</f>
        <v>#REF!</v>
      </c>
      <c r="H215" t="s">
        <v>1582</v>
      </c>
      <c r="J215" t="s">
        <v>1583</v>
      </c>
      <c r="K215" t="s">
        <v>149</v>
      </c>
      <c r="L215" t="s">
        <v>1584</v>
      </c>
      <c r="M215" t="s">
        <v>1585</v>
      </c>
      <c r="N215">
        <v>441</v>
      </c>
      <c r="O215" t="s">
        <v>1581</v>
      </c>
      <c r="P215">
        <v>441</v>
      </c>
      <c r="Q215" t="s">
        <v>1581</v>
      </c>
      <c r="R215" t="s">
        <v>893</v>
      </c>
      <c r="S215" t="s">
        <v>894</v>
      </c>
      <c r="T215" t="s">
        <v>44</v>
      </c>
      <c r="U215" t="s">
        <v>45</v>
      </c>
      <c r="AA215" t="s">
        <v>93</v>
      </c>
      <c r="AD215" t="s">
        <v>94</v>
      </c>
      <c r="AE215" t="s">
        <v>220</v>
      </c>
    </row>
    <row r="216" spans="1:33" x14ac:dyDescent="0.3">
      <c r="A216">
        <v>443</v>
      </c>
      <c r="B216" t="s">
        <v>1586</v>
      </c>
      <c r="C216" t="str">
        <f>""</f>
        <v/>
      </c>
      <c r="D216" t="str">
        <f>"660090L00"</f>
        <v>660090L00</v>
      </c>
      <c r="E216" s="1">
        <v>31260</v>
      </c>
      <c r="F216" t="s">
        <v>1587</v>
      </c>
      <c r="G216" t="e">
        <f>INDEX(#REF!,MATCH(P216,#REF!,0),1)</f>
        <v>#REF!</v>
      </c>
      <c r="H216" t="s">
        <v>1588</v>
      </c>
      <c r="J216" t="s">
        <v>1589</v>
      </c>
      <c r="K216" t="s">
        <v>727</v>
      </c>
      <c r="L216">
        <v>68310</v>
      </c>
      <c r="M216" t="s">
        <v>1590</v>
      </c>
      <c r="N216">
        <v>43715</v>
      </c>
      <c r="O216" t="s">
        <v>1591</v>
      </c>
      <c r="P216">
        <v>43715</v>
      </c>
      <c r="Q216" t="s">
        <v>1591</v>
      </c>
      <c r="R216" t="s">
        <v>325</v>
      </c>
      <c r="S216" t="s">
        <v>326</v>
      </c>
      <c r="T216" t="s">
        <v>44</v>
      </c>
      <c r="U216" t="s">
        <v>45</v>
      </c>
      <c r="AA216" t="s">
        <v>327</v>
      </c>
      <c r="AD216" t="s">
        <v>94</v>
      </c>
      <c r="AE216" t="s">
        <v>1522</v>
      </c>
    </row>
    <row r="217" spans="1:33" x14ac:dyDescent="0.3">
      <c r="A217">
        <v>444</v>
      </c>
      <c r="B217" t="s">
        <v>1592</v>
      </c>
      <c r="C217" t="str">
        <f>"1100005099500"</f>
        <v>1100005099500</v>
      </c>
      <c r="D217" t="str">
        <f>"660750O00"</f>
        <v>660750O00</v>
      </c>
      <c r="E217" s="1">
        <v>41091</v>
      </c>
      <c r="F217" t="s">
        <v>1593</v>
      </c>
      <c r="G217" t="e">
        <f>INDEX(#REF!,MATCH(P217,#REF!,0),1)</f>
        <v>#REF!</v>
      </c>
      <c r="H217" t="s">
        <v>1594</v>
      </c>
      <c r="J217" t="s">
        <v>726</v>
      </c>
      <c r="K217" t="s">
        <v>727</v>
      </c>
      <c r="L217" t="s">
        <v>1595</v>
      </c>
      <c r="M217" t="s">
        <v>1596</v>
      </c>
      <c r="N217">
        <v>444</v>
      </c>
      <c r="O217" t="s">
        <v>1593</v>
      </c>
      <c r="P217">
        <v>444</v>
      </c>
      <c r="Q217" t="s">
        <v>1593</v>
      </c>
      <c r="R217" t="s">
        <v>1597</v>
      </c>
      <c r="S217" t="s">
        <v>1598</v>
      </c>
      <c r="T217" t="s">
        <v>44</v>
      </c>
      <c r="U217" t="s">
        <v>288</v>
      </c>
      <c r="X217" t="s">
        <v>289</v>
      </c>
      <c r="AA217" t="s">
        <v>290</v>
      </c>
      <c r="AG217" t="s">
        <v>48</v>
      </c>
    </row>
    <row r="218" spans="1:33" x14ac:dyDescent="0.3">
      <c r="A218">
        <v>446</v>
      </c>
      <c r="B218" t="s">
        <v>1599</v>
      </c>
      <c r="C218" t="str">
        <f>"1100096510038"</f>
        <v>1100096510038</v>
      </c>
      <c r="D218" t="str">
        <f>"620060E00"</f>
        <v>620060E00</v>
      </c>
      <c r="E218" s="1">
        <v>31260</v>
      </c>
      <c r="F218" t="s">
        <v>1600</v>
      </c>
      <c r="G218" t="e">
        <f>INDEX(#REF!,MATCH(P218,#REF!,0),1)</f>
        <v>#REF!</v>
      </c>
      <c r="H218" t="s">
        <v>1601</v>
      </c>
      <c r="J218" t="s">
        <v>1602</v>
      </c>
      <c r="K218" t="s">
        <v>1603</v>
      </c>
      <c r="L218" t="s">
        <v>1604</v>
      </c>
      <c r="M218" t="s">
        <v>1605</v>
      </c>
      <c r="N218">
        <v>908</v>
      </c>
      <c r="O218" t="s">
        <v>730</v>
      </c>
      <c r="P218">
        <v>908</v>
      </c>
      <c r="Q218" t="s">
        <v>730</v>
      </c>
      <c r="R218" t="s">
        <v>1046</v>
      </c>
      <c r="S218" t="s">
        <v>1047</v>
      </c>
      <c r="T218" t="s">
        <v>44</v>
      </c>
      <c r="U218" t="s">
        <v>45</v>
      </c>
      <c r="AA218" t="s">
        <v>327</v>
      </c>
      <c r="AD218" t="s">
        <v>94</v>
      </c>
      <c r="AE218" t="s">
        <v>1522</v>
      </c>
    </row>
    <row r="219" spans="1:33" x14ac:dyDescent="0.3">
      <c r="A219">
        <v>447</v>
      </c>
      <c r="B219" t="s">
        <v>1606</v>
      </c>
      <c r="C219" t="str">
        <f>"1100003476457"</f>
        <v>1100003476457</v>
      </c>
      <c r="D219" t="str">
        <f>"620300B00"</f>
        <v>620300B00</v>
      </c>
      <c r="E219" s="1">
        <v>31260</v>
      </c>
      <c r="F219" t="s">
        <v>1607</v>
      </c>
      <c r="G219" t="e">
        <f>INDEX(#REF!,MATCH(P219,#REF!,0),1)</f>
        <v>#REF!</v>
      </c>
      <c r="H219" t="s">
        <v>1608</v>
      </c>
      <c r="J219" t="s">
        <v>1609</v>
      </c>
      <c r="K219" t="s">
        <v>1603</v>
      </c>
      <c r="L219" t="s">
        <v>1610</v>
      </c>
      <c r="M219" t="s">
        <v>1611</v>
      </c>
      <c r="N219">
        <v>908</v>
      </c>
      <c r="O219" t="s">
        <v>730</v>
      </c>
      <c r="P219">
        <v>908</v>
      </c>
      <c r="Q219" t="s">
        <v>730</v>
      </c>
      <c r="R219" t="s">
        <v>346</v>
      </c>
      <c r="S219" t="s">
        <v>347</v>
      </c>
      <c r="T219" t="s">
        <v>44</v>
      </c>
      <c r="U219" t="s">
        <v>45</v>
      </c>
      <c r="AA219" t="s">
        <v>327</v>
      </c>
      <c r="AD219" t="s">
        <v>94</v>
      </c>
      <c r="AE219" t="s">
        <v>348</v>
      </c>
    </row>
    <row r="220" spans="1:33" x14ac:dyDescent="0.3">
      <c r="A220">
        <v>448</v>
      </c>
      <c r="B220" t="s">
        <v>1612</v>
      </c>
      <c r="C220" t="str">
        <f>""</f>
        <v/>
      </c>
      <c r="D220" t="str">
        <f>"660510I00"</f>
        <v>660510I00</v>
      </c>
      <c r="E220" s="1">
        <v>31261</v>
      </c>
      <c r="F220" t="s">
        <v>1613</v>
      </c>
      <c r="G220" t="e">
        <f>INDEX(#REF!,MATCH(P220,#REF!,0),1)</f>
        <v>#REF!</v>
      </c>
      <c r="H220" t="s">
        <v>1614</v>
      </c>
      <c r="J220" t="s">
        <v>1615</v>
      </c>
      <c r="K220" t="s">
        <v>727</v>
      </c>
      <c r="L220" t="s">
        <v>1616</v>
      </c>
      <c r="M220" t="s">
        <v>1617</v>
      </c>
      <c r="N220">
        <v>43715</v>
      </c>
      <c r="O220" t="s">
        <v>1591</v>
      </c>
      <c r="P220">
        <v>43715</v>
      </c>
      <c r="Q220" t="s">
        <v>1591</v>
      </c>
      <c r="R220" t="s">
        <v>346</v>
      </c>
      <c r="S220" t="s">
        <v>347</v>
      </c>
      <c r="T220" t="s">
        <v>44</v>
      </c>
      <c r="U220" t="s">
        <v>45</v>
      </c>
      <c r="AA220" t="s">
        <v>328</v>
      </c>
      <c r="AB220" t="s">
        <v>327</v>
      </c>
      <c r="AE220" t="s">
        <v>1522</v>
      </c>
    </row>
    <row r="221" spans="1:33" x14ac:dyDescent="0.3">
      <c r="A221">
        <v>452</v>
      </c>
      <c r="B221" t="s">
        <v>1618</v>
      </c>
      <c r="C221" t="str">
        <f>"1100005821392"</f>
        <v>1100005821392</v>
      </c>
      <c r="D221" t="str">
        <f>"936290T00"</f>
        <v>936290T00</v>
      </c>
      <c r="E221" s="1">
        <v>31260</v>
      </c>
      <c r="F221" t="s">
        <v>1619</v>
      </c>
      <c r="G221" t="e">
        <f>INDEX(#REF!,MATCH(P221,#REF!,0),1)</f>
        <v>#REF!</v>
      </c>
      <c r="H221" t="s">
        <v>1620</v>
      </c>
      <c r="J221" t="s">
        <v>1621</v>
      </c>
      <c r="K221" t="s">
        <v>88</v>
      </c>
      <c r="L221" t="s">
        <v>1622</v>
      </c>
      <c r="M221" t="s">
        <v>1623</v>
      </c>
      <c r="N221">
        <v>38172</v>
      </c>
      <c r="O221" t="s">
        <v>1624</v>
      </c>
      <c r="P221">
        <v>38172</v>
      </c>
      <c r="Q221" t="s">
        <v>1624</v>
      </c>
      <c r="R221" t="s">
        <v>1625</v>
      </c>
      <c r="S221" t="s">
        <v>1626</v>
      </c>
      <c r="T221" t="s">
        <v>44</v>
      </c>
      <c r="U221" t="s">
        <v>45</v>
      </c>
      <c r="AA221" t="s">
        <v>1032</v>
      </c>
      <c r="AE221" t="s">
        <v>1033</v>
      </c>
    </row>
    <row r="222" spans="1:33" x14ac:dyDescent="0.3">
      <c r="A222">
        <v>454</v>
      </c>
      <c r="B222" t="s">
        <v>1627</v>
      </c>
      <c r="C222" t="str">
        <f>""</f>
        <v/>
      </c>
      <c r="D222" t="str">
        <f>"660410H00"</f>
        <v>660410H00</v>
      </c>
      <c r="E222" s="1">
        <v>31260</v>
      </c>
      <c r="F222" t="s">
        <v>1628</v>
      </c>
      <c r="G222" t="e">
        <f>INDEX(#REF!,MATCH(P222,#REF!,0),1)</f>
        <v>#REF!</v>
      </c>
      <c r="H222" t="s">
        <v>1629</v>
      </c>
      <c r="J222" t="s">
        <v>1630</v>
      </c>
      <c r="K222" t="s">
        <v>727</v>
      </c>
      <c r="L222" t="s">
        <v>1631</v>
      </c>
      <c r="M222" t="s">
        <v>1632</v>
      </c>
      <c r="N222">
        <v>454</v>
      </c>
      <c r="O222" t="s">
        <v>1628</v>
      </c>
      <c r="P222">
        <v>454</v>
      </c>
      <c r="Q222" t="s">
        <v>1628</v>
      </c>
      <c r="R222" t="s">
        <v>325</v>
      </c>
      <c r="S222" t="s">
        <v>326</v>
      </c>
      <c r="T222" t="s">
        <v>44</v>
      </c>
      <c r="U222" t="s">
        <v>45</v>
      </c>
      <c r="AA222" t="s">
        <v>327</v>
      </c>
      <c r="AD222" t="s">
        <v>94</v>
      </c>
      <c r="AE222" t="s">
        <v>1522</v>
      </c>
    </row>
    <row r="223" spans="1:33" x14ac:dyDescent="0.3">
      <c r="A223">
        <v>455</v>
      </c>
      <c r="B223" t="s">
        <v>1633</v>
      </c>
      <c r="C223" t="str">
        <f>"1100002004705"</f>
        <v>1100002004705</v>
      </c>
      <c r="D223" t="str">
        <f>"932560P00"</f>
        <v>932560P00</v>
      </c>
      <c r="E223" s="1">
        <v>31223</v>
      </c>
      <c r="F223" t="s">
        <v>1634</v>
      </c>
      <c r="G223" t="e">
        <f>INDEX(#REF!,MATCH(P223,#REF!,0),1)</f>
        <v>#REF!</v>
      </c>
      <c r="H223" t="s">
        <v>1635</v>
      </c>
      <c r="J223" t="s">
        <v>1636</v>
      </c>
      <c r="K223" t="s">
        <v>88</v>
      </c>
      <c r="L223" t="s">
        <v>1637</v>
      </c>
      <c r="M223" t="s">
        <v>1638</v>
      </c>
      <c r="N223">
        <v>3691153</v>
      </c>
      <c r="O223" t="s">
        <v>1639</v>
      </c>
      <c r="P223">
        <v>3691153</v>
      </c>
      <c r="Q223" t="s">
        <v>1639</v>
      </c>
      <c r="R223" t="s">
        <v>91</v>
      </c>
      <c r="S223" t="s">
        <v>92</v>
      </c>
      <c r="T223" t="s">
        <v>44</v>
      </c>
      <c r="U223" t="s">
        <v>45</v>
      </c>
      <c r="AD223" t="s">
        <v>94</v>
      </c>
      <c r="AE223" t="s">
        <v>1033</v>
      </c>
      <c r="AG223" t="s">
        <v>48</v>
      </c>
    </row>
    <row r="224" spans="1:33" x14ac:dyDescent="0.3">
      <c r="A224">
        <v>456</v>
      </c>
      <c r="B224" t="s">
        <v>1640</v>
      </c>
      <c r="C224" t="str">
        <f>"1100007155563"</f>
        <v>1100007155563</v>
      </c>
      <c r="D224" t="str">
        <f>"21MJJC300"</f>
        <v>21MJJC300</v>
      </c>
      <c r="E224" s="1">
        <v>31567</v>
      </c>
      <c r="F224" t="s">
        <v>1641</v>
      </c>
      <c r="G224" t="e">
        <f>INDEX(#REF!,MATCH(P224,#REF!,0),1)</f>
        <v>#REF!</v>
      </c>
      <c r="H224" t="s">
        <v>1642</v>
      </c>
      <c r="J224" t="s">
        <v>1643</v>
      </c>
      <c r="K224" t="s">
        <v>191</v>
      </c>
      <c r="L224" t="s">
        <v>1644</v>
      </c>
      <c r="M224" t="s">
        <v>1645</v>
      </c>
      <c r="N224">
        <v>871561</v>
      </c>
      <c r="O224" t="s">
        <v>194</v>
      </c>
      <c r="P224">
        <v>871561</v>
      </c>
      <c r="Q224" t="s">
        <v>194</v>
      </c>
      <c r="R224" t="s">
        <v>196</v>
      </c>
      <c r="S224" t="s">
        <v>197</v>
      </c>
      <c r="T224" t="s">
        <v>44</v>
      </c>
      <c r="U224" t="s">
        <v>81</v>
      </c>
      <c r="AA224" t="s">
        <v>119</v>
      </c>
      <c r="AE224" t="s">
        <v>120</v>
      </c>
      <c r="AG224" t="s">
        <v>48</v>
      </c>
    </row>
    <row r="225" spans="1:33" x14ac:dyDescent="0.3">
      <c r="A225">
        <v>457</v>
      </c>
      <c r="B225" t="s">
        <v>1646</v>
      </c>
      <c r="C225" t="str">
        <f>""</f>
        <v/>
      </c>
      <c r="D225" t="str">
        <f>"640270J00"</f>
        <v>640270J00</v>
      </c>
      <c r="E225" s="1">
        <v>31502</v>
      </c>
      <c r="F225" t="s">
        <v>1647</v>
      </c>
      <c r="G225" t="e">
        <f>INDEX(#REF!,MATCH(P225,#REF!,0),1)</f>
        <v>#REF!</v>
      </c>
      <c r="H225" t="s">
        <v>1648</v>
      </c>
      <c r="J225" t="s">
        <v>1649</v>
      </c>
      <c r="K225" t="s">
        <v>191</v>
      </c>
      <c r="L225" t="s">
        <v>1650</v>
      </c>
      <c r="M225" t="s">
        <v>1651</v>
      </c>
      <c r="N225">
        <v>41174</v>
      </c>
      <c r="O225" t="s">
        <v>1652</v>
      </c>
      <c r="P225">
        <v>41174</v>
      </c>
      <c r="Q225" t="s">
        <v>1652</v>
      </c>
      <c r="R225" t="s">
        <v>1156</v>
      </c>
      <c r="S225" t="s">
        <v>1157</v>
      </c>
      <c r="T225" t="s">
        <v>44</v>
      </c>
      <c r="U225" t="s">
        <v>45</v>
      </c>
      <c r="AA225" t="s">
        <v>119</v>
      </c>
      <c r="AE225" t="s">
        <v>120</v>
      </c>
    </row>
    <row r="226" spans="1:33" x14ac:dyDescent="0.3">
      <c r="A226">
        <v>458</v>
      </c>
      <c r="B226" t="s">
        <v>1653</v>
      </c>
      <c r="C226" t="str">
        <f>""</f>
        <v/>
      </c>
      <c r="D226" t="str">
        <f>"610530F00"</f>
        <v>610530F00</v>
      </c>
      <c r="E226" s="1">
        <v>31260</v>
      </c>
      <c r="F226" t="s">
        <v>1654</v>
      </c>
      <c r="G226" t="e">
        <f>INDEX(#REF!,MATCH(P226,#REF!,0),1)</f>
        <v>#REF!</v>
      </c>
      <c r="H226" t="s">
        <v>1655</v>
      </c>
      <c r="J226" t="s">
        <v>1656</v>
      </c>
      <c r="K226" t="s">
        <v>283</v>
      </c>
      <c r="L226" t="s">
        <v>1657</v>
      </c>
      <c r="M226" t="s">
        <v>1658</v>
      </c>
      <c r="N226">
        <v>6074316</v>
      </c>
      <c r="O226" t="s">
        <v>1659</v>
      </c>
      <c r="P226">
        <v>6074316</v>
      </c>
      <c r="Q226" t="s">
        <v>1659</v>
      </c>
      <c r="R226" t="s">
        <v>1046</v>
      </c>
      <c r="S226" t="s">
        <v>1047</v>
      </c>
      <c r="T226" t="s">
        <v>44</v>
      </c>
      <c r="U226" t="s">
        <v>45</v>
      </c>
      <c r="AA226" t="s">
        <v>119</v>
      </c>
      <c r="AE226" t="s">
        <v>120</v>
      </c>
    </row>
    <row r="227" spans="1:33" x14ac:dyDescent="0.3">
      <c r="A227">
        <v>460</v>
      </c>
      <c r="B227" t="s">
        <v>1660</v>
      </c>
      <c r="C227" t="str">
        <f>"1100002886554"</f>
        <v>1100002886554</v>
      </c>
      <c r="D227" t="str">
        <f>"935220L00"</f>
        <v>935220L00</v>
      </c>
      <c r="E227" s="1">
        <v>31260</v>
      </c>
      <c r="F227" t="s">
        <v>1661</v>
      </c>
      <c r="G227" t="e">
        <f>INDEX(#REF!,MATCH(P227,#REF!,0),1)</f>
        <v>#REF!</v>
      </c>
      <c r="H227" t="s">
        <v>1662</v>
      </c>
      <c r="J227" t="s">
        <v>1663</v>
      </c>
      <c r="K227" t="s">
        <v>88</v>
      </c>
      <c r="L227" t="s">
        <v>1664</v>
      </c>
      <c r="M227" t="s">
        <v>1665</v>
      </c>
      <c r="N227">
        <v>251</v>
      </c>
      <c r="O227" t="s">
        <v>90</v>
      </c>
      <c r="P227">
        <v>251</v>
      </c>
      <c r="Q227" t="s">
        <v>90</v>
      </c>
      <c r="R227" t="s">
        <v>91</v>
      </c>
      <c r="S227" t="s">
        <v>92</v>
      </c>
      <c r="T227" t="s">
        <v>44</v>
      </c>
      <c r="U227" t="s">
        <v>45</v>
      </c>
      <c r="AA227" t="s">
        <v>93</v>
      </c>
      <c r="AC227" t="s">
        <v>90</v>
      </c>
      <c r="AD227" t="s">
        <v>94</v>
      </c>
      <c r="AE227" t="s">
        <v>72</v>
      </c>
      <c r="AG227" t="s">
        <v>48</v>
      </c>
    </row>
    <row r="228" spans="1:33" x14ac:dyDescent="0.3">
      <c r="A228">
        <v>461</v>
      </c>
      <c r="B228" t="s">
        <v>1666</v>
      </c>
      <c r="C228" t="str">
        <f>""</f>
        <v/>
      </c>
      <c r="D228" t="str">
        <f>"430190H00"</f>
        <v>430190H00</v>
      </c>
      <c r="E228" s="1">
        <v>44562</v>
      </c>
      <c r="F228" t="s">
        <v>1667</v>
      </c>
      <c r="G228" t="e">
        <f>INDEX(#REF!,MATCH(P228,#REF!,0),1)</f>
        <v>#REF!</v>
      </c>
      <c r="H228" t="s">
        <v>1668</v>
      </c>
      <c r="J228" t="s">
        <v>1669</v>
      </c>
      <c r="K228" t="s">
        <v>342</v>
      </c>
      <c r="L228" t="s">
        <v>1670</v>
      </c>
      <c r="M228" t="s">
        <v>1671</v>
      </c>
      <c r="N228">
        <v>461</v>
      </c>
      <c r="O228" t="s">
        <v>1667</v>
      </c>
      <c r="P228">
        <v>461</v>
      </c>
      <c r="Q228" t="s">
        <v>1667</v>
      </c>
      <c r="R228" t="s">
        <v>492</v>
      </c>
      <c r="S228" t="s">
        <v>493</v>
      </c>
      <c r="T228" t="s">
        <v>44</v>
      </c>
      <c r="U228" t="s">
        <v>45</v>
      </c>
    </row>
    <row r="229" spans="1:33" x14ac:dyDescent="0.3">
      <c r="A229">
        <v>463</v>
      </c>
      <c r="B229" t="s">
        <v>1672</v>
      </c>
      <c r="C229" t="str">
        <f>"1100003434877"</f>
        <v>1100003434877</v>
      </c>
      <c r="D229" t="str">
        <f>"185CJ4DF3"</f>
        <v>185CJ4DF3</v>
      </c>
      <c r="E229" s="1">
        <v>31239</v>
      </c>
      <c r="F229" t="s">
        <v>1673</v>
      </c>
      <c r="G229" t="e">
        <f>INDEX(#REF!,MATCH(P229,#REF!,0),1)</f>
        <v>#REF!</v>
      </c>
      <c r="H229" t="s">
        <v>1674</v>
      </c>
      <c r="J229" t="s">
        <v>1675</v>
      </c>
      <c r="K229" t="s">
        <v>283</v>
      </c>
      <c r="L229" t="s">
        <v>1676</v>
      </c>
      <c r="M229" t="s">
        <v>1677</v>
      </c>
      <c r="N229">
        <v>871561</v>
      </c>
      <c r="O229" t="s">
        <v>194</v>
      </c>
      <c r="P229">
        <v>6179347</v>
      </c>
      <c r="Q229" t="s">
        <v>1678</v>
      </c>
      <c r="R229" t="s">
        <v>196</v>
      </c>
      <c r="S229" t="s">
        <v>197</v>
      </c>
      <c r="T229" t="s">
        <v>44</v>
      </c>
      <c r="U229" t="s">
        <v>45</v>
      </c>
      <c r="AA229" t="s">
        <v>119</v>
      </c>
      <c r="AE229" t="s">
        <v>120</v>
      </c>
      <c r="AG229" t="s">
        <v>48</v>
      </c>
    </row>
    <row r="230" spans="1:33" x14ac:dyDescent="0.3">
      <c r="A230">
        <v>464</v>
      </c>
      <c r="B230" t="s">
        <v>1679</v>
      </c>
      <c r="C230" t="str">
        <f>"1100005800656"</f>
        <v>1100005800656</v>
      </c>
      <c r="D230" t="str">
        <f>"640350I00"</f>
        <v>640350I00</v>
      </c>
      <c r="E230" s="1">
        <v>31260</v>
      </c>
      <c r="F230" t="s">
        <v>1680</v>
      </c>
      <c r="G230" t="e">
        <f>INDEX(#REF!,MATCH(P230,#REF!,0),1)</f>
        <v>#REF!</v>
      </c>
      <c r="H230" t="s">
        <v>1681</v>
      </c>
      <c r="J230" t="s">
        <v>1682</v>
      </c>
      <c r="K230" t="s">
        <v>191</v>
      </c>
      <c r="L230" t="s">
        <v>1683</v>
      </c>
      <c r="M230" t="s">
        <v>1684</v>
      </c>
      <c r="N230">
        <v>871561</v>
      </c>
      <c r="O230" t="s">
        <v>194</v>
      </c>
      <c r="P230">
        <v>6179343</v>
      </c>
      <c r="Q230" t="s">
        <v>1137</v>
      </c>
      <c r="R230" t="s">
        <v>196</v>
      </c>
      <c r="S230" t="s">
        <v>197</v>
      </c>
      <c r="T230" t="s">
        <v>44</v>
      </c>
      <c r="U230" t="s">
        <v>45</v>
      </c>
      <c r="AA230" t="s">
        <v>119</v>
      </c>
      <c r="AE230" t="s">
        <v>120</v>
      </c>
      <c r="AG230" t="s">
        <v>48</v>
      </c>
    </row>
    <row r="231" spans="1:33" x14ac:dyDescent="0.3">
      <c r="A231">
        <v>465</v>
      </c>
      <c r="B231" t="s">
        <v>1685</v>
      </c>
      <c r="C231" t="str">
        <f>""</f>
        <v/>
      </c>
      <c r="D231" t="str">
        <f>"610410C00"</f>
        <v>610410C00</v>
      </c>
      <c r="E231" s="1">
        <v>31260</v>
      </c>
      <c r="F231" t="s">
        <v>1686</v>
      </c>
      <c r="G231" t="e">
        <f>INDEX(#REF!,MATCH(P231,#REF!,0),1)</f>
        <v>#REF!</v>
      </c>
      <c r="H231" t="s">
        <v>1687</v>
      </c>
      <c r="J231" t="s">
        <v>1688</v>
      </c>
      <c r="K231" t="s">
        <v>283</v>
      </c>
      <c r="L231" t="s">
        <v>1689</v>
      </c>
      <c r="M231" t="s">
        <v>1690</v>
      </c>
      <c r="N231">
        <v>722704</v>
      </c>
      <c r="O231" t="s">
        <v>648</v>
      </c>
      <c r="P231">
        <v>722704</v>
      </c>
      <c r="Q231" t="s">
        <v>648</v>
      </c>
      <c r="R231" t="s">
        <v>649</v>
      </c>
      <c r="S231" t="s">
        <v>650</v>
      </c>
      <c r="T231" t="s">
        <v>44</v>
      </c>
      <c r="U231" t="s">
        <v>45</v>
      </c>
      <c r="AA231" t="s">
        <v>119</v>
      </c>
      <c r="AE231" t="s">
        <v>120</v>
      </c>
    </row>
    <row r="232" spans="1:33" x14ac:dyDescent="0.3">
      <c r="A232">
        <v>466</v>
      </c>
      <c r="B232" t="s">
        <v>1691</v>
      </c>
      <c r="C232" t="str">
        <f>"1100002623760"</f>
        <v>1100002623760</v>
      </c>
      <c r="D232" t="str">
        <f>"611460I00"</f>
        <v>611460I00</v>
      </c>
      <c r="E232" s="1">
        <v>31260</v>
      </c>
      <c r="F232" t="s">
        <v>1692</v>
      </c>
      <c r="G232" t="e">
        <f>INDEX(#REF!,MATCH(P232,#REF!,0),1)</f>
        <v>#REF!</v>
      </c>
      <c r="H232" t="s">
        <v>1693</v>
      </c>
      <c r="J232" t="s">
        <v>1694</v>
      </c>
      <c r="K232" t="s">
        <v>283</v>
      </c>
      <c r="L232" t="s">
        <v>1695</v>
      </c>
      <c r="M232" t="s">
        <v>1696</v>
      </c>
      <c r="N232">
        <v>3460</v>
      </c>
      <c r="O232" t="s">
        <v>1155</v>
      </c>
      <c r="P232">
        <v>3460</v>
      </c>
      <c r="Q232" t="s">
        <v>1155</v>
      </c>
      <c r="R232" t="s">
        <v>1156</v>
      </c>
      <c r="S232" t="s">
        <v>1157</v>
      </c>
      <c r="T232" t="s">
        <v>44</v>
      </c>
      <c r="U232" t="s">
        <v>45</v>
      </c>
      <c r="AA232" t="s">
        <v>119</v>
      </c>
      <c r="AE232" t="s">
        <v>120</v>
      </c>
    </row>
    <row r="233" spans="1:33" x14ac:dyDescent="0.3">
      <c r="A233">
        <v>467</v>
      </c>
      <c r="B233" t="s">
        <v>1697</v>
      </c>
      <c r="C233" t="str">
        <f>""</f>
        <v/>
      </c>
      <c r="D233" t="str">
        <f>"420990O00"</f>
        <v>420990O00</v>
      </c>
      <c r="E233" s="1">
        <v>31274</v>
      </c>
      <c r="F233" t="s">
        <v>1698</v>
      </c>
      <c r="G233" t="e">
        <f>INDEX(#REF!,MATCH(P233,#REF!,0),1)</f>
        <v>#REF!</v>
      </c>
      <c r="H233" t="s">
        <v>1699</v>
      </c>
      <c r="J233" t="s">
        <v>1700</v>
      </c>
      <c r="K233" t="s">
        <v>307</v>
      </c>
      <c r="L233" t="s">
        <v>1701</v>
      </c>
      <c r="M233" t="s">
        <v>1702</v>
      </c>
      <c r="N233">
        <v>467</v>
      </c>
      <c r="O233" t="s">
        <v>1698</v>
      </c>
      <c r="P233">
        <v>467</v>
      </c>
      <c r="Q233" t="s">
        <v>1698</v>
      </c>
      <c r="R233" t="s">
        <v>465</v>
      </c>
      <c r="S233" t="s">
        <v>466</v>
      </c>
      <c r="T233" t="s">
        <v>44</v>
      </c>
      <c r="U233" t="s">
        <v>45</v>
      </c>
      <c r="AA233" t="s">
        <v>337</v>
      </c>
      <c r="AD233" t="s">
        <v>94</v>
      </c>
      <c r="AE233" t="s">
        <v>404</v>
      </c>
    </row>
    <row r="234" spans="1:33" x14ac:dyDescent="0.3">
      <c r="A234">
        <v>468</v>
      </c>
      <c r="B234" t="s">
        <v>1703</v>
      </c>
      <c r="C234" t="str">
        <f>"1100003818585"</f>
        <v>1100003818585</v>
      </c>
      <c r="D234" t="str">
        <f>"420020800"</f>
        <v>420020800</v>
      </c>
      <c r="E234" s="1">
        <v>31274</v>
      </c>
      <c r="F234" t="s">
        <v>1704</v>
      </c>
      <c r="G234" t="e">
        <f>INDEX(#REF!,MATCH(P234,#REF!,0),1)</f>
        <v>#REF!</v>
      </c>
      <c r="H234" t="s">
        <v>1705</v>
      </c>
      <c r="J234" t="s">
        <v>1706</v>
      </c>
      <c r="K234" t="s">
        <v>307</v>
      </c>
      <c r="L234" t="s">
        <v>1707</v>
      </c>
      <c r="M234" t="s">
        <v>1708</v>
      </c>
      <c r="N234">
        <v>67</v>
      </c>
      <c r="O234" t="s">
        <v>304</v>
      </c>
      <c r="P234">
        <v>67</v>
      </c>
      <c r="Q234" t="s">
        <v>304</v>
      </c>
      <c r="R234" t="s">
        <v>310</v>
      </c>
      <c r="S234" t="s">
        <v>311</v>
      </c>
      <c r="T234" t="s">
        <v>44</v>
      </c>
      <c r="U234" t="s">
        <v>45</v>
      </c>
      <c r="AE234" t="s">
        <v>269</v>
      </c>
    </row>
    <row r="235" spans="1:33" x14ac:dyDescent="0.3">
      <c r="A235">
        <v>470</v>
      </c>
      <c r="B235" t="s">
        <v>1709</v>
      </c>
      <c r="C235" t="str">
        <f>"1100005150089"</f>
        <v>1100005150089</v>
      </c>
      <c r="D235" t="str">
        <f>"420330C00"</f>
        <v>420330C00</v>
      </c>
      <c r="E235" s="1">
        <v>34639</v>
      </c>
      <c r="F235" t="s">
        <v>1710</v>
      </c>
      <c r="G235" t="e">
        <f>INDEX(#REF!,MATCH(P235,#REF!,0),1)</f>
        <v>#REF!</v>
      </c>
      <c r="H235" t="s">
        <v>1711</v>
      </c>
      <c r="J235" t="s">
        <v>1712</v>
      </c>
      <c r="K235" t="s">
        <v>307</v>
      </c>
      <c r="L235" t="s">
        <v>1713</v>
      </c>
      <c r="M235" t="s">
        <v>1714</v>
      </c>
      <c r="N235">
        <v>470</v>
      </c>
      <c r="O235" t="s">
        <v>1710</v>
      </c>
      <c r="P235">
        <v>470</v>
      </c>
      <c r="Q235" t="s">
        <v>1710</v>
      </c>
      <c r="R235" t="s">
        <v>492</v>
      </c>
      <c r="S235" t="s">
        <v>493</v>
      </c>
      <c r="T235" t="s">
        <v>44</v>
      </c>
      <c r="U235" t="s">
        <v>45</v>
      </c>
    </row>
    <row r="236" spans="1:33" x14ac:dyDescent="0.3">
      <c r="A236">
        <v>473</v>
      </c>
      <c r="B236" t="s">
        <v>1715</v>
      </c>
      <c r="C236" t="str">
        <f>"1100002044930"</f>
        <v>1100002044930</v>
      </c>
      <c r="D236" t="str">
        <f>"420220A00"</f>
        <v>420220A00</v>
      </c>
      <c r="E236" s="1">
        <v>31274</v>
      </c>
      <c r="F236" t="s">
        <v>1716</v>
      </c>
      <c r="G236" t="e">
        <f>INDEX(#REF!,MATCH(P236,#REF!,0),1)</f>
        <v>#REF!</v>
      </c>
      <c r="H236" t="s">
        <v>1717</v>
      </c>
      <c r="J236" t="s">
        <v>446</v>
      </c>
      <c r="K236" t="s">
        <v>307</v>
      </c>
      <c r="L236" t="s">
        <v>1718</v>
      </c>
      <c r="M236" t="s">
        <v>1719</v>
      </c>
      <c r="N236">
        <v>473</v>
      </c>
      <c r="O236" t="s">
        <v>1716</v>
      </c>
      <c r="P236">
        <v>473</v>
      </c>
      <c r="Q236" t="s">
        <v>1716</v>
      </c>
      <c r="R236" t="s">
        <v>310</v>
      </c>
      <c r="S236" t="s">
        <v>311</v>
      </c>
      <c r="T236" t="s">
        <v>44</v>
      </c>
      <c r="U236" t="s">
        <v>45</v>
      </c>
      <c r="AA236" t="s">
        <v>337</v>
      </c>
      <c r="AD236" t="s">
        <v>94</v>
      </c>
      <c r="AE236" t="s">
        <v>404</v>
      </c>
    </row>
    <row r="237" spans="1:33" x14ac:dyDescent="0.3">
      <c r="A237">
        <v>474</v>
      </c>
      <c r="B237" t="s">
        <v>1720</v>
      </c>
      <c r="C237" t="str">
        <f>""</f>
        <v/>
      </c>
      <c r="D237" t="str">
        <f>"420100700"</f>
        <v>420100700</v>
      </c>
      <c r="E237" s="1">
        <v>31274</v>
      </c>
      <c r="F237" t="s">
        <v>1721</v>
      </c>
      <c r="G237" t="e">
        <f>INDEX(#REF!,MATCH(P237,#REF!,0),1)</f>
        <v>#REF!</v>
      </c>
      <c r="H237" t="s">
        <v>1722</v>
      </c>
      <c r="J237" t="s">
        <v>1723</v>
      </c>
      <c r="K237" t="s">
        <v>307</v>
      </c>
      <c r="L237" t="s">
        <v>1724</v>
      </c>
      <c r="M237" t="s">
        <v>1725</v>
      </c>
      <c r="N237">
        <v>36874</v>
      </c>
      <c r="O237" t="s">
        <v>710</v>
      </c>
      <c r="P237">
        <v>36874</v>
      </c>
      <c r="Q237" t="s">
        <v>710</v>
      </c>
      <c r="R237" t="s">
        <v>711</v>
      </c>
      <c r="S237" t="s">
        <v>712</v>
      </c>
      <c r="T237" t="s">
        <v>44</v>
      </c>
      <c r="U237" t="s">
        <v>45</v>
      </c>
      <c r="AD237" t="s">
        <v>94</v>
      </c>
      <c r="AE237" t="s">
        <v>60</v>
      </c>
      <c r="AG237" t="s">
        <v>48</v>
      </c>
    </row>
    <row r="238" spans="1:33" x14ac:dyDescent="0.3">
      <c r="A238">
        <v>476</v>
      </c>
      <c r="B238" t="s">
        <v>1726</v>
      </c>
      <c r="C238" t="str">
        <f>""</f>
        <v/>
      </c>
      <c r="D238" t="str">
        <f>"840020E00"</f>
        <v>840020E00</v>
      </c>
      <c r="E238" s="1">
        <v>31274</v>
      </c>
      <c r="F238" t="s">
        <v>1727</v>
      </c>
      <c r="G238" t="e">
        <f>INDEX(#REF!,MATCH(P238,#REF!,0),1)</f>
        <v>#REF!</v>
      </c>
      <c r="H238" t="s">
        <v>1728</v>
      </c>
      <c r="J238" t="s">
        <v>1729</v>
      </c>
      <c r="K238" t="s">
        <v>225</v>
      </c>
      <c r="L238" t="s">
        <v>1730</v>
      </c>
      <c r="M238" t="s">
        <v>1731</v>
      </c>
      <c r="N238">
        <v>476</v>
      </c>
      <c r="O238" t="s">
        <v>1727</v>
      </c>
      <c r="P238">
        <v>476</v>
      </c>
      <c r="Q238" t="s">
        <v>1727</v>
      </c>
      <c r="R238" t="s">
        <v>325</v>
      </c>
      <c r="S238" t="s">
        <v>326</v>
      </c>
      <c r="T238" t="s">
        <v>44</v>
      </c>
      <c r="U238" t="s">
        <v>45</v>
      </c>
      <c r="AA238" t="s">
        <v>327</v>
      </c>
      <c r="AE238" t="s">
        <v>144</v>
      </c>
    </row>
    <row r="239" spans="1:33" x14ac:dyDescent="0.3">
      <c r="A239">
        <v>477</v>
      </c>
      <c r="B239" t="s">
        <v>1732</v>
      </c>
      <c r="C239" t="str">
        <f>""</f>
        <v/>
      </c>
      <c r="D239" t="str">
        <f>"420060C00"</f>
        <v>420060C00</v>
      </c>
      <c r="E239" s="1">
        <v>31229</v>
      </c>
      <c r="F239" t="s">
        <v>1733</v>
      </c>
      <c r="G239" t="e">
        <f>INDEX(#REF!,MATCH(P239,#REF!,0),1)</f>
        <v>#REF!</v>
      </c>
      <c r="H239" t="s">
        <v>1734</v>
      </c>
      <c r="J239" t="s">
        <v>1075</v>
      </c>
      <c r="K239" t="s">
        <v>307</v>
      </c>
      <c r="L239" t="s">
        <v>1735</v>
      </c>
      <c r="M239" t="s">
        <v>1736</v>
      </c>
      <c r="N239">
        <v>477</v>
      </c>
      <c r="O239" t="s">
        <v>1733</v>
      </c>
      <c r="P239">
        <v>477</v>
      </c>
      <c r="Q239" t="s">
        <v>1733</v>
      </c>
      <c r="R239" t="s">
        <v>465</v>
      </c>
      <c r="S239" t="s">
        <v>466</v>
      </c>
      <c r="T239" t="s">
        <v>44</v>
      </c>
      <c r="U239" t="s">
        <v>45</v>
      </c>
    </row>
    <row r="240" spans="1:33" x14ac:dyDescent="0.3">
      <c r="A240">
        <v>478</v>
      </c>
      <c r="B240" t="s">
        <v>1737</v>
      </c>
      <c r="C240" t="str">
        <f>""</f>
        <v/>
      </c>
      <c r="D240" t="str">
        <f>"GV6USDG00"</f>
        <v>GV6USDG00</v>
      </c>
      <c r="E240" s="1">
        <v>30239</v>
      </c>
      <c r="F240" t="s">
        <v>1738</v>
      </c>
      <c r="G240" t="e">
        <f>INDEX(#REF!,MATCH(P240,#REF!,0),1)</f>
        <v>#REF!</v>
      </c>
      <c r="H240" t="s">
        <v>1739</v>
      </c>
      <c r="J240" t="s">
        <v>1740</v>
      </c>
      <c r="K240" t="s">
        <v>88</v>
      </c>
      <c r="L240">
        <v>94704</v>
      </c>
      <c r="M240" t="s">
        <v>1741</v>
      </c>
      <c r="N240">
        <v>251</v>
      </c>
      <c r="O240" t="s">
        <v>90</v>
      </c>
      <c r="P240">
        <v>251</v>
      </c>
      <c r="Q240" t="s">
        <v>90</v>
      </c>
      <c r="R240" t="s">
        <v>91</v>
      </c>
      <c r="S240" t="s">
        <v>92</v>
      </c>
      <c r="T240" t="s">
        <v>44</v>
      </c>
      <c r="U240" t="s">
        <v>45</v>
      </c>
      <c r="AA240" t="s">
        <v>93</v>
      </c>
      <c r="AC240" t="s">
        <v>90</v>
      </c>
      <c r="AD240" t="s">
        <v>94</v>
      </c>
      <c r="AE240" t="s">
        <v>72</v>
      </c>
      <c r="AG240" t="s">
        <v>48</v>
      </c>
    </row>
    <row r="241" spans="1:33" x14ac:dyDescent="0.3">
      <c r="A241">
        <v>479</v>
      </c>
      <c r="B241" t="s">
        <v>1742</v>
      </c>
      <c r="C241" t="str">
        <f>"1100002001766"</f>
        <v>1100002001766</v>
      </c>
      <c r="D241" t="str">
        <f>"611820I00"</f>
        <v>611820I00</v>
      </c>
      <c r="E241" s="1">
        <v>31260</v>
      </c>
      <c r="F241" t="s">
        <v>1743</v>
      </c>
      <c r="G241" t="e">
        <f>INDEX(#REF!,MATCH(P241,#REF!,0),1)</f>
        <v>#REF!</v>
      </c>
      <c r="H241" t="s">
        <v>1744</v>
      </c>
      <c r="J241" t="s">
        <v>1745</v>
      </c>
      <c r="K241" t="s">
        <v>283</v>
      </c>
      <c r="L241">
        <v>56201</v>
      </c>
      <c r="M241" t="s">
        <v>1746</v>
      </c>
      <c r="N241">
        <v>3460</v>
      </c>
      <c r="O241" t="s">
        <v>1155</v>
      </c>
      <c r="P241">
        <v>3460</v>
      </c>
      <c r="Q241" t="s">
        <v>1155</v>
      </c>
      <c r="R241" t="s">
        <v>1156</v>
      </c>
      <c r="S241" t="s">
        <v>1157</v>
      </c>
      <c r="T241" t="s">
        <v>44</v>
      </c>
      <c r="U241" t="s">
        <v>45</v>
      </c>
      <c r="AA241" t="s">
        <v>119</v>
      </c>
      <c r="AE241" t="s">
        <v>120</v>
      </c>
    </row>
    <row r="242" spans="1:33" x14ac:dyDescent="0.3">
      <c r="A242">
        <v>480</v>
      </c>
      <c r="B242" t="s">
        <v>1747</v>
      </c>
      <c r="C242" t="str">
        <f>""</f>
        <v/>
      </c>
      <c r="D242" t="str">
        <f>"231690L00"</f>
        <v>231690L00</v>
      </c>
      <c r="E242" s="1">
        <v>31306</v>
      </c>
      <c r="F242" t="s">
        <v>1748</v>
      </c>
      <c r="G242" t="e">
        <f>INDEX(#REF!,MATCH(P242,#REF!,0),1)</f>
        <v>#REF!</v>
      </c>
      <c r="H242" t="s">
        <v>1749</v>
      </c>
      <c r="J242" t="s">
        <v>786</v>
      </c>
      <c r="K242" t="s">
        <v>65</v>
      </c>
      <c r="L242" t="s">
        <v>1750</v>
      </c>
      <c r="M242" t="s">
        <v>1751</v>
      </c>
      <c r="N242">
        <v>56976</v>
      </c>
      <c r="O242" t="s">
        <v>1752</v>
      </c>
      <c r="P242">
        <v>56976</v>
      </c>
      <c r="Q242" t="s">
        <v>1752</v>
      </c>
      <c r="R242" t="s">
        <v>1753</v>
      </c>
      <c r="S242" t="s">
        <v>1754</v>
      </c>
      <c r="T242" t="s">
        <v>44</v>
      </c>
      <c r="U242" t="s">
        <v>45</v>
      </c>
      <c r="Y242" t="s">
        <v>46</v>
      </c>
      <c r="Z242" s="1">
        <v>44927</v>
      </c>
      <c r="AA242" t="s">
        <v>119</v>
      </c>
      <c r="AE242" t="s">
        <v>564</v>
      </c>
      <c r="AG242" t="s">
        <v>48</v>
      </c>
    </row>
    <row r="243" spans="1:33" x14ac:dyDescent="0.3">
      <c r="A243">
        <v>481</v>
      </c>
      <c r="B243" t="s">
        <v>1755</v>
      </c>
      <c r="C243" t="str">
        <f>""</f>
        <v/>
      </c>
      <c r="D243" t="str">
        <f>"7FYA8Y000"</f>
        <v>7FYA8Y000</v>
      </c>
      <c r="E243" s="1">
        <v>42583</v>
      </c>
      <c r="F243" t="s">
        <v>1756</v>
      </c>
      <c r="G243" t="e">
        <f>INDEX(#REF!,MATCH(P243,#REF!,0),1)</f>
        <v>#REF!</v>
      </c>
      <c r="H243" t="s">
        <v>1757</v>
      </c>
      <c r="J243" t="s">
        <v>786</v>
      </c>
      <c r="K243" t="s">
        <v>65</v>
      </c>
      <c r="L243" t="s">
        <v>1758</v>
      </c>
      <c r="M243" t="s">
        <v>1759</v>
      </c>
      <c r="N243">
        <v>56976</v>
      </c>
      <c r="O243" t="s">
        <v>1752</v>
      </c>
      <c r="P243">
        <v>4323</v>
      </c>
      <c r="Q243" t="s">
        <v>1760</v>
      </c>
      <c r="R243" t="s">
        <v>1753</v>
      </c>
      <c r="S243" t="s">
        <v>1754</v>
      </c>
      <c r="T243" t="s">
        <v>44</v>
      </c>
      <c r="U243" t="s">
        <v>45</v>
      </c>
      <c r="Y243" t="s">
        <v>46</v>
      </c>
      <c r="Z243" s="1">
        <v>42644</v>
      </c>
      <c r="AA243" t="s">
        <v>119</v>
      </c>
      <c r="AE243" t="s">
        <v>564</v>
      </c>
      <c r="AG243" t="s">
        <v>48</v>
      </c>
    </row>
    <row r="244" spans="1:33" x14ac:dyDescent="0.3">
      <c r="A244">
        <v>482</v>
      </c>
      <c r="B244" t="s">
        <v>1761</v>
      </c>
      <c r="C244" t="str">
        <f>""</f>
        <v/>
      </c>
      <c r="D244" t="str">
        <f>"230460F00"</f>
        <v>230460F00</v>
      </c>
      <c r="E244" s="1">
        <v>31306</v>
      </c>
      <c r="F244" t="s">
        <v>1762</v>
      </c>
      <c r="G244" t="e">
        <f>INDEX(#REF!,MATCH(P244,#REF!,0),1)</f>
        <v>#REF!</v>
      </c>
      <c r="H244" t="s">
        <v>1763</v>
      </c>
      <c r="J244" t="s">
        <v>1764</v>
      </c>
      <c r="K244" t="s">
        <v>65</v>
      </c>
      <c r="L244" t="s">
        <v>1765</v>
      </c>
      <c r="M244" t="s">
        <v>1766</v>
      </c>
      <c r="N244">
        <v>2623550</v>
      </c>
      <c r="O244" t="s">
        <v>1767</v>
      </c>
      <c r="P244">
        <v>1202</v>
      </c>
      <c r="Q244" t="s">
        <v>1768</v>
      </c>
      <c r="R244" t="s">
        <v>1549</v>
      </c>
      <c r="S244" t="s">
        <v>1550</v>
      </c>
      <c r="T244" t="s">
        <v>44</v>
      </c>
      <c r="U244" t="s">
        <v>45</v>
      </c>
    </row>
    <row r="245" spans="1:33" x14ac:dyDescent="0.3">
      <c r="A245">
        <v>484</v>
      </c>
      <c r="B245" t="s">
        <v>1769</v>
      </c>
      <c r="C245" t="str">
        <f>"1100005682849"</f>
        <v>1100005682849</v>
      </c>
      <c r="D245" t="str">
        <f>"630420F00"</f>
        <v>630420F00</v>
      </c>
      <c r="E245" s="1">
        <v>34318</v>
      </c>
      <c r="F245" t="s">
        <v>1770</v>
      </c>
      <c r="G245" t="e">
        <f>INDEX(#REF!,MATCH(P245,#REF!,0),1)</f>
        <v>#REF!</v>
      </c>
      <c r="H245" t="s">
        <v>1771</v>
      </c>
      <c r="J245" t="s">
        <v>1772</v>
      </c>
      <c r="K245" t="s">
        <v>177</v>
      </c>
      <c r="L245" t="s">
        <v>1773</v>
      </c>
      <c r="M245" t="s">
        <v>1774</v>
      </c>
      <c r="N245">
        <v>6104582</v>
      </c>
      <c r="O245" t="s">
        <v>180</v>
      </c>
      <c r="P245">
        <v>1351</v>
      </c>
      <c r="Q245" t="s">
        <v>181</v>
      </c>
      <c r="R245" t="s">
        <v>182</v>
      </c>
      <c r="S245" t="s">
        <v>183</v>
      </c>
      <c r="T245" t="s">
        <v>44</v>
      </c>
      <c r="U245" t="s">
        <v>45</v>
      </c>
      <c r="AA245" t="s">
        <v>185</v>
      </c>
      <c r="AE245" t="s">
        <v>186</v>
      </c>
    </row>
    <row r="246" spans="1:33" x14ac:dyDescent="0.3">
      <c r="A246">
        <v>486</v>
      </c>
      <c r="B246" t="s">
        <v>1775</v>
      </c>
      <c r="C246" t="str">
        <f>"1100095299569"</f>
        <v>1100095299569</v>
      </c>
      <c r="D246" t="str">
        <f>"092131G00"</f>
        <v>092131G00</v>
      </c>
      <c r="E246" s="1">
        <v>42620</v>
      </c>
      <c r="F246" t="s">
        <v>218</v>
      </c>
      <c r="G246" t="e">
        <f>INDEX(#REF!,MATCH(P246,#REF!,0),1)</f>
        <v>#REF!</v>
      </c>
      <c r="H246" t="s">
        <v>1776</v>
      </c>
      <c r="J246" t="s">
        <v>1777</v>
      </c>
      <c r="K246" t="s">
        <v>125</v>
      </c>
      <c r="L246">
        <v>36607</v>
      </c>
      <c r="M246" t="s">
        <v>1778</v>
      </c>
      <c r="N246">
        <v>486</v>
      </c>
      <c r="O246" t="s">
        <v>218</v>
      </c>
      <c r="P246">
        <v>486</v>
      </c>
      <c r="Q246" t="s">
        <v>218</v>
      </c>
      <c r="R246" t="s">
        <v>115</v>
      </c>
      <c r="S246" t="s">
        <v>116</v>
      </c>
      <c r="T246" t="s">
        <v>44</v>
      </c>
      <c r="U246" t="s">
        <v>81</v>
      </c>
      <c r="AA246" t="s">
        <v>105</v>
      </c>
      <c r="AB246" t="s">
        <v>219</v>
      </c>
      <c r="AE246" t="s">
        <v>220</v>
      </c>
    </row>
    <row r="247" spans="1:33" x14ac:dyDescent="0.3">
      <c r="A247">
        <v>487</v>
      </c>
      <c r="B247" t="s">
        <v>1779</v>
      </c>
      <c r="C247" t="str">
        <f>"1100003011993"</f>
        <v>1100003011993</v>
      </c>
      <c r="D247" t="str">
        <f>"531120CF1"</f>
        <v>531120CF1</v>
      </c>
      <c r="E247" s="1">
        <v>31488</v>
      </c>
      <c r="F247" t="s">
        <v>1780</v>
      </c>
      <c r="G247" t="e">
        <f>INDEX(#REF!,MATCH(P247,#REF!,0),1)</f>
        <v>#REF!</v>
      </c>
      <c r="H247" t="s">
        <v>1781</v>
      </c>
      <c r="J247" t="s">
        <v>543</v>
      </c>
      <c r="K247" t="s">
        <v>125</v>
      </c>
      <c r="L247" t="s">
        <v>1782</v>
      </c>
      <c r="M247" t="s">
        <v>1783</v>
      </c>
      <c r="N247">
        <v>952385</v>
      </c>
      <c r="O247" t="s">
        <v>1784</v>
      </c>
      <c r="P247">
        <v>81141</v>
      </c>
      <c r="Q247" t="s">
        <v>114</v>
      </c>
      <c r="R247" t="s">
        <v>79</v>
      </c>
      <c r="S247" t="s">
        <v>80</v>
      </c>
      <c r="T247" t="s">
        <v>44</v>
      </c>
      <c r="U247" t="s">
        <v>45</v>
      </c>
      <c r="AA247" t="s">
        <v>105</v>
      </c>
      <c r="AE247" t="s">
        <v>72</v>
      </c>
      <c r="AG247" t="s">
        <v>48</v>
      </c>
    </row>
    <row r="248" spans="1:33" x14ac:dyDescent="0.3">
      <c r="A248">
        <v>488</v>
      </c>
      <c r="B248" t="s">
        <v>1785</v>
      </c>
      <c r="C248" t="str">
        <f>""</f>
        <v/>
      </c>
      <c r="D248" t="str">
        <f>"530890P00"</f>
        <v>530890P00</v>
      </c>
      <c r="E248" s="1">
        <v>31320</v>
      </c>
      <c r="F248" t="s">
        <v>1786</v>
      </c>
      <c r="G248" t="e">
        <f>INDEX(#REF!,MATCH(P248,#REF!,0),1)</f>
        <v>#REF!</v>
      </c>
      <c r="H248" t="s">
        <v>1787</v>
      </c>
      <c r="J248" t="s">
        <v>1788</v>
      </c>
      <c r="K248" t="s">
        <v>125</v>
      </c>
      <c r="L248" t="s">
        <v>1789</v>
      </c>
      <c r="M248" t="s">
        <v>1790</v>
      </c>
      <c r="N248">
        <v>1667</v>
      </c>
      <c r="O248" t="s">
        <v>1791</v>
      </c>
      <c r="P248">
        <v>1667</v>
      </c>
      <c r="Q248" t="s">
        <v>1791</v>
      </c>
      <c r="R248" t="s">
        <v>102</v>
      </c>
      <c r="S248" t="s">
        <v>103</v>
      </c>
      <c r="T248" t="s">
        <v>44</v>
      </c>
      <c r="U248" t="s">
        <v>45</v>
      </c>
      <c r="AA248" t="s">
        <v>105</v>
      </c>
      <c r="AE248" t="s">
        <v>106</v>
      </c>
    </row>
    <row r="249" spans="1:33" x14ac:dyDescent="0.3">
      <c r="A249">
        <v>489</v>
      </c>
      <c r="B249" t="s">
        <v>1792</v>
      </c>
      <c r="C249" t="str">
        <f>"1100002048686"</f>
        <v>1100002048686</v>
      </c>
      <c r="D249" t="str">
        <f>"104SWSL00"</f>
        <v>104SWSL00</v>
      </c>
      <c r="E249" s="1">
        <v>31414</v>
      </c>
      <c r="F249" t="s">
        <v>1793</v>
      </c>
      <c r="G249" t="e">
        <f>INDEX(#REF!,MATCH(P249,#REF!,0),1)</f>
        <v>#REF!</v>
      </c>
      <c r="H249" t="s">
        <v>1794</v>
      </c>
      <c r="J249" t="s">
        <v>1795</v>
      </c>
      <c r="K249" t="s">
        <v>99</v>
      </c>
      <c r="L249" t="s">
        <v>1796</v>
      </c>
      <c r="M249" t="s">
        <v>1797</v>
      </c>
      <c r="N249">
        <v>43807</v>
      </c>
      <c r="O249" t="s">
        <v>1798</v>
      </c>
      <c r="P249">
        <v>43807</v>
      </c>
      <c r="Q249" t="s">
        <v>1798</v>
      </c>
      <c r="R249" t="s">
        <v>1799</v>
      </c>
      <c r="S249" t="s">
        <v>1800</v>
      </c>
      <c r="T249" t="s">
        <v>44</v>
      </c>
      <c r="U249" t="s">
        <v>45</v>
      </c>
      <c r="AA249" t="s">
        <v>105</v>
      </c>
      <c r="AE249" t="s">
        <v>106</v>
      </c>
    </row>
    <row r="250" spans="1:33" x14ac:dyDescent="0.3">
      <c r="A250">
        <v>490</v>
      </c>
      <c r="B250" t="s">
        <v>1801</v>
      </c>
      <c r="C250" t="str">
        <f>""</f>
        <v/>
      </c>
      <c r="D250" t="str">
        <f>"390180L00"</f>
        <v>390180L00</v>
      </c>
      <c r="E250" s="1">
        <v>45839</v>
      </c>
      <c r="F250" t="s">
        <v>1802</v>
      </c>
      <c r="G250" t="e">
        <f>INDEX(#REF!,MATCH(P250,#REF!,0),1)</f>
        <v>#REF!</v>
      </c>
      <c r="H250" t="s">
        <v>1803</v>
      </c>
      <c r="J250" t="s">
        <v>1804</v>
      </c>
      <c r="K250" t="s">
        <v>167</v>
      </c>
      <c r="L250" t="s">
        <v>1805</v>
      </c>
      <c r="M250" t="s">
        <v>1806</v>
      </c>
      <c r="N250">
        <v>821245</v>
      </c>
      <c r="O250" t="s">
        <v>1807</v>
      </c>
      <c r="P250">
        <v>821245</v>
      </c>
      <c r="Q250" t="s">
        <v>1807</v>
      </c>
      <c r="R250" t="s">
        <v>266</v>
      </c>
      <c r="S250" t="s">
        <v>267</v>
      </c>
      <c r="T250" t="s">
        <v>44</v>
      </c>
      <c r="U250" t="s">
        <v>45</v>
      </c>
      <c r="AA250" t="s">
        <v>105</v>
      </c>
      <c r="AE250" t="s">
        <v>106</v>
      </c>
      <c r="AG250" t="s">
        <v>48</v>
      </c>
    </row>
    <row r="251" spans="1:33" x14ac:dyDescent="0.3">
      <c r="A251">
        <v>491</v>
      </c>
      <c r="B251" t="s">
        <v>1808</v>
      </c>
      <c r="C251" t="str">
        <f>""</f>
        <v/>
      </c>
      <c r="D251" t="str">
        <f>"392760R00"</f>
        <v>392760R00</v>
      </c>
      <c r="E251" s="1">
        <v>31320</v>
      </c>
      <c r="F251" t="s">
        <v>1809</v>
      </c>
      <c r="G251" t="e">
        <f>INDEX(#REF!,MATCH(P251,#REF!,0),1)</f>
        <v>#REF!</v>
      </c>
      <c r="H251" t="s">
        <v>1810</v>
      </c>
      <c r="J251" t="s">
        <v>1811</v>
      </c>
      <c r="K251" t="s">
        <v>167</v>
      </c>
      <c r="L251" t="s">
        <v>1812</v>
      </c>
      <c r="M251" t="s">
        <v>1813</v>
      </c>
      <c r="N251">
        <v>770471</v>
      </c>
      <c r="O251" t="s">
        <v>40</v>
      </c>
      <c r="P251">
        <v>1146</v>
      </c>
      <c r="Q251" t="s">
        <v>1814</v>
      </c>
      <c r="R251" t="s">
        <v>42</v>
      </c>
      <c r="S251" t="s">
        <v>43</v>
      </c>
      <c r="T251" t="s">
        <v>44</v>
      </c>
      <c r="U251" t="s">
        <v>45</v>
      </c>
      <c r="Y251" t="s">
        <v>46</v>
      </c>
      <c r="Z251" s="1">
        <v>43466</v>
      </c>
      <c r="AE251" t="s">
        <v>47</v>
      </c>
      <c r="AG251" t="s">
        <v>48</v>
      </c>
    </row>
    <row r="252" spans="1:33" x14ac:dyDescent="0.3">
      <c r="A252">
        <v>493</v>
      </c>
      <c r="B252" t="s">
        <v>1815</v>
      </c>
      <c r="C252" t="str">
        <f>""</f>
        <v/>
      </c>
      <c r="D252" t="str">
        <f>"220110600"</f>
        <v>220110600</v>
      </c>
      <c r="E252" s="1">
        <v>32057</v>
      </c>
      <c r="F252" t="s">
        <v>1816</v>
      </c>
      <c r="G252" t="e">
        <f>INDEX(#REF!,MATCH(P252,#REF!,0),1)</f>
        <v>#REF!</v>
      </c>
      <c r="H252" t="s">
        <v>1817</v>
      </c>
      <c r="J252" t="s">
        <v>1818</v>
      </c>
      <c r="K252" t="s">
        <v>251</v>
      </c>
      <c r="L252" t="str">
        <f>"08302"</f>
        <v>08302</v>
      </c>
      <c r="M252" t="s">
        <v>1819</v>
      </c>
      <c r="N252">
        <v>1247</v>
      </c>
      <c r="O252" t="s">
        <v>1820</v>
      </c>
      <c r="P252">
        <v>1247</v>
      </c>
      <c r="Q252" t="s">
        <v>1820</v>
      </c>
      <c r="R252" t="s">
        <v>1821</v>
      </c>
      <c r="S252" t="s">
        <v>1822</v>
      </c>
      <c r="T252" t="s">
        <v>44</v>
      </c>
      <c r="U252" t="s">
        <v>1823</v>
      </c>
      <c r="V252" t="s">
        <v>1824</v>
      </c>
    </row>
    <row r="253" spans="1:33" x14ac:dyDescent="0.3">
      <c r="A253">
        <v>494</v>
      </c>
      <c r="B253" t="s">
        <v>1825</v>
      </c>
      <c r="C253" t="str">
        <f>"1100002187422"</f>
        <v>1100002187422</v>
      </c>
      <c r="D253" t="str">
        <f>"221220900"</f>
        <v>221220900</v>
      </c>
      <c r="E253" s="1">
        <v>42583</v>
      </c>
      <c r="F253" t="s">
        <v>1826</v>
      </c>
      <c r="G253" t="e">
        <f>INDEX(#REF!,MATCH(P253,#REF!,0),1)</f>
        <v>#REF!</v>
      </c>
      <c r="H253" t="s">
        <v>1827</v>
      </c>
      <c r="J253" t="s">
        <v>1828</v>
      </c>
      <c r="K253" t="s">
        <v>251</v>
      </c>
      <c r="L253" t="str">
        <f>"08755"</f>
        <v>08755</v>
      </c>
      <c r="M253" t="s">
        <v>1829</v>
      </c>
      <c r="N253">
        <v>3209841</v>
      </c>
      <c r="O253" t="s">
        <v>410</v>
      </c>
      <c r="P253">
        <v>3209841</v>
      </c>
      <c r="Q253" t="s">
        <v>410</v>
      </c>
      <c r="R253" t="s">
        <v>411</v>
      </c>
      <c r="S253" t="s">
        <v>412</v>
      </c>
      <c r="T253" t="s">
        <v>44</v>
      </c>
      <c r="U253" t="s">
        <v>45</v>
      </c>
      <c r="Y253" t="s">
        <v>46</v>
      </c>
      <c r="Z253" s="1">
        <v>45170</v>
      </c>
      <c r="AE253" t="s">
        <v>47</v>
      </c>
      <c r="AG253" t="s">
        <v>48</v>
      </c>
    </row>
    <row r="254" spans="1:33" x14ac:dyDescent="0.3">
      <c r="A254">
        <v>495</v>
      </c>
      <c r="B254" t="s">
        <v>1830</v>
      </c>
      <c r="C254" t="str">
        <f>""</f>
        <v/>
      </c>
      <c r="D254" t="str">
        <f>"380910L00"</f>
        <v>380910L00</v>
      </c>
      <c r="E254" s="1">
        <v>42538</v>
      </c>
      <c r="F254" t="s">
        <v>1831</v>
      </c>
      <c r="G254" t="e">
        <f>INDEX(#REF!,MATCH(P254,#REF!,0),1)</f>
        <v>#REF!</v>
      </c>
      <c r="H254" t="s">
        <v>1832</v>
      </c>
      <c r="J254" t="s">
        <v>341</v>
      </c>
      <c r="K254" t="s">
        <v>99</v>
      </c>
      <c r="L254" t="s">
        <v>1833</v>
      </c>
      <c r="M254" t="s">
        <v>1834</v>
      </c>
      <c r="N254">
        <v>41456</v>
      </c>
      <c r="O254" t="s">
        <v>1835</v>
      </c>
      <c r="P254">
        <v>41456</v>
      </c>
      <c r="Q254" t="s">
        <v>1835</v>
      </c>
      <c r="R254" t="s">
        <v>1799</v>
      </c>
      <c r="S254" t="s">
        <v>1800</v>
      </c>
      <c r="T254" t="s">
        <v>44</v>
      </c>
      <c r="U254" t="s">
        <v>45</v>
      </c>
      <c r="AA254" t="s">
        <v>219</v>
      </c>
      <c r="AG254" t="s">
        <v>48</v>
      </c>
    </row>
    <row r="255" spans="1:33" x14ac:dyDescent="0.3">
      <c r="A255">
        <v>497</v>
      </c>
      <c r="B255" t="s">
        <v>1836</v>
      </c>
      <c r="C255" t="str">
        <f>""</f>
        <v/>
      </c>
      <c r="D255" t="str">
        <f>"920310F00"</f>
        <v>920310F00</v>
      </c>
      <c r="E255" s="1">
        <v>31335</v>
      </c>
      <c r="F255" t="s">
        <v>1837</v>
      </c>
      <c r="G255" t="e">
        <f>INDEX(#REF!,MATCH(P255,#REF!,0),1)</f>
        <v>#REF!</v>
      </c>
      <c r="H255" t="s">
        <v>1838</v>
      </c>
      <c r="J255" t="s">
        <v>1839</v>
      </c>
      <c r="K255" t="s">
        <v>1840</v>
      </c>
      <c r="L255" t="s">
        <v>1841</v>
      </c>
      <c r="M255" t="s">
        <v>1842</v>
      </c>
      <c r="N255">
        <v>34736</v>
      </c>
      <c r="O255" t="s">
        <v>1843</v>
      </c>
      <c r="P255">
        <v>34736</v>
      </c>
      <c r="Q255" t="s">
        <v>1843</v>
      </c>
      <c r="R255" t="s">
        <v>1844</v>
      </c>
      <c r="S255" t="s">
        <v>1845</v>
      </c>
      <c r="T255" t="s">
        <v>44</v>
      </c>
      <c r="U255" t="s">
        <v>45</v>
      </c>
      <c r="AD255" t="s">
        <v>94</v>
      </c>
      <c r="AE255" t="s">
        <v>539</v>
      </c>
      <c r="AG255" t="s">
        <v>48</v>
      </c>
    </row>
    <row r="256" spans="1:33" x14ac:dyDescent="0.3">
      <c r="A256">
        <v>500</v>
      </c>
      <c r="B256" t="s">
        <v>1846</v>
      </c>
      <c r="C256" t="str">
        <f>""</f>
        <v/>
      </c>
      <c r="D256" t="str">
        <f>"DFPE8EH00"</f>
        <v>DFPE8EH00</v>
      </c>
      <c r="E256" s="1">
        <v>42583</v>
      </c>
      <c r="F256" t="s">
        <v>1847</v>
      </c>
      <c r="G256" t="e">
        <f>INDEX(#REF!,MATCH(P256,#REF!,0),1)</f>
        <v>#REF!</v>
      </c>
      <c r="H256" t="s">
        <v>1848</v>
      </c>
      <c r="J256" t="s">
        <v>786</v>
      </c>
      <c r="K256" t="s">
        <v>65</v>
      </c>
      <c r="L256" t="s">
        <v>1849</v>
      </c>
      <c r="M256" t="s">
        <v>1850</v>
      </c>
      <c r="N256">
        <v>56976</v>
      </c>
      <c r="O256" t="s">
        <v>1752</v>
      </c>
      <c r="P256">
        <v>56976</v>
      </c>
      <c r="Q256" t="s">
        <v>1752</v>
      </c>
      <c r="R256" t="s">
        <v>1753</v>
      </c>
      <c r="S256" t="s">
        <v>1754</v>
      </c>
      <c r="T256" t="s">
        <v>44</v>
      </c>
      <c r="U256" t="s">
        <v>45</v>
      </c>
      <c r="Y256" t="s">
        <v>46</v>
      </c>
      <c r="Z256" s="1">
        <v>42644</v>
      </c>
      <c r="AA256" t="s">
        <v>119</v>
      </c>
      <c r="AE256" t="s">
        <v>564</v>
      </c>
      <c r="AG256" t="s">
        <v>48</v>
      </c>
    </row>
    <row r="257" spans="1:33" x14ac:dyDescent="0.3">
      <c r="A257">
        <v>501</v>
      </c>
      <c r="B257" t="s">
        <v>1851</v>
      </c>
      <c r="C257" t="str">
        <f>"1100005675599"</f>
        <v>1100005675599</v>
      </c>
      <c r="D257" t="str">
        <f>"630650K00"</f>
        <v>630650K00</v>
      </c>
      <c r="E257" s="1">
        <v>31335</v>
      </c>
      <c r="F257" t="s">
        <v>1852</v>
      </c>
      <c r="G257" t="e">
        <f>INDEX(#REF!,MATCH(P257,#REF!,0),1)</f>
        <v>#REF!</v>
      </c>
      <c r="H257" t="s">
        <v>1853</v>
      </c>
      <c r="J257" t="s">
        <v>1854</v>
      </c>
      <c r="K257" t="s">
        <v>177</v>
      </c>
      <c r="L257" t="s">
        <v>1855</v>
      </c>
      <c r="M257" t="s">
        <v>1856</v>
      </c>
      <c r="N257">
        <v>3602</v>
      </c>
      <c r="O257" t="s">
        <v>1857</v>
      </c>
      <c r="P257">
        <v>3602</v>
      </c>
      <c r="Q257" t="s">
        <v>1857</v>
      </c>
      <c r="R257" t="s">
        <v>1309</v>
      </c>
      <c r="S257" t="s">
        <v>1310</v>
      </c>
      <c r="T257" t="s">
        <v>44</v>
      </c>
      <c r="U257" t="s">
        <v>45</v>
      </c>
      <c r="AA257" t="s">
        <v>119</v>
      </c>
      <c r="AE257" t="s">
        <v>348</v>
      </c>
    </row>
    <row r="258" spans="1:33" x14ac:dyDescent="0.3">
      <c r="A258">
        <v>503</v>
      </c>
      <c r="B258" t="s">
        <v>1858</v>
      </c>
      <c r="C258" t="str">
        <f>""</f>
        <v/>
      </c>
      <c r="D258" t="str">
        <f>"390150I00"</f>
        <v>390150I00</v>
      </c>
      <c r="E258" s="1">
        <v>45839</v>
      </c>
      <c r="F258" t="s">
        <v>1859</v>
      </c>
      <c r="G258" t="e">
        <f>INDEX(#REF!,MATCH(P258,#REF!,0),1)</f>
        <v>#REF!</v>
      </c>
      <c r="H258" t="s">
        <v>1860</v>
      </c>
      <c r="J258" t="s">
        <v>1861</v>
      </c>
      <c r="K258" t="s">
        <v>167</v>
      </c>
      <c r="L258" t="s">
        <v>1862</v>
      </c>
      <c r="M258" t="s">
        <v>1863</v>
      </c>
      <c r="N258">
        <v>821245</v>
      </c>
      <c r="O258" t="s">
        <v>1807</v>
      </c>
      <c r="P258">
        <v>821245</v>
      </c>
      <c r="Q258" t="s">
        <v>1807</v>
      </c>
      <c r="R258" t="s">
        <v>266</v>
      </c>
      <c r="S258" t="s">
        <v>267</v>
      </c>
      <c r="T258" t="s">
        <v>44</v>
      </c>
      <c r="U258" t="s">
        <v>45</v>
      </c>
      <c r="AA258" t="s">
        <v>105</v>
      </c>
      <c r="AE258" t="s">
        <v>106</v>
      </c>
      <c r="AG258" t="s">
        <v>48</v>
      </c>
    </row>
    <row r="259" spans="1:33" x14ac:dyDescent="0.3">
      <c r="A259">
        <v>506</v>
      </c>
      <c r="B259" t="s">
        <v>1864</v>
      </c>
      <c r="C259" t="str">
        <f>"1100003374258"</f>
        <v>1100003374258</v>
      </c>
      <c r="D259" t="str">
        <f>"671420K00"</f>
        <v>671420K00</v>
      </c>
      <c r="E259" s="1">
        <v>32097</v>
      </c>
      <c r="F259" t="s">
        <v>1865</v>
      </c>
      <c r="G259" t="e">
        <f>INDEX(#REF!,MATCH(P259,#REF!,0),1)</f>
        <v>#REF!</v>
      </c>
      <c r="H259" t="s">
        <v>1866</v>
      </c>
      <c r="J259" t="s">
        <v>1867</v>
      </c>
      <c r="K259" t="s">
        <v>835</v>
      </c>
      <c r="L259" t="s">
        <v>1868</v>
      </c>
      <c r="M259" t="s">
        <v>1869</v>
      </c>
      <c r="N259">
        <v>2599</v>
      </c>
      <c r="O259" t="s">
        <v>1870</v>
      </c>
      <c r="P259">
        <v>871</v>
      </c>
      <c r="Q259" t="s">
        <v>1871</v>
      </c>
      <c r="R259" t="s">
        <v>649</v>
      </c>
      <c r="S259" t="s">
        <v>650</v>
      </c>
      <c r="T259" t="s">
        <v>44</v>
      </c>
      <c r="U259" t="s">
        <v>45</v>
      </c>
      <c r="AA259" t="s">
        <v>327</v>
      </c>
      <c r="AD259" t="s">
        <v>94</v>
      </c>
      <c r="AE259" t="s">
        <v>1522</v>
      </c>
    </row>
    <row r="260" spans="1:33" x14ac:dyDescent="0.3">
      <c r="A260">
        <v>507</v>
      </c>
      <c r="B260" t="s">
        <v>1872</v>
      </c>
      <c r="C260" t="str">
        <f>""</f>
        <v/>
      </c>
      <c r="D260" t="str">
        <f>"670290O00"</f>
        <v>670290O00</v>
      </c>
      <c r="E260" s="1">
        <v>32097</v>
      </c>
      <c r="F260" t="s">
        <v>1873</v>
      </c>
      <c r="G260" t="e">
        <f>INDEX(#REF!,MATCH(P260,#REF!,0),1)</f>
        <v>#REF!</v>
      </c>
      <c r="H260" t="s">
        <v>1874</v>
      </c>
      <c r="J260" t="s">
        <v>1875</v>
      </c>
      <c r="K260" t="s">
        <v>835</v>
      </c>
      <c r="L260" t="s">
        <v>1876</v>
      </c>
      <c r="M260" t="s">
        <v>1877</v>
      </c>
      <c r="N260">
        <v>2599</v>
      </c>
      <c r="O260" t="s">
        <v>1870</v>
      </c>
      <c r="P260">
        <v>871</v>
      </c>
      <c r="Q260" t="s">
        <v>1871</v>
      </c>
      <c r="R260" t="s">
        <v>649</v>
      </c>
      <c r="S260" t="s">
        <v>650</v>
      </c>
      <c r="T260" t="s">
        <v>44</v>
      </c>
      <c r="U260" t="s">
        <v>45</v>
      </c>
      <c r="AA260" t="s">
        <v>327</v>
      </c>
      <c r="AD260" t="s">
        <v>94</v>
      </c>
      <c r="AE260" t="s">
        <v>1522</v>
      </c>
    </row>
    <row r="261" spans="1:33" x14ac:dyDescent="0.3">
      <c r="A261">
        <v>508</v>
      </c>
      <c r="B261" t="s">
        <v>1878</v>
      </c>
      <c r="C261" t="str">
        <f>""</f>
        <v/>
      </c>
      <c r="D261" t="str">
        <f>"950280O00"</f>
        <v>950280O00</v>
      </c>
      <c r="E261" s="1">
        <v>39849</v>
      </c>
      <c r="F261" t="s">
        <v>1879</v>
      </c>
      <c r="G261" t="e">
        <f>INDEX(#REF!,MATCH(P261,#REF!,0),1)</f>
        <v>#REF!</v>
      </c>
      <c r="H261" t="s">
        <v>1880</v>
      </c>
      <c r="J261" t="s">
        <v>1881</v>
      </c>
      <c r="K261" t="s">
        <v>1454</v>
      </c>
      <c r="L261">
        <v>96786</v>
      </c>
      <c r="M261" t="s">
        <v>1882</v>
      </c>
      <c r="N261">
        <v>717069</v>
      </c>
      <c r="O261" t="s">
        <v>1457</v>
      </c>
      <c r="P261">
        <v>717069</v>
      </c>
      <c r="Q261" t="s">
        <v>1457</v>
      </c>
      <c r="R261" t="s">
        <v>1458</v>
      </c>
      <c r="S261" t="s">
        <v>1459</v>
      </c>
      <c r="T261" t="s">
        <v>44</v>
      </c>
      <c r="U261" t="s">
        <v>45</v>
      </c>
      <c r="AA261" t="s">
        <v>1032</v>
      </c>
      <c r="AD261" t="s">
        <v>94</v>
      </c>
      <c r="AE261" t="s">
        <v>1033</v>
      </c>
      <c r="AG261" t="s">
        <v>48</v>
      </c>
    </row>
    <row r="262" spans="1:33" x14ac:dyDescent="0.3">
      <c r="A262">
        <v>510</v>
      </c>
      <c r="B262" t="s">
        <v>1883</v>
      </c>
      <c r="C262" t="str">
        <f>"1100002892517"</f>
        <v>1100002892517</v>
      </c>
      <c r="D262" t="str">
        <f>"670340K00"</f>
        <v>670340K00</v>
      </c>
      <c r="E262" s="1">
        <v>42601</v>
      </c>
      <c r="F262" t="s">
        <v>1884</v>
      </c>
      <c r="G262" t="e">
        <f>INDEX(#REF!,MATCH(P262,#REF!,0),1)</f>
        <v>#REF!</v>
      </c>
      <c r="H262" t="s">
        <v>1885</v>
      </c>
      <c r="J262" t="s">
        <v>1886</v>
      </c>
      <c r="K262" t="s">
        <v>835</v>
      </c>
      <c r="L262" t="s">
        <v>1887</v>
      </c>
      <c r="M262" t="s">
        <v>1888</v>
      </c>
      <c r="N262">
        <v>2599</v>
      </c>
      <c r="O262" t="s">
        <v>1870</v>
      </c>
      <c r="P262">
        <v>871</v>
      </c>
      <c r="Q262" t="s">
        <v>1871</v>
      </c>
      <c r="R262" t="s">
        <v>649</v>
      </c>
      <c r="S262" t="s">
        <v>650</v>
      </c>
      <c r="T262" t="s">
        <v>44</v>
      </c>
      <c r="U262" t="s">
        <v>45</v>
      </c>
      <c r="AA262" t="s">
        <v>327</v>
      </c>
      <c r="AD262" t="s">
        <v>94</v>
      </c>
      <c r="AE262" t="s">
        <v>1522</v>
      </c>
    </row>
    <row r="263" spans="1:33" x14ac:dyDescent="0.3">
      <c r="A263">
        <v>511</v>
      </c>
      <c r="B263" t="s">
        <v>1889</v>
      </c>
      <c r="C263" t="str">
        <f>""</f>
        <v/>
      </c>
      <c r="D263" t="str">
        <f>"670110F00"</f>
        <v>670110F00</v>
      </c>
      <c r="E263" s="1">
        <v>32097</v>
      </c>
      <c r="F263" t="s">
        <v>1890</v>
      </c>
      <c r="G263" t="e">
        <f>INDEX(#REF!,MATCH(P263,#REF!,0),1)</f>
        <v>#REF!</v>
      </c>
      <c r="H263" t="s">
        <v>1891</v>
      </c>
      <c r="J263" t="s">
        <v>1892</v>
      </c>
      <c r="K263" t="s">
        <v>835</v>
      </c>
      <c r="L263" t="s">
        <v>1893</v>
      </c>
      <c r="M263" t="s">
        <v>1894</v>
      </c>
      <c r="N263">
        <v>2599</v>
      </c>
      <c r="O263" t="s">
        <v>1870</v>
      </c>
      <c r="P263">
        <v>2599</v>
      </c>
      <c r="Q263" t="s">
        <v>1870</v>
      </c>
      <c r="R263" t="s">
        <v>1895</v>
      </c>
      <c r="S263" t="s">
        <v>1896</v>
      </c>
      <c r="T263" t="s">
        <v>44</v>
      </c>
      <c r="U263" t="s">
        <v>45</v>
      </c>
      <c r="AA263" t="s">
        <v>327</v>
      </c>
      <c r="AD263" t="s">
        <v>94</v>
      </c>
      <c r="AE263" t="s">
        <v>1522</v>
      </c>
    </row>
    <row r="264" spans="1:33" x14ac:dyDescent="0.3">
      <c r="A264">
        <v>513</v>
      </c>
      <c r="B264" t="s">
        <v>1897</v>
      </c>
      <c r="C264" t="str">
        <f>"1100003707599"</f>
        <v>1100003707599</v>
      </c>
      <c r="D264" t="str">
        <f>"530470J00"</f>
        <v>530470J00</v>
      </c>
      <c r="E264" s="1">
        <v>31320</v>
      </c>
      <c r="F264" t="s">
        <v>1898</v>
      </c>
      <c r="G264" t="e">
        <f>INDEX(#REF!,MATCH(P264,#REF!,0),1)</f>
        <v>#REF!</v>
      </c>
      <c r="H264" t="s">
        <v>1899</v>
      </c>
      <c r="J264" t="s">
        <v>341</v>
      </c>
      <c r="K264" t="s">
        <v>125</v>
      </c>
      <c r="L264">
        <v>35601</v>
      </c>
      <c r="M264" t="s">
        <v>1900</v>
      </c>
      <c r="N264">
        <v>1667</v>
      </c>
      <c r="O264" t="s">
        <v>1791</v>
      </c>
      <c r="P264">
        <v>1667</v>
      </c>
      <c r="Q264" t="s">
        <v>1791</v>
      </c>
      <c r="R264" t="s">
        <v>102</v>
      </c>
      <c r="S264" t="s">
        <v>103</v>
      </c>
      <c r="T264" t="s">
        <v>44</v>
      </c>
      <c r="U264" t="s">
        <v>45</v>
      </c>
      <c r="AA264" t="s">
        <v>105</v>
      </c>
      <c r="AE264" t="s">
        <v>106</v>
      </c>
    </row>
    <row r="265" spans="1:33" x14ac:dyDescent="0.3">
      <c r="A265">
        <v>514</v>
      </c>
      <c r="B265" t="s">
        <v>1901</v>
      </c>
      <c r="C265" t="str">
        <f>""</f>
        <v/>
      </c>
      <c r="D265" t="str">
        <f>"671310I00"</f>
        <v>671310I00</v>
      </c>
      <c r="E265" s="1">
        <v>32097</v>
      </c>
      <c r="F265" t="s">
        <v>1902</v>
      </c>
      <c r="G265" t="e">
        <f>INDEX(#REF!,MATCH(P265,#REF!,0),1)</f>
        <v>#REF!</v>
      </c>
      <c r="H265" t="s">
        <v>1903</v>
      </c>
      <c r="J265" t="s">
        <v>1904</v>
      </c>
      <c r="K265" t="s">
        <v>835</v>
      </c>
      <c r="L265">
        <v>66534</v>
      </c>
      <c r="M265" t="s">
        <v>1905</v>
      </c>
      <c r="N265">
        <v>2599</v>
      </c>
      <c r="O265" t="s">
        <v>1870</v>
      </c>
      <c r="P265">
        <v>871</v>
      </c>
      <c r="Q265" t="s">
        <v>1871</v>
      </c>
      <c r="R265" t="s">
        <v>649</v>
      </c>
      <c r="S265" t="s">
        <v>650</v>
      </c>
      <c r="T265" t="s">
        <v>44</v>
      </c>
      <c r="U265" t="s">
        <v>45</v>
      </c>
      <c r="AA265" t="s">
        <v>327</v>
      </c>
      <c r="AD265" t="s">
        <v>94</v>
      </c>
      <c r="AE265" t="s">
        <v>1522</v>
      </c>
    </row>
    <row r="266" spans="1:33" x14ac:dyDescent="0.3">
      <c r="A266">
        <v>515</v>
      </c>
      <c r="B266" t="s">
        <v>1906</v>
      </c>
      <c r="C266" t="str">
        <f>""</f>
        <v/>
      </c>
      <c r="D266" t="str">
        <f>"KJDRCDW00"</f>
        <v>KJDRCDW00</v>
      </c>
      <c r="E266" s="1">
        <v>43042</v>
      </c>
      <c r="F266" t="s">
        <v>1907</v>
      </c>
      <c r="G266" t="e">
        <f>INDEX(#REF!,MATCH(P266,#REF!,0),1)</f>
        <v>#REF!</v>
      </c>
      <c r="H266" t="s">
        <v>1908</v>
      </c>
      <c r="J266" t="s">
        <v>1909</v>
      </c>
      <c r="K266" t="s">
        <v>835</v>
      </c>
      <c r="L266">
        <v>67871</v>
      </c>
      <c r="M266" t="s">
        <v>1910</v>
      </c>
      <c r="N266">
        <v>30537</v>
      </c>
      <c r="O266" t="s">
        <v>838</v>
      </c>
      <c r="P266">
        <v>30537</v>
      </c>
      <c r="Q266" t="s">
        <v>838</v>
      </c>
      <c r="R266" t="s">
        <v>228</v>
      </c>
      <c r="S266" t="s">
        <v>229</v>
      </c>
      <c r="T266" t="s">
        <v>44</v>
      </c>
      <c r="U266" t="s">
        <v>45</v>
      </c>
      <c r="AA266" t="s">
        <v>119</v>
      </c>
      <c r="AE266" t="s">
        <v>120</v>
      </c>
    </row>
    <row r="267" spans="1:33" x14ac:dyDescent="0.3">
      <c r="A267">
        <v>516</v>
      </c>
      <c r="B267" t="s">
        <v>1911</v>
      </c>
      <c r="C267" t="str">
        <f>""</f>
        <v/>
      </c>
      <c r="D267" t="str">
        <f>"671400I00"</f>
        <v>671400I00</v>
      </c>
      <c r="E267" s="1">
        <v>32097</v>
      </c>
      <c r="F267" t="s">
        <v>1912</v>
      </c>
      <c r="G267" t="e">
        <f>INDEX(#REF!,MATCH(P267,#REF!,0),1)</f>
        <v>#REF!</v>
      </c>
      <c r="H267" t="s">
        <v>1913</v>
      </c>
      <c r="J267" t="s">
        <v>1914</v>
      </c>
      <c r="K267" t="s">
        <v>835</v>
      </c>
      <c r="L267" t="s">
        <v>1915</v>
      </c>
      <c r="M267" t="s">
        <v>1916</v>
      </c>
      <c r="N267">
        <v>2599</v>
      </c>
      <c r="O267" t="s">
        <v>1870</v>
      </c>
      <c r="P267">
        <v>871</v>
      </c>
      <c r="Q267" t="s">
        <v>1871</v>
      </c>
      <c r="R267" t="s">
        <v>649</v>
      </c>
      <c r="S267" t="s">
        <v>650</v>
      </c>
      <c r="T267" t="s">
        <v>44</v>
      </c>
      <c r="U267" t="s">
        <v>45</v>
      </c>
      <c r="AA267" t="s">
        <v>327</v>
      </c>
      <c r="AD267" t="s">
        <v>94</v>
      </c>
      <c r="AE267" t="s">
        <v>1522</v>
      </c>
    </row>
    <row r="268" spans="1:33" x14ac:dyDescent="0.3">
      <c r="A268">
        <v>517</v>
      </c>
      <c r="B268" t="s">
        <v>1917</v>
      </c>
      <c r="C268" t="str">
        <f>""</f>
        <v/>
      </c>
      <c r="D268" t="str">
        <f>"671560P00"</f>
        <v>671560P00</v>
      </c>
      <c r="E268" s="1">
        <v>32097</v>
      </c>
      <c r="F268" t="s">
        <v>1918</v>
      </c>
      <c r="G268" t="e">
        <f>INDEX(#REF!,MATCH(P268,#REF!,0),1)</f>
        <v>#REF!</v>
      </c>
      <c r="H268" t="s">
        <v>1919</v>
      </c>
      <c r="J268" t="s">
        <v>1920</v>
      </c>
      <c r="K268" t="s">
        <v>835</v>
      </c>
      <c r="L268" t="s">
        <v>1921</v>
      </c>
      <c r="M268" t="s">
        <v>1922</v>
      </c>
      <c r="N268">
        <v>2599</v>
      </c>
      <c r="O268" t="s">
        <v>1870</v>
      </c>
      <c r="P268">
        <v>871</v>
      </c>
      <c r="Q268" t="s">
        <v>1871</v>
      </c>
      <c r="R268" t="s">
        <v>649</v>
      </c>
      <c r="S268" t="s">
        <v>650</v>
      </c>
      <c r="T268" t="s">
        <v>44</v>
      </c>
      <c r="U268" t="s">
        <v>45</v>
      </c>
      <c r="AA268" t="s">
        <v>327</v>
      </c>
      <c r="AD268" t="s">
        <v>94</v>
      </c>
      <c r="AE268" t="s">
        <v>1522</v>
      </c>
    </row>
    <row r="269" spans="1:33" x14ac:dyDescent="0.3">
      <c r="A269">
        <v>518</v>
      </c>
      <c r="B269" t="s">
        <v>1923</v>
      </c>
      <c r="C269" t="str">
        <f>""</f>
        <v/>
      </c>
      <c r="D269" t="str">
        <f>"949HGXG00"</f>
        <v>949HGXG00</v>
      </c>
      <c r="E269" s="1">
        <v>42817</v>
      </c>
      <c r="F269" t="s">
        <v>1924</v>
      </c>
      <c r="G269" t="e">
        <f>INDEX(#REF!,MATCH(P269,#REF!,0),1)</f>
        <v>#REF!</v>
      </c>
      <c r="H269" t="s">
        <v>1925</v>
      </c>
      <c r="J269" t="s">
        <v>1926</v>
      </c>
      <c r="K269" t="s">
        <v>342</v>
      </c>
      <c r="L269">
        <v>60611</v>
      </c>
      <c r="M269" t="s">
        <v>1927</v>
      </c>
      <c r="N269">
        <v>2449830</v>
      </c>
      <c r="O269" t="s">
        <v>1220</v>
      </c>
      <c r="P269">
        <v>2449830</v>
      </c>
      <c r="Q269" t="s">
        <v>1220</v>
      </c>
      <c r="R269" t="s">
        <v>1221</v>
      </c>
      <c r="S269" t="s">
        <v>1222</v>
      </c>
      <c r="T269" t="s">
        <v>44</v>
      </c>
      <c r="U269" t="s">
        <v>45</v>
      </c>
      <c r="AD269" t="s">
        <v>94</v>
      </c>
      <c r="AG269" t="s">
        <v>48</v>
      </c>
    </row>
    <row r="270" spans="1:33" x14ac:dyDescent="0.3">
      <c r="A270">
        <v>521</v>
      </c>
      <c r="B270" t="s">
        <v>1928</v>
      </c>
      <c r="C270" t="str">
        <f>""</f>
        <v/>
      </c>
      <c r="D270" t="str">
        <f>"730860O00"</f>
        <v>730860O00</v>
      </c>
      <c r="E270" s="1">
        <v>31382</v>
      </c>
      <c r="F270" t="s">
        <v>1929</v>
      </c>
      <c r="G270" t="e">
        <f>INDEX(#REF!,MATCH(P270,#REF!,0),1)</f>
        <v>#REF!</v>
      </c>
      <c r="H270" t="s">
        <v>1930</v>
      </c>
      <c r="J270" t="s">
        <v>1931</v>
      </c>
      <c r="K270" t="s">
        <v>763</v>
      </c>
      <c r="L270" t="s">
        <v>1932</v>
      </c>
      <c r="M270" t="s">
        <v>1933</v>
      </c>
      <c r="N270">
        <v>521</v>
      </c>
      <c r="O270" t="s">
        <v>1929</v>
      </c>
      <c r="P270">
        <v>521</v>
      </c>
      <c r="Q270" t="s">
        <v>1929</v>
      </c>
      <c r="R270" t="s">
        <v>1934</v>
      </c>
      <c r="S270" t="s">
        <v>1935</v>
      </c>
      <c r="T270" t="s">
        <v>44</v>
      </c>
      <c r="U270" t="s">
        <v>81</v>
      </c>
      <c r="AA270" t="s">
        <v>119</v>
      </c>
      <c r="AE270" t="s">
        <v>766</v>
      </c>
    </row>
    <row r="271" spans="1:33" x14ac:dyDescent="0.3">
      <c r="A271">
        <v>525</v>
      </c>
      <c r="B271" t="s">
        <v>1936</v>
      </c>
      <c r="C271" t="str">
        <f>""</f>
        <v/>
      </c>
      <c r="D271" t="str">
        <f>"530310C00"</f>
        <v>530310C00</v>
      </c>
      <c r="E271" s="1">
        <v>31382</v>
      </c>
      <c r="F271" t="s">
        <v>1937</v>
      </c>
      <c r="G271" t="e">
        <f>INDEX(#REF!,MATCH(P271,#REF!,0),1)</f>
        <v>#REF!</v>
      </c>
      <c r="H271" t="s">
        <v>1938</v>
      </c>
      <c r="J271" t="s">
        <v>1939</v>
      </c>
      <c r="K271" t="s">
        <v>125</v>
      </c>
      <c r="L271" t="s">
        <v>1940</v>
      </c>
      <c r="M271" t="s">
        <v>1941</v>
      </c>
      <c r="N271">
        <v>1667</v>
      </c>
      <c r="O271" t="s">
        <v>1791</v>
      </c>
      <c r="P271">
        <v>1441</v>
      </c>
      <c r="Q271" t="s">
        <v>1942</v>
      </c>
      <c r="R271" t="s">
        <v>102</v>
      </c>
      <c r="S271" t="s">
        <v>103</v>
      </c>
      <c r="T271" t="s">
        <v>44</v>
      </c>
      <c r="U271" t="s">
        <v>45</v>
      </c>
      <c r="AA271" t="s">
        <v>105</v>
      </c>
      <c r="AE271" t="s">
        <v>106</v>
      </c>
    </row>
    <row r="272" spans="1:33" x14ac:dyDescent="0.3">
      <c r="A272">
        <v>527</v>
      </c>
      <c r="B272" t="s">
        <v>1943</v>
      </c>
      <c r="C272" t="str">
        <f>"1100005604087"</f>
        <v>1100005604087</v>
      </c>
      <c r="D272" t="str">
        <f>"53U9JZT00"</f>
        <v>53U9JZT00</v>
      </c>
      <c r="E272" s="1">
        <v>43101</v>
      </c>
      <c r="F272" t="s">
        <v>1944</v>
      </c>
      <c r="G272" t="e">
        <f>INDEX(#REF!,MATCH(P272,#REF!,0),1)</f>
        <v>#REF!</v>
      </c>
      <c r="H272" t="s">
        <v>1945</v>
      </c>
      <c r="J272" t="s">
        <v>1946</v>
      </c>
      <c r="K272" t="s">
        <v>125</v>
      </c>
      <c r="L272" t="s">
        <v>1947</v>
      </c>
      <c r="M272" t="s">
        <v>1948</v>
      </c>
      <c r="N272">
        <v>1667</v>
      </c>
      <c r="O272" t="s">
        <v>1791</v>
      </c>
      <c r="P272">
        <v>1441</v>
      </c>
      <c r="Q272" t="s">
        <v>1942</v>
      </c>
      <c r="R272" t="s">
        <v>102</v>
      </c>
      <c r="S272" t="s">
        <v>103</v>
      </c>
      <c r="T272" t="s">
        <v>44</v>
      </c>
      <c r="U272" t="s">
        <v>45</v>
      </c>
      <c r="AA272" t="s">
        <v>105</v>
      </c>
      <c r="AE272" t="s">
        <v>106</v>
      </c>
    </row>
    <row r="273" spans="1:33" x14ac:dyDescent="0.3">
      <c r="A273">
        <v>531</v>
      </c>
      <c r="B273" t="s">
        <v>1949</v>
      </c>
      <c r="C273" t="str">
        <f>"1100004109958"</f>
        <v>1100004109958</v>
      </c>
      <c r="D273" t="str">
        <f>"4KA2N3Q00"</f>
        <v>4KA2N3Q00</v>
      </c>
      <c r="E273" s="1">
        <v>41913</v>
      </c>
      <c r="F273" t="s">
        <v>1950</v>
      </c>
      <c r="G273" t="e">
        <f>INDEX(#REF!,MATCH(P273,#REF!,0),1)</f>
        <v>#REF!</v>
      </c>
      <c r="H273" t="s">
        <v>1951</v>
      </c>
      <c r="J273" t="s">
        <v>786</v>
      </c>
      <c r="K273" t="s">
        <v>65</v>
      </c>
      <c r="L273">
        <v>19124</v>
      </c>
      <c r="M273" t="s">
        <v>1952</v>
      </c>
      <c r="N273">
        <v>767149</v>
      </c>
      <c r="O273" t="s">
        <v>1953</v>
      </c>
      <c r="P273">
        <v>4330</v>
      </c>
      <c r="Q273" t="s">
        <v>1954</v>
      </c>
      <c r="R273" t="s">
        <v>266</v>
      </c>
      <c r="S273" t="s">
        <v>267</v>
      </c>
      <c r="T273" t="s">
        <v>44</v>
      </c>
      <c r="U273" t="s">
        <v>45</v>
      </c>
      <c r="AA273" t="s">
        <v>105</v>
      </c>
      <c r="AE273" t="s">
        <v>72</v>
      </c>
      <c r="AG273" t="s">
        <v>48</v>
      </c>
    </row>
    <row r="274" spans="1:33" x14ac:dyDescent="0.3">
      <c r="A274">
        <v>532</v>
      </c>
      <c r="B274" t="s">
        <v>1955</v>
      </c>
      <c r="C274" t="str">
        <f>""</f>
        <v/>
      </c>
      <c r="D274" t="str">
        <f>"160200900"</f>
        <v>160200900</v>
      </c>
      <c r="E274" s="1">
        <v>31397</v>
      </c>
      <c r="F274" t="s">
        <v>1956</v>
      </c>
      <c r="G274" t="e">
        <f>INDEX(#REF!,MATCH(P274,#REF!,0),1)</f>
        <v>#REF!</v>
      </c>
      <c r="H274" t="s">
        <v>1957</v>
      </c>
      <c r="J274" t="s">
        <v>1293</v>
      </c>
      <c r="K274" t="s">
        <v>1109</v>
      </c>
      <c r="L274" t="str">
        <f>"06040-4188"</f>
        <v>06040-4188</v>
      </c>
      <c r="M274" t="s">
        <v>1958</v>
      </c>
      <c r="N274">
        <v>2623550</v>
      </c>
      <c r="O274" t="s">
        <v>1767</v>
      </c>
      <c r="P274">
        <v>2663</v>
      </c>
      <c r="Q274" t="s">
        <v>1959</v>
      </c>
      <c r="R274" t="s">
        <v>1549</v>
      </c>
      <c r="S274" t="s">
        <v>1550</v>
      </c>
      <c r="T274" t="s">
        <v>44</v>
      </c>
      <c r="U274" t="s">
        <v>45</v>
      </c>
      <c r="AE274" t="s">
        <v>564</v>
      </c>
    </row>
    <row r="275" spans="1:33" x14ac:dyDescent="0.3">
      <c r="A275">
        <v>535</v>
      </c>
      <c r="B275" t="s">
        <v>1960</v>
      </c>
      <c r="C275" t="str">
        <f>"1100003348631"</f>
        <v>1100003348631</v>
      </c>
      <c r="D275" t="str">
        <f>"160100800"</f>
        <v>160100800</v>
      </c>
      <c r="E275" s="1">
        <v>31397</v>
      </c>
      <c r="F275" t="s">
        <v>1961</v>
      </c>
      <c r="G275" t="e">
        <f>INDEX(#REF!,MATCH(P275,#REF!,0),1)</f>
        <v>#REF!</v>
      </c>
      <c r="H275" t="s">
        <v>1962</v>
      </c>
      <c r="J275" t="s">
        <v>1963</v>
      </c>
      <c r="K275" t="s">
        <v>1109</v>
      </c>
      <c r="L275" t="str">
        <f>"06830"</f>
        <v>06830</v>
      </c>
      <c r="M275" t="s">
        <v>1964</v>
      </c>
      <c r="N275">
        <v>286</v>
      </c>
      <c r="O275" t="s">
        <v>1106</v>
      </c>
      <c r="P275">
        <v>286</v>
      </c>
      <c r="Q275" t="s">
        <v>1106</v>
      </c>
      <c r="R275" t="s">
        <v>56</v>
      </c>
      <c r="S275" t="s">
        <v>57</v>
      </c>
      <c r="T275" t="s">
        <v>44</v>
      </c>
      <c r="U275" t="s">
        <v>45</v>
      </c>
      <c r="AA275" t="s">
        <v>58</v>
      </c>
      <c r="AE275" t="s">
        <v>60</v>
      </c>
      <c r="AG275" t="s">
        <v>48</v>
      </c>
    </row>
    <row r="276" spans="1:33" x14ac:dyDescent="0.3">
      <c r="A276">
        <v>536</v>
      </c>
      <c r="B276" t="s">
        <v>1965</v>
      </c>
      <c r="C276" t="str">
        <f>""</f>
        <v/>
      </c>
      <c r="D276" t="str">
        <f>"160660J00"</f>
        <v>160660J00</v>
      </c>
      <c r="E276" s="1">
        <v>31396</v>
      </c>
      <c r="F276" t="s">
        <v>1966</v>
      </c>
      <c r="G276" t="e">
        <f>INDEX(#REF!,MATCH(P276,#REF!,0),1)</f>
        <v>#REF!</v>
      </c>
      <c r="H276" t="s">
        <v>1967</v>
      </c>
      <c r="J276" t="s">
        <v>1968</v>
      </c>
      <c r="K276" t="s">
        <v>1109</v>
      </c>
      <c r="L276" t="str">
        <f>"06708-2613"</f>
        <v>06708-2613</v>
      </c>
      <c r="M276" t="s">
        <v>1969</v>
      </c>
      <c r="N276">
        <v>2623550</v>
      </c>
      <c r="O276" t="s">
        <v>1767</v>
      </c>
      <c r="P276">
        <v>2623550</v>
      </c>
      <c r="Q276" t="s">
        <v>1767</v>
      </c>
      <c r="R276" t="s">
        <v>1549</v>
      </c>
      <c r="S276" t="s">
        <v>1550</v>
      </c>
      <c r="T276" t="s">
        <v>44</v>
      </c>
      <c r="U276" t="s">
        <v>45</v>
      </c>
      <c r="AE276" t="s">
        <v>564</v>
      </c>
    </row>
    <row r="277" spans="1:33" x14ac:dyDescent="0.3">
      <c r="A277">
        <v>537</v>
      </c>
      <c r="B277" t="s">
        <v>1970</v>
      </c>
      <c r="C277" t="str">
        <f>""</f>
        <v/>
      </c>
      <c r="D277" t="str">
        <f>"160500C00"</f>
        <v>160500C00</v>
      </c>
      <c r="E277" s="1">
        <v>31396</v>
      </c>
      <c r="F277" t="s">
        <v>1971</v>
      </c>
      <c r="G277" t="e">
        <f>INDEX(#REF!,MATCH(P277,#REF!,0),1)</f>
        <v>#REF!</v>
      </c>
      <c r="H277" t="s">
        <v>1972</v>
      </c>
      <c r="J277" t="s">
        <v>1973</v>
      </c>
      <c r="K277" t="s">
        <v>1109</v>
      </c>
      <c r="L277" t="str">
        <f>"06260"</f>
        <v>06260</v>
      </c>
      <c r="M277" t="s">
        <v>1974</v>
      </c>
      <c r="N277">
        <v>286</v>
      </c>
      <c r="O277" t="s">
        <v>1106</v>
      </c>
      <c r="P277">
        <v>3566896</v>
      </c>
      <c r="Q277" t="s">
        <v>1975</v>
      </c>
      <c r="R277" t="s">
        <v>56</v>
      </c>
      <c r="S277" t="s">
        <v>57</v>
      </c>
      <c r="T277" t="s">
        <v>44</v>
      </c>
      <c r="U277" t="s">
        <v>45</v>
      </c>
      <c r="AA277" t="s">
        <v>58</v>
      </c>
      <c r="AE277" t="s">
        <v>60</v>
      </c>
      <c r="AG277" t="s">
        <v>48</v>
      </c>
    </row>
    <row r="278" spans="1:33" x14ac:dyDescent="0.3">
      <c r="A278">
        <v>538</v>
      </c>
      <c r="B278" t="s">
        <v>1976</v>
      </c>
      <c r="C278" t="str">
        <f>""</f>
        <v/>
      </c>
      <c r="D278" t="str">
        <f>"160370H00"</f>
        <v>160370H00</v>
      </c>
      <c r="E278" s="1">
        <v>42095</v>
      </c>
      <c r="F278" t="s">
        <v>1977</v>
      </c>
      <c r="G278" t="e">
        <f>INDEX(#REF!,MATCH(P278,#REF!,0),1)</f>
        <v>#REF!</v>
      </c>
      <c r="H278" t="s">
        <v>1978</v>
      </c>
      <c r="J278" t="s">
        <v>734</v>
      </c>
      <c r="K278" t="s">
        <v>1109</v>
      </c>
      <c r="L278" t="str">
        <f>"06320-4700"</f>
        <v>06320-4700</v>
      </c>
      <c r="M278" t="s">
        <v>1979</v>
      </c>
      <c r="N278">
        <v>286</v>
      </c>
      <c r="O278" t="s">
        <v>1106</v>
      </c>
      <c r="P278">
        <v>2414036</v>
      </c>
      <c r="Q278" t="s">
        <v>1980</v>
      </c>
      <c r="R278" t="s">
        <v>56</v>
      </c>
      <c r="S278" t="s">
        <v>57</v>
      </c>
      <c r="T278" t="s">
        <v>44</v>
      </c>
      <c r="U278" t="s">
        <v>45</v>
      </c>
      <c r="AA278" t="s">
        <v>58</v>
      </c>
      <c r="AE278" t="s">
        <v>60</v>
      </c>
      <c r="AG278" t="s">
        <v>48</v>
      </c>
    </row>
    <row r="279" spans="1:33" x14ac:dyDescent="0.3">
      <c r="A279">
        <v>539</v>
      </c>
      <c r="B279" t="s">
        <v>1981</v>
      </c>
      <c r="C279" t="str">
        <f>""</f>
        <v/>
      </c>
      <c r="D279" t="str">
        <f>"160070E00"</f>
        <v>160070E00</v>
      </c>
      <c r="E279" s="1">
        <v>31397</v>
      </c>
      <c r="F279" t="s">
        <v>1982</v>
      </c>
      <c r="G279" t="e">
        <f>INDEX(#REF!,MATCH(P279,#REF!,0),1)</f>
        <v>#REF!</v>
      </c>
      <c r="H279" t="s">
        <v>1983</v>
      </c>
      <c r="J279" t="s">
        <v>1984</v>
      </c>
      <c r="K279" t="s">
        <v>1109</v>
      </c>
      <c r="L279" t="str">
        <f>"06810-6077"</f>
        <v>06810-6077</v>
      </c>
      <c r="M279" t="s">
        <v>1985</v>
      </c>
      <c r="N279">
        <v>3500897</v>
      </c>
      <c r="O279" t="s">
        <v>1986</v>
      </c>
      <c r="P279">
        <v>2378</v>
      </c>
      <c r="Q279" t="s">
        <v>1987</v>
      </c>
      <c r="R279" t="s">
        <v>277</v>
      </c>
      <c r="S279" t="s">
        <v>278</v>
      </c>
      <c r="T279" t="s">
        <v>44</v>
      </c>
      <c r="U279" t="s">
        <v>45</v>
      </c>
      <c r="AA279" t="s">
        <v>58</v>
      </c>
      <c r="AE279" t="s">
        <v>60</v>
      </c>
    </row>
    <row r="280" spans="1:33" x14ac:dyDescent="0.3">
      <c r="A280">
        <v>542</v>
      </c>
      <c r="B280" t="s">
        <v>1988</v>
      </c>
      <c r="C280" t="str">
        <f>"1100003370298"</f>
        <v>1100003370298</v>
      </c>
      <c r="D280" t="str">
        <f>"160260F00"</f>
        <v>160260F00</v>
      </c>
      <c r="E280" s="1">
        <v>42583</v>
      </c>
      <c r="F280" t="s">
        <v>1989</v>
      </c>
      <c r="G280" t="e">
        <f>INDEX(#REF!,MATCH(P280,#REF!,0),1)</f>
        <v>#REF!</v>
      </c>
      <c r="H280" t="s">
        <v>1990</v>
      </c>
      <c r="J280" t="s">
        <v>1991</v>
      </c>
      <c r="K280" t="s">
        <v>1109</v>
      </c>
      <c r="L280" t="str">
        <f>"06457"</f>
        <v>06457</v>
      </c>
      <c r="M280" t="s">
        <v>1992</v>
      </c>
      <c r="N280">
        <v>3309</v>
      </c>
      <c r="O280" t="s">
        <v>1993</v>
      </c>
      <c r="P280">
        <v>3309</v>
      </c>
      <c r="Q280" t="s">
        <v>1993</v>
      </c>
      <c r="R280" t="s">
        <v>1301</v>
      </c>
      <c r="S280" t="s">
        <v>1302</v>
      </c>
      <c r="T280" t="s">
        <v>44</v>
      </c>
      <c r="U280" t="s">
        <v>45</v>
      </c>
      <c r="AE280" t="s">
        <v>564</v>
      </c>
    </row>
    <row r="281" spans="1:33" x14ac:dyDescent="0.3">
      <c r="A281">
        <v>544</v>
      </c>
      <c r="B281" t="s">
        <v>1994</v>
      </c>
      <c r="C281" t="str">
        <f>"1100003354212"</f>
        <v>1100003354212</v>
      </c>
      <c r="D281" t="str">
        <f>"231160D00"</f>
        <v>231160D00</v>
      </c>
      <c r="E281" s="1">
        <v>31582</v>
      </c>
      <c r="F281" t="s">
        <v>1995</v>
      </c>
      <c r="G281" t="e">
        <f>INDEX(#REF!,MATCH(P281,#REF!,0),1)</f>
        <v>#REF!</v>
      </c>
      <c r="H281" t="s">
        <v>1996</v>
      </c>
      <c r="J281" t="s">
        <v>1540</v>
      </c>
      <c r="K281" t="s">
        <v>65</v>
      </c>
      <c r="L281" t="s">
        <v>1997</v>
      </c>
      <c r="M281" t="s">
        <v>1998</v>
      </c>
      <c r="N281">
        <v>4007</v>
      </c>
      <c r="O281" t="s">
        <v>276</v>
      </c>
      <c r="P281">
        <v>2139</v>
      </c>
      <c r="Q281" t="s">
        <v>1999</v>
      </c>
      <c r="R281" t="s">
        <v>277</v>
      </c>
      <c r="S281" t="s">
        <v>278</v>
      </c>
      <c r="T281" t="s">
        <v>44</v>
      </c>
      <c r="U281" t="s">
        <v>45</v>
      </c>
      <c r="AG281" t="s">
        <v>48</v>
      </c>
    </row>
    <row r="282" spans="1:33" x14ac:dyDescent="0.3">
      <c r="A282">
        <v>545</v>
      </c>
      <c r="B282" t="s">
        <v>2000</v>
      </c>
      <c r="C282" t="str">
        <f>"1100002723040"</f>
        <v>1100002723040</v>
      </c>
      <c r="D282" t="str">
        <f>"KA27GCV00"</f>
        <v>KA27GCV00</v>
      </c>
      <c r="E282" s="1">
        <v>42583</v>
      </c>
      <c r="F282" t="s">
        <v>2001</v>
      </c>
      <c r="G282" t="e">
        <f>INDEX(#REF!,MATCH(P282,#REF!,0),1)</f>
        <v>#REF!</v>
      </c>
      <c r="H282" t="s">
        <v>2002</v>
      </c>
      <c r="J282" t="s">
        <v>2003</v>
      </c>
      <c r="K282" t="s">
        <v>2004</v>
      </c>
      <c r="L282" t="str">
        <f>"02062"</f>
        <v>02062</v>
      </c>
      <c r="M282" t="s">
        <v>2005</v>
      </c>
      <c r="N282">
        <v>2623351</v>
      </c>
      <c r="O282" t="s">
        <v>2006</v>
      </c>
      <c r="P282">
        <v>2623351</v>
      </c>
      <c r="Q282" t="s">
        <v>2006</v>
      </c>
      <c r="R282" t="s">
        <v>245</v>
      </c>
      <c r="S282" t="s">
        <v>246</v>
      </c>
      <c r="T282" t="s">
        <v>44</v>
      </c>
      <c r="U282" t="s">
        <v>45</v>
      </c>
    </row>
    <row r="283" spans="1:33" x14ac:dyDescent="0.3">
      <c r="A283">
        <v>546</v>
      </c>
      <c r="B283" t="s">
        <v>2007</v>
      </c>
      <c r="C283" t="str">
        <f>""</f>
        <v/>
      </c>
      <c r="D283" t="str">
        <f>"141230B00"</f>
        <v>141230B00</v>
      </c>
      <c r="E283" s="1">
        <v>42583</v>
      </c>
      <c r="F283" t="s">
        <v>2008</v>
      </c>
      <c r="G283" t="e">
        <f>INDEX(#REF!,MATCH(P283,#REF!,0),1)</f>
        <v>#REF!</v>
      </c>
      <c r="H283" t="s">
        <v>2002</v>
      </c>
      <c r="J283" t="s">
        <v>2003</v>
      </c>
      <c r="K283" t="s">
        <v>2004</v>
      </c>
      <c r="L283" t="str">
        <f>"02062"</f>
        <v>02062</v>
      </c>
      <c r="M283" t="s">
        <v>2009</v>
      </c>
      <c r="N283">
        <v>2623351</v>
      </c>
      <c r="O283" t="s">
        <v>2006</v>
      </c>
      <c r="P283">
        <v>2623351</v>
      </c>
      <c r="Q283" t="s">
        <v>2006</v>
      </c>
      <c r="R283" t="s">
        <v>245</v>
      </c>
      <c r="S283" t="s">
        <v>246</v>
      </c>
      <c r="T283" t="s">
        <v>44</v>
      </c>
      <c r="U283" t="s">
        <v>45</v>
      </c>
    </row>
    <row r="284" spans="1:33" x14ac:dyDescent="0.3">
      <c r="A284">
        <v>547</v>
      </c>
      <c r="B284" t="s">
        <v>2010</v>
      </c>
      <c r="C284" t="str">
        <f>""</f>
        <v/>
      </c>
      <c r="D284" t="str">
        <f>"730750M00"</f>
        <v>730750M00</v>
      </c>
      <c r="E284" s="1">
        <v>31411</v>
      </c>
      <c r="F284" t="s">
        <v>2011</v>
      </c>
      <c r="G284" t="e">
        <f>INDEX(#REF!,MATCH(P284,#REF!,0),1)</f>
        <v>#REF!</v>
      </c>
      <c r="H284" t="s">
        <v>2012</v>
      </c>
      <c r="J284" t="s">
        <v>2013</v>
      </c>
      <c r="K284" t="s">
        <v>763</v>
      </c>
      <c r="L284" t="s">
        <v>2014</v>
      </c>
      <c r="M284" t="s">
        <v>2015</v>
      </c>
      <c r="N284">
        <v>547</v>
      </c>
      <c r="O284" t="s">
        <v>2011</v>
      </c>
      <c r="P284">
        <v>547</v>
      </c>
      <c r="Q284" t="s">
        <v>2011</v>
      </c>
      <c r="R284" t="s">
        <v>1401</v>
      </c>
      <c r="S284" t="s">
        <v>1402</v>
      </c>
      <c r="T284" t="s">
        <v>44</v>
      </c>
      <c r="U284" t="s">
        <v>45</v>
      </c>
      <c r="AA284" t="s">
        <v>119</v>
      </c>
      <c r="AE284" t="s">
        <v>766</v>
      </c>
    </row>
    <row r="285" spans="1:33" x14ac:dyDescent="0.3">
      <c r="A285">
        <v>550</v>
      </c>
      <c r="B285" t="s">
        <v>2016</v>
      </c>
      <c r="C285" t="str">
        <f>"1100094578993"</f>
        <v>1100094578993</v>
      </c>
      <c r="D285" t="str">
        <f>"141020800"</f>
        <v>141020800</v>
      </c>
      <c r="E285" s="1">
        <v>31411</v>
      </c>
      <c r="F285" t="s">
        <v>2017</v>
      </c>
      <c r="G285" t="e">
        <f>INDEX(#REF!,MATCH(P285,#REF!,0),1)</f>
        <v>#REF!</v>
      </c>
      <c r="H285" t="s">
        <v>2018</v>
      </c>
      <c r="J285" t="s">
        <v>645</v>
      </c>
      <c r="K285" t="s">
        <v>2004</v>
      </c>
      <c r="L285" t="str">
        <f>"02155-1643"</f>
        <v>02155-1643</v>
      </c>
      <c r="M285" t="s">
        <v>2019</v>
      </c>
      <c r="N285">
        <v>53914</v>
      </c>
      <c r="O285" t="s">
        <v>2020</v>
      </c>
      <c r="P285">
        <v>50414</v>
      </c>
      <c r="Q285" t="s">
        <v>2021</v>
      </c>
      <c r="R285" t="s">
        <v>1301</v>
      </c>
      <c r="S285" t="s">
        <v>1302</v>
      </c>
      <c r="T285" t="s">
        <v>44</v>
      </c>
      <c r="U285" t="s">
        <v>45</v>
      </c>
    </row>
    <row r="286" spans="1:33" x14ac:dyDescent="0.3">
      <c r="A286">
        <v>551</v>
      </c>
      <c r="B286" t="s">
        <v>2022</v>
      </c>
      <c r="C286" t="str">
        <f>"1100094073252"</f>
        <v>1100094073252</v>
      </c>
      <c r="D286" t="str">
        <f>"380880R00"</f>
        <v>380880R00</v>
      </c>
      <c r="E286" s="1">
        <v>31408</v>
      </c>
      <c r="F286" t="s">
        <v>2023</v>
      </c>
      <c r="G286" t="e">
        <f>INDEX(#REF!,MATCH(P286,#REF!,0),1)</f>
        <v>#REF!</v>
      </c>
      <c r="H286" t="s">
        <v>2024</v>
      </c>
      <c r="J286" t="s">
        <v>2025</v>
      </c>
      <c r="K286" t="s">
        <v>99</v>
      </c>
      <c r="L286" t="s">
        <v>2026</v>
      </c>
      <c r="M286" t="s">
        <v>2027</v>
      </c>
      <c r="N286">
        <v>551</v>
      </c>
      <c r="O286" t="s">
        <v>2023</v>
      </c>
      <c r="P286">
        <v>551</v>
      </c>
      <c r="Q286" t="s">
        <v>2023</v>
      </c>
      <c r="R286" t="s">
        <v>434</v>
      </c>
      <c r="S286" t="s">
        <v>435</v>
      </c>
      <c r="T286" t="s">
        <v>44</v>
      </c>
      <c r="U286" t="s">
        <v>45</v>
      </c>
      <c r="AA286" t="s">
        <v>105</v>
      </c>
      <c r="AE286" t="s">
        <v>106</v>
      </c>
    </row>
    <row r="287" spans="1:33" x14ac:dyDescent="0.3">
      <c r="A287">
        <v>553</v>
      </c>
      <c r="B287" t="s">
        <v>2028</v>
      </c>
      <c r="C287" t="str">
        <f>"1100004618245"</f>
        <v>1100004618245</v>
      </c>
      <c r="D287" t="str">
        <f>"1600209F5"</f>
        <v>1600209F5</v>
      </c>
      <c r="E287" s="1">
        <v>31415</v>
      </c>
      <c r="F287" t="s">
        <v>2029</v>
      </c>
      <c r="G287" t="e">
        <f>INDEX(#REF!,MATCH(P287,#REF!,0),1)</f>
        <v>#REF!</v>
      </c>
      <c r="H287" t="s">
        <v>2030</v>
      </c>
      <c r="J287" t="s">
        <v>2031</v>
      </c>
      <c r="K287" t="s">
        <v>1109</v>
      </c>
      <c r="L287" t="str">
        <f>"06610-2870"</f>
        <v>06610-2870</v>
      </c>
      <c r="M287" t="s">
        <v>2032</v>
      </c>
      <c r="N287">
        <v>286</v>
      </c>
      <c r="O287" t="s">
        <v>1106</v>
      </c>
      <c r="P287">
        <v>2600</v>
      </c>
      <c r="Q287" t="s">
        <v>2033</v>
      </c>
      <c r="R287" t="s">
        <v>56</v>
      </c>
      <c r="S287" t="s">
        <v>57</v>
      </c>
      <c r="T287" t="s">
        <v>44</v>
      </c>
      <c r="U287" t="s">
        <v>45</v>
      </c>
      <c r="AA287" t="s">
        <v>58</v>
      </c>
      <c r="AE287" t="s">
        <v>60</v>
      </c>
      <c r="AG287" t="s">
        <v>48</v>
      </c>
    </row>
    <row r="288" spans="1:33" x14ac:dyDescent="0.3">
      <c r="A288">
        <v>556</v>
      </c>
      <c r="B288" t="s">
        <v>2034</v>
      </c>
      <c r="C288" t="str">
        <f>"1100004961563"</f>
        <v>1100004961563</v>
      </c>
      <c r="D288" t="str">
        <f>"730760N00"</f>
        <v>730760N00</v>
      </c>
      <c r="E288" s="1">
        <v>31411</v>
      </c>
      <c r="F288" t="s">
        <v>2035</v>
      </c>
      <c r="G288" t="e">
        <f>INDEX(#REF!,MATCH(P288,#REF!,0),1)</f>
        <v>#REF!</v>
      </c>
      <c r="H288" t="s">
        <v>2036</v>
      </c>
      <c r="J288" t="s">
        <v>2037</v>
      </c>
      <c r="K288" t="s">
        <v>763</v>
      </c>
      <c r="L288" t="s">
        <v>2038</v>
      </c>
      <c r="M288" t="s">
        <v>2039</v>
      </c>
      <c r="N288">
        <v>191</v>
      </c>
      <c r="O288" t="s">
        <v>760</v>
      </c>
      <c r="P288">
        <v>191</v>
      </c>
      <c r="Q288" t="s">
        <v>760</v>
      </c>
      <c r="R288" t="s">
        <v>142</v>
      </c>
      <c r="S288" t="s">
        <v>143</v>
      </c>
      <c r="T288" t="s">
        <v>44</v>
      </c>
      <c r="U288" t="s">
        <v>45</v>
      </c>
      <c r="AA288" t="s">
        <v>119</v>
      </c>
      <c r="AE288" t="s">
        <v>766</v>
      </c>
    </row>
    <row r="289" spans="1:33" x14ac:dyDescent="0.3">
      <c r="A289">
        <v>559</v>
      </c>
      <c r="B289" t="s">
        <v>2040</v>
      </c>
      <c r="C289" t="str">
        <f>"1100003715792"</f>
        <v>1100003715792</v>
      </c>
      <c r="D289" t="str">
        <f>"61N89X800"</f>
        <v>61N89X800</v>
      </c>
      <c r="E289" s="1">
        <v>28417</v>
      </c>
      <c r="F289" t="s">
        <v>2041</v>
      </c>
      <c r="G289" t="e">
        <f>INDEX(#REF!,MATCH(P289,#REF!,0),1)</f>
        <v>#REF!</v>
      </c>
      <c r="H289" t="s">
        <v>2042</v>
      </c>
      <c r="J289" t="s">
        <v>282</v>
      </c>
      <c r="K289" t="s">
        <v>283</v>
      </c>
      <c r="L289" t="s">
        <v>2043</v>
      </c>
      <c r="M289" t="s">
        <v>2044</v>
      </c>
      <c r="N289">
        <v>559</v>
      </c>
      <c r="O289" t="s">
        <v>2041</v>
      </c>
      <c r="P289">
        <v>559</v>
      </c>
      <c r="Q289" t="s">
        <v>2041</v>
      </c>
      <c r="R289" t="s">
        <v>611</v>
      </c>
      <c r="S289" t="s">
        <v>612</v>
      </c>
      <c r="T289" t="s">
        <v>44</v>
      </c>
      <c r="U289" t="s">
        <v>81</v>
      </c>
      <c r="AD289" t="s">
        <v>94</v>
      </c>
      <c r="AE289" t="s">
        <v>120</v>
      </c>
    </row>
    <row r="290" spans="1:33" x14ac:dyDescent="0.3">
      <c r="A290">
        <v>560</v>
      </c>
      <c r="B290" t="s">
        <v>2045</v>
      </c>
      <c r="C290" t="str">
        <f>"1100003153150"</f>
        <v>1100003153150</v>
      </c>
      <c r="D290" t="str">
        <f>"381190M00"</f>
        <v>381190M00</v>
      </c>
      <c r="E290" s="1">
        <v>31446</v>
      </c>
      <c r="F290" t="s">
        <v>2046</v>
      </c>
      <c r="G290" t="e">
        <f>INDEX(#REF!,MATCH(P290,#REF!,0),1)</f>
        <v>#REF!</v>
      </c>
      <c r="H290" t="s">
        <v>2047</v>
      </c>
      <c r="J290" t="s">
        <v>2048</v>
      </c>
      <c r="K290" t="s">
        <v>99</v>
      </c>
      <c r="L290" t="s">
        <v>2049</v>
      </c>
      <c r="M290" t="s">
        <v>2050</v>
      </c>
      <c r="N290">
        <v>560</v>
      </c>
      <c r="O290" t="s">
        <v>2046</v>
      </c>
      <c r="P290">
        <v>560</v>
      </c>
      <c r="Q290" t="s">
        <v>2046</v>
      </c>
      <c r="R290" t="s">
        <v>917</v>
      </c>
      <c r="S290" t="s">
        <v>918</v>
      </c>
      <c r="T290" t="s">
        <v>44</v>
      </c>
      <c r="U290" t="s">
        <v>45</v>
      </c>
      <c r="AA290" t="s">
        <v>105</v>
      </c>
      <c r="AE290" t="s">
        <v>106</v>
      </c>
    </row>
    <row r="291" spans="1:33" x14ac:dyDescent="0.3">
      <c r="A291">
        <v>562</v>
      </c>
      <c r="B291" t="s">
        <v>2051</v>
      </c>
      <c r="C291" t="str">
        <f>""</f>
        <v/>
      </c>
      <c r="D291" t="str">
        <f>"380490O00"</f>
        <v>380490O00</v>
      </c>
      <c r="E291" s="1">
        <v>31414</v>
      </c>
      <c r="F291" t="s">
        <v>2052</v>
      </c>
      <c r="G291" t="e">
        <f>INDEX(#REF!,MATCH(P291,#REF!,0),1)</f>
        <v>#REF!</v>
      </c>
      <c r="H291" t="s">
        <v>2053</v>
      </c>
      <c r="J291" t="s">
        <v>2054</v>
      </c>
      <c r="K291" t="s">
        <v>99</v>
      </c>
      <c r="L291" t="s">
        <v>2055</v>
      </c>
      <c r="M291" t="s">
        <v>2056</v>
      </c>
      <c r="N291">
        <v>43807</v>
      </c>
      <c r="O291" t="s">
        <v>1798</v>
      </c>
      <c r="P291">
        <v>43807</v>
      </c>
      <c r="Q291" t="s">
        <v>1798</v>
      </c>
      <c r="R291" t="s">
        <v>1799</v>
      </c>
      <c r="S291" t="s">
        <v>1800</v>
      </c>
      <c r="T291" t="s">
        <v>44</v>
      </c>
      <c r="U291" t="s">
        <v>45</v>
      </c>
      <c r="AA291" t="s">
        <v>105</v>
      </c>
      <c r="AE291" t="s">
        <v>106</v>
      </c>
    </row>
    <row r="292" spans="1:33" x14ac:dyDescent="0.3">
      <c r="A292">
        <v>563</v>
      </c>
      <c r="B292" t="s">
        <v>2057</v>
      </c>
      <c r="C292" t="str">
        <f>""</f>
        <v/>
      </c>
      <c r="D292" t="str">
        <f>"141460G00"</f>
        <v>141460G00</v>
      </c>
      <c r="E292" s="1">
        <v>31447</v>
      </c>
      <c r="F292" t="s">
        <v>2058</v>
      </c>
      <c r="G292" t="e">
        <f>INDEX(#REF!,MATCH(P292,#REF!,0),1)</f>
        <v>#REF!</v>
      </c>
      <c r="H292" t="s">
        <v>2059</v>
      </c>
      <c r="J292" t="s">
        <v>2060</v>
      </c>
      <c r="K292" t="s">
        <v>2004</v>
      </c>
      <c r="L292" t="str">
        <f>"02190-2432"</f>
        <v>02190-2432</v>
      </c>
      <c r="M292" t="s">
        <v>2061</v>
      </c>
      <c r="N292">
        <v>563</v>
      </c>
      <c r="O292" t="s">
        <v>2058</v>
      </c>
      <c r="P292">
        <v>563</v>
      </c>
      <c r="Q292" t="s">
        <v>2058</v>
      </c>
      <c r="R292" t="s">
        <v>1283</v>
      </c>
      <c r="S292" t="s">
        <v>1284</v>
      </c>
      <c r="T292" t="s">
        <v>44</v>
      </c>
      <c r="U292" t="s">
        <v>45</v>
      </c>
      <c r="AA292" t="s">
        <v>58</v>
      </c>
      <c r="AE292" t="s">
        <v>60</v>
      </c>
    </row>
    <row r="293" spans="1:33" x14ac:dyDescent="0.3">
      <c r="A293">
        <v>566</v>
      </c>
      <c r="B293" t="s">
        <v>2062</v>
      </c>
      <c r="C293" t="str">
        <f>"1100002511012"</f>
        <v>1100002511012</v>
      </c>
      <c r="D293" t="str">
        <f>"381470N00"</f>
        <v>381470N00</v>
      </c>
      <c r="E293" s="1">
        <v>31414</v>
      </c>
      <c r="F293" t="s">
        <v>2063</v>
      </c>
      <c r="G293" t="e">
        <f>INDEX(#REF!,MATCH(P293,#REF!,0),1)</f>
        <v>#REF!</v>
      </c>
      <c r="H293" t="s">
        <v>2064</v>
      </c>
      <c r="J293" t="s">
        <v>1795</v>
      </c>
      <c r="K293" t="s">
        <v>99</v>
      </c>
      <c r="L293" t="s">
        <v>2065</v>
      </c>
      <c r="M293" t="s">
        <v>2066</v>
      </c>
      <c r="N293">
        <v>43807</v>
      </c>
      <c r="O293" t="s">
        <v>1798</v>
      </c>
      <c r="P293">
        <v>43807</v>
      </c>
      <c r="Q293" t="s">
        <v>1798</v>
      </c>
      <c r="R293" t="s">
        <v>1799</v>
      </c>
      <c r="S293" t="s">
        <v>1800</v>
      </c>
      <c r="T293" t="s">
        <v>44</v>
      </c>
      <c r="U293" t="s">
        <v>45</v>
      </c>
      <c r="AA293" t="s">
        <v>105</v>
      </c>
      <c r="AE293" t="s">
        <v>106</v>
      </c>
    </row>
    <row r="294" spans="1:33" x14ac:dyDescent="0.3">
      <c r="A294">
        <v>568</v>
      </c>
      <c r="B294" t="s">
        <v>2067</v>
      </c>
      <c r="C294" t="str">
        <f>""</f>
        <v/>
      </c>
      <c r="D294" t="str">
        <f>"721900J00"</f>
        <v>721900J00</v>
      </c>
      <c r="E294" s="1">
        <v>31397</v>
      </c>
      <c r="F294" t="s">
        <v>2068</v>
      </c>
      <c r="G294" t="e">
        <f>INDEX(#REF!,MATCH(P294,#REF!,0),1)</f>
        <v>#REF!</v>
      </c>
      <c r="H294" t="s">
        <v>2069</v>
      </c>
      <c r="J294" t="s">
        <v>2070</v>
      </c>
      <c r="K294" t="s">
        <v>353</v>
      </c>
      <c r="L294">
        <v>71082</v>
      </c>
      <c r="M294" t="s">
        <v>2071</v>
      </c>
      <c r="N294">
        <v>568</v>
      </c>
      <c r="O294" t="s">
        <v>2068</v>
      </c>
      <c r="P294">
        <v>568</v>
      </c>
      <c r="Q294" t="s">
        <v>2068</v>
      </c>
      <c r="R294" t="s">
        <v>356</v>
      </c>
      <c r="S294" t="s">
        <v>357</v>
      </c>
      <c r="T294" t="s">
        <v>44</v>
      </c>
      <c r="U294" t="s">
        <v>45</v>
      </c>
      <c r="AA294" t="s">
        <v>93</v>
      </c>
      <c r="AC294" t="s">
        <v>1100</v>
      </c>
      <c r="AE294" t="s">
        <v>220</v>
      </c>
    </row>
    <row r="295" spans="1:33" x14ac:dyDescent="0.3">
      <c r="A295">
        <v>569</v>
      </c>
      <c r="B295" t="s">
        <v>2072</v>
      </c>
      <c r="C295" t="str">
        <f>""</f>
        <v/>
      </c>
      <c r="D295" t="str">
        <f>"935010I00"</f>
        <v>935010I00</v>
      </c>
      <c r="E295" s="1">
        <v>31397</v>
      </c>
      <c r="F295" t="s">
        <v>2073</v>
      </c>
      <c r="G295" t="e">
        <f>INDEX(#REF!,MATCH(P295,#REF!,0),1)</f>
        <v>#REF!</v>
      </c>
      <c r="H295" t="s">
        <v>2074</v>
      </c>
      <c r="J295" t="s">
        <v>2075</v>
      </c>
      <c r="K295" t="s">
        <v>88</v>
      </c>
      <c r="L295" t="s">
        <v>2076</v>
      </c>
      <c r="M295" t="s">
        <v>2077</v>
      </c>
      <c r="N295">
        <v>251</v>
      </c>
      <c r="O295" t="s">
        <v>90</v>
      </c>
      <c r="P295">
        <v>251</v>
      </c>
      <c r="Q295" t="s">
        <v>90</v>
      </c>
      <c r="R295" t="s">
        <v>91</v>
      </c>
      <c r="S295" t="s">
        <v>92</v>
      </c>
      <c r="T295" t="s">
        <v>44</v>
      </c>
      <c r="U295" t="s">
        <v>45</v>
      </c>
      <c r="AA295" t="s">
        <v>93</v>
      </c>
      <c r="AC295" t="s">
        <v>90</v>
      </c>
      <c r="AD295" t="s">
        <v>94</v>
      </c>
      <c r="AE295" t="s">
        <v>72</v>
      </c>
      <c r="AG295" t="s">
        <v>48</v>
      </c>
    </row>
    <row r="296" spans="1:33" x14ac:dyDescent="0.3">
      <c r="A296">
        <v>570</v>
      </c>
      <c r="B296" t="s">
        <v>2078</v>
      </c>
      <c r="C296" t="str">
        <f>"1100004321275"</f>
        <v>1100004321275</v>
      </c>
      <c r="D296" t="str">
        <f>"934270PF0"</f>
        <v>934270PF0</v>
      </c>
      <c r="E296" s="1">
        <v>42583</v>
      </c>
      <c r="F296" t="s">
        <v>2079</v>
      </c>
      <c r="G296" t="e">
        <f>INDEX(#REF!,MATCH(P296,#REF!,0),1)</f>
        <v>#REF!</v>
      </c>
      <c r="H296" t="s">
        <v>2080</v>
      </c>
      <c r="J296" t="s">
        <v>2081</v>
      </c>
      <c r="K296" t="s">
        <v>88</v>
      </c>
      <c r="L296">
        <v>93654</v>
      </c>
      <c r="M296" t="s">
        <v>2082</v>
      </c>
      <c r="N296">
        <v>2449814</v>
      </c>
      <c r="O296" t="s">
        <v>2083</v>
      </c>
      <c r="P296">
        <v>2449814</v>
      </c>
      <c r="Q296" t="s">
        <v>2083</v>
      </c>
      <c r="R296" t="s">
        <v>266</v>
      </c>
      <c r="S296" t="s">
        <v>267</v>
      </c>
      <c r="T296" t="s">
        <v>44</v>
      </c>
      <c r="U296" t="s">
        <v>45</v>
      </c>
      <c r="Y296" t="s">
        <v>1317</v>
      </c>
      <c r="Z296" s="1">
        <v>45352</v>
      </c>
      <c r="AC296" t="s">
        <v>1318</v>
      </c>
      <c r="AD296" t="s">
        <v>94</v>
      </c>
      <c r="AE296" t="s">
        <v>72</v>
      </c>
    </row>
    <row r="297" spans="1:33" x14ac:dyDescent="0.3">
      <c r="A297">
        <v>572</v>
      </c>
      <c r="B297" t="s">
        <v>2084</v>
      </c>
      <c r="C297" t="str">
        <f>""</f>
        <v/>
      </c>
      <c r="D297" t="str">
        <f>"810050E00"</f>
        <v>810050E00</v>
      </c>
      <c r="E297" s="1">
        <v>44409</v>
      </c>
      <c r="F297" t="s">
        <v>2085</v>
      </c>
      <c r="G297" t="e">
        <f>INDEX(#REF!,MATCH(P297,#REF!,0),1)</f>
        <v>#REF!</v>
      </c>
      <c r="H297" t="s">
        <v>2086</v>
      </c>
      <c r="J297" t="s">
        <v>2087</v>
      </c>
      <c r="K297" t="s">
        <v>2088</v>
      </c>
      <c r="L297" t="s">
        <v>2089</v>
      </c>
      <c r="M297" t="s">
        <v>2090</v>
      </c>
      <c r="N297">
        <v>572</v>
      </c>
      <c r="O297" t="s">
        <v>2085</v>
      </c>
      <c r="P297">
        <v>572</v>
      </c>
      <c r="Q297" t="s">
        <v>2085</v>
      </c>
      <c r="R297" t="s">
        <v>1263</v>
      </c>
      <c r="S297" t="s">
        <v>1264</v>
      </c>
      <c r="T297" t="s">
        <v>44</v>
      </c>
      <c r="U297" t="s">
        <v>45</v>
      </c>
      <c r="AC297" t="s">
        <v>230</v>
      </c>
    </row>
    <row r="298" spans="1:33" x14ac:dyDescent="0.3">
      <c r="A298">
        <v>573</v>
      </c>
      <c r="B298" t="s">
        <v>2091</v>
      </c>
      <c r="C298" t="str">
        <f>"1100006595629"</f>
        <v>1100006595629</v>
      </c>
      <c r="D298" t="str">
        <f>"140900E00"</f>
        <v>140900E00</v>
      </c>
      <c r="E298" s="1">
        <v>42583</v>
      </c>
      <c r="F298" t="s">
        <v>2092</v>
      </c>
      <c r="G298" t="e">
        <f>INDEX(#REF!,MATCH(P298,#REF!,0),1)</f>
        <v>#REF!</v>
      </c>
      <c r="H298" t="s">
        <v>2093</v>
      </c>
      <c r="J298" t="s">
        <v>2094</v>
      </c>
      <c r="K298" t="s">
        <v>2004</v>
      </c>
      <c r="L298" t="str">
        <f>"01854-2193"</f>
        <v>01854-2193</v>
      </c>
      <c r="M298" t="s">
        <v>2095</v>
      </c>
      <c r="N298">
        <v>1065072</v>
      </c>
      <c r="O298" t="s">
        <v>2096</v>
      </c>
      <c r="P298">
        <v>1065072</v>
      </c>
      <c r="Q298" t="s">
        <v>2096</v>
      </c>
      <c r="R298" t="s">
        <v>1301</v>
      </c>
      <c r="S298" t="s">
        <v>1302</v>
      </c>
      <c r="T298" t="s">
        <v>44</v>
      </c>
      <c r="U298" t="s">
        <v>45</v>
      </c>
    </row>
    <row r="299" spans="1:33" x14ac:dyDescent="0.3">
      <c r="A299">
        <v>575</v>
      </c>
      <c r="B299" t="s">
        <v>2097</v>
      </c>
      <c r="C299" t="str">
        <f>""</f>
        <v/>
      </c>
      <c r="D299" t="str">
        <f>"4J0MDL700"</f>
        <v>4J0MDL700</v>
      </c>
      <c r="E299" s="1">
        <v>31457</v>
      </c>
      <c r="F299" t="s">
        <v>2098</v>
      </c>
      <c r="G299" t="e">
        <f>INDEX(#REF!,MATCH(P299,#REF!,0),1)</f>
        <v>#REF!</v>
      </c>
      <c r="H299" t="s">
        <v>2099</v>
      </c>
      <c r="J299" t="s">
        <v>2100</v>
      </c>
      <c r="K299" t="s">
        <v>99</v>
      </c>
      <c r="L299" t="s">
        <v>2101</v>
      </c>
      <c r="M299" t="s">
        <v>2102</v>
      </c>
      <c r="N299">
        <v>2623343</v>
      </c>
      <c r="O299" t="s">
        <v>1513</v>
      </c>
      <c r="P299">
        <v>2623343</v>
      </c>
      <c r="Q299" t="s">
        <v>1513</v>
      </c>
      <c r="R299" t="s">
        <v>1514</v>
      </c>
      <c r="S299" t="s">
        <v>1515</v>
      </c>
      <c r="T299" t="s">
        <v>44</v>
      </c>
      <c r="U299" t="s">
        <v>45</v>
      </c>
      <c r="AD299" t="s">
        <v>94</v>
      </c>
      <c r="AE299" t="s">
        <v>72</v>
      </c>
    </row>
    <row r="300" spans="1:33" x14ac:dyDescent="0.3">
      <c r="A300">
        <v>576</v>
      </c>
      <c r="B300" t="s">
        <v>2103</v>
      </c>
      <c r="C300" t="str">
        <f>""</f>
        <v/>
      </c>
      <c r="D300" t="str">
        <f>"25258AW00"</f>
        <v>25258AW00</v>
      </c>
      <c r="E300" s="1">
        <v>31092</v>
      </c>
      <c r="F300" t="s">
        <v>2104</v>
      </c>
      <c r="G300" t="e">
        <f>INDEX(#REF!,MATCH(P300,#REF!,0),1)</f>
        <v>#REF!</v>
      </c>
      <c r="H300" t="s">
        <v>2105</v>
      </c>
      <c r="J300" t="s">
        <v>2106</v>
      </c>
      <c r="K300" t="s">
        <v>99</v>
      </c>
      <c r="L300" t="s">
        <v>2107</v>
      </c>
      <c r="M300" t="s">
        <v>2108</v>
      </c>
      <c r="N300">
        <v>2625226</v>
      </c>
      <c r="O300" t="s">
        <v>2109</v>
      </c>
      <c r="P300">
        <v>821424</v>
      </c>
      <c r="Q300" t="s">
        <v>2110</v>
      </c>
      <c r="R300" t="s">
        <v>434</v>
      </c>
      <c r="S300" t="s">
        <v>435</v>
      </c>
      <c r="T300" t="s">
        <v>44</v>
      </c>
      <c r="U300" t="s">
        <v>45</v>
      </c>
    </row>
    <row r="301" spans="1:33" x14ac:dyDescent="0.3">
      <c r="A301">
        <v>580</v>
      </c>
      <c r="B301" t="s">
        <v>2111</v>
      </c>
      <c r="C301" t="str">
        <f>""</f>
        <v/>
      </c>
      <c r="D301" t="str">
        <f>"340720G00"</f>
        <v>340720G00</v>
      </c>
      <c r="E301" s="1">
        <v>40155</v>
      </c>
      <c r="F301" t="s">
        <v>2112</v>
      </c>
      <c r="G301" t="e">
        <f>INDEX(#REF!,MATCH(P301,#REF!,0),1)</f>
        <v>#REF!</v>
      </c>
      <c r="H301" t="s">
        <v>2113</v>
      </c>
      <c r="J301" t="s">
        <v>2114</v>
      </c>
      <c r="K301" t="s">
        <v>77</v>
      </c>
      <c r="L301">
        <v>20110</v>
      </c>
      <c r="M301" t="s">
        <v>2115</v>
      </c>
      <c r="N301">
        <v>41513</v>
      </c>
      <c r="O301" t="s">
        <v>2116</v>
      </c>
      <c r="P301">
        <v>41513</v>
      </c>
      <c r="Q301" t="s">
        <v>2116</v>
      </c>
      <c r="R301" t="s">
        <v>1193</v>
      </c>
      <c r="S301" t="s">
        <v>1194</v>
      </c>
      <c r="T301" t="s">
        <v>44</v>
      </c>
      <c r="U301" t="s">
        <v>45</v>
      </c>
      <c r="AG301" t="s">
        <v>48</v>
      </c>
    </row>
    <row r="302" spans="1:33" x14ac:dyDescent="0.3">
      <c r="A302">
        <v>581</v>
      </c>
      <c r="B302" t="s">
        <v>2117</v>
      </c>
      <c r="C302" t="str">
        <f>"1100003663918"</f>
        <v>1100003663918</v>
      </c>
      <c r="D302" t="str">
        <f>"430020900"</f>
        <v>430020900</v>
      </c>
      <c r="E302" s="1">
        <v>34318</v>
      </c>
      <c r="F302" t="s">
        <v>2118</v>
      </c>
      <c r="G302" t="e">
        <f>INDEX(#REF!,MATCH(P302,#REF!,0),1)</f>
        <v>#REF!</v>
      </c>
      <c r="H302" t="s">
        <v>2119</v>
      </c>
      <c r="J302" t="s">
        <v>2120</v>
      </c>
      <c r="K302" t="s">
        <v>342</v>
      </c>
      <c r="L302" t="s">
        <v>2121</v>
      </c>
      <c r="M302" t="s">
        <v>2122</v>
      </c>
      <c r="N302">
        <v>6104582</v>
      </c>
      <c r="O302" t="s">
        <v>180</v>
      </c>
      <c r="P302">
        <v>1351</v>
      </c>
      <c r="Q302" t="s">
        <v>181</v>
      </c>
      <c r="R302" t="s">
        <v>182</v>
      </c>
      <c r="S302" t="s">
        <v>183</v>
      </c>
      <c r="T302" t="s">
        <v>44</v>
      </c>
      <c r="U302" t="s">
        <v>45</v>
      </c>
      <c r="AA302" t="s">
        <v>185</v>
      </c>
      <c r="AE302" t="s">
        <v>186</v>
      </c>
    </row>
    <row r="303" spans="1:33" x14ac:dyDescent="0.3">
      <c r="A303">
        <v>582</v>
      </c>
      <c r="B303" t="s">
        <v>2123</v>
      </c>
      <c r="C303" t="str">
        <f>""</f>
        <v/>
      </c>
      <c r="D303" t="str">
        <f>"911140G00"</f>
        <v>911140G00</v>
      </c>
      <c r="E303" s="1">
        <v>31394</v>
      </c>
      <c r="F303" t="s">
        <v>2124</v>
      </c>
      <c r="G303" t="e">
        <f>INDEX(#REF!,MATCH(P303,#REF!,0),1)</f>
        <v>#REF!</v>
      </c>
      <c r="H303" t="s">
        <v>2125</v>
      </c>
      <c r="J303" t="s">
        <v>2126</v>
      </c>
      <c r="K303" t="s">
        <v>2127</v>
      </c>
      <c r="L303" t="s">
        <v>2128</v>
      </c>
      <c r="M303" t="s">
        <v>2129</v>
      </c>
      <c r="N303">
        <v>41172</v>
      </c>
      <c r="O303" t="s">
        <v>2130</v>
      </c>
      <c r="P303">
        <v>41172</v>
      </c>
      <c r="Q303" t="s">
        <v>2130</v>
      </c>
      <c r="R303" t="s">
        <v>1844</v>
      </c>
      <c r="S303" t="s">
        <v>1845</v>
      </c>
      <c r="T303" t="s">
        <v>44</v>
      </c>
      <c r="U303" t="s">
        <v>45</v>
      </c>
      <c r="AC303" t="s">
        <v>538</v>
      </c>
      <c r="AD303" t="s">
        <v>94</v>
      </c>
      <c r="AE303" t="s">
        <v>539</v>
      </c>
    </row>
    <row r="304" spans="1:33" x14ac:dyDescent="0.3">
      <c r="A304">
        <v>583</v>
      </c>
      <c r="B304" t="s">
        <v>2131</v>
      </c>
      <c r="C304" t="str">
        <f>""</f>
        <v/>
      </c>
      <c r="D304" t="str">
        <f>"140240BF9"</f>
        <v>140240BF9</v>
      </c>
      <c r="E304" s="1">
        <v>36586</v>
      </c>
      <c r="F304" t="s">
        <v>2132</v>
      </c>
      <c r="G304" t="e">
        <f>INDEX(#REF!,MATCH(P304,#REF!,0),1)</f>
        <v>#REF!</v>
      </c>
      <c r="H304" t="s">
        <v>2133</v>
      </c>
      <c r="J304" t="s">
        <v>2134</v>
      </c>
      <c r="K304" t="s">
        <v>2004</v>
      </c>
      <c r="L304" t="str">
        <f>"02114-2621"</f>
        <v>02114-2621</v>
      </c>
      <c r="M304" t="s">
        <v>2135</v>
      </c>
      <c r="N304">
        <v>2598</v>
      </c>
      <c r="O304" t="s">
        <v>2136</v>
      </c>
      <c r="P304">
        <v>1264</v>
      </c>
      <c r="Q304" t="s">
        <v>2137</v>
      </c>
      <c r="R304" t="s">
        <v>2138</v>
      </c>
      <c r="S304" t="s">
        <v>2139</v>
      </c>
      <c r="T304" t="s">
        <v>2140</v>
      </c>
      <c r="U304" t="s">
        <v>2141</v>
      </c>
      <c r="V304" t="s">
        <v>1824</v>
      </c>
      <c r="AE304" t="s">
        <v>72</v>
      </c>
      <c r="AG304" t="s">
        <v>48</v>
      </c>
    </row>
    <row r="305" spans="1:33" x14ac:dyDescent="0.3">
      <c r="A305">
        <v>585</v>
      </c>
      <c r="B305" t="s">
        <v>2142</v>
      </c>
      <c r="C305" t="str">
        <f>"1100005920484"</f>
        <v>1100005920484</v>
      </c>
      <c r="D305" t="str">
        <f>"233010900"</f>
        <v>233010900</v>
      </c>
      <c r="E305" s="1">
        <v>42583</v>
      </c>
      <c r="F305" t="s">
        <v>2143</v>
      </c>
      <c r="G305" t="e">
        <f>INDEX(#REF!,MATCH(P305,#REF!,0),1)</f>
        <v>#REF!</v>
      </c>
      <c r="H305" t="s">
        <v>2144</v>
      </c>
      <c r="J305" t="s">
        <v>2145</v>
      </c>
      <c r="K305" t="s">
        <v>65</v>
      </c>
      <c r="L305" t="s">
        <v>2146</v>
      </c>
      <c r="M305" t="s">
        <v>2147</v>
      </c>
      <c r="N305">
        <v>585</v>
      </c>
      <c r="O305" t="s">
        <v>2143</v>
      </c>
      <c r="P305">
        <v>585</v>
      </c>
      <c r="Q305" t="s">
        <v>2143</v>
      </c>
      <c r="R305" t="s">
        <v>245</v>
      </c>
      <c r="S305" t="s">
        <v>246</v>
      </c>
      <c r="T305" t="s">
        <v>44</v>
      </c>
      <c r="U305" t="s">
        <v>45</v>
      </c>
    </row>
    <row r="306" spans="1:33" x14ac:dyDescent="0.3">
      <c r="A306">
        <v>586</v>
      </c>
      <c r="B306" t="s">
        <v>2148</v>
      </c>
      <c r="C306" t="str">
        <f>""</f>
        <v/>
      </c>
      <c r="D306" t="str">
        <f>"730420G00"</f>
        <v>730420G00</v>
      </c>
      <c r="E306" s="1">
        <v>31497</v>
      </c>
      <c r="F306" t="s">
        <v>2149</v>
      </c>
      <c r="G306" t="e">
        <f>INDEX(#REF!,MATCH(P306,#REF!,0),1)</f>
        <v>#REF!</v>
      </c>
      <c r="H306" t="s">
        <v>2150</v>
      </c>
      <c r="J306" t="s">
        <v>2151</v>
      </c>
      <c r="K306" t="s">
        <v>763</v>
      </c>
      <c r="L306" t="s">
        <v>2152</v>
      </c>
      <c r="M306" t="s">
        <v>2153</v>
      </c>
      <c r="N306">
        <v>191</v>
      </c>
      <c r="O306" t="s">
        <v>760</v>
      </c>
      <c r="P306">
        <v>191</v>
      </c>
      <c r="Q306" t="s">
        <v>760</v>
      </c>
      <c r="R306" t="s">
        <v>142</v>
      </c>
      <c r="S306" t="s">
        <v>143</v>
      </c>
      <c r="T306" t="s">
        <v>44</v>
      </c>
      <c r="U306" t="s">
        <v>45</v>
      </c>
      <c r="AA306" t="s">
        <v>119</v>
      </c>
      <c r="AE306" t="s">
        <v>766</v>
      </c>
    </row>
    <row r="307" spans="1:33" x14ac:dyDescent="0.3">
      <c r="A307">
        <v>587</v>
      </c>
      <c r="B307" t="s">
        <v>2154</v>
      </c>
      <c r="C307" t="str">
        <f>""</f>
        <v/>
      </c>
      <c r="D307" t="str">
        <f>"220970K00"</f>
        <v>220970K00</v>
      </c>
      <c r="E307" s="1">
        <v>44235</v>
      </c>
      <c r="F307" t="s">
        <v>2155</v>
      </c>
      <c r="G307" t="e">
        <f>INDEX(#REF!,MATCH(P307,#REF!,0),1)</f>
        <v>#REF!</v>
      </c>
      <c r="H307" t="s">
        <v>2156</v>
      </c>
      <c r="J307" t="s">
        <v>2157</v>
      </c>
      <c r="K307" t="s">
        <v>251</v>
      </c>
      <c r="L307" t="str">
        <f>"07061"</f>
        <v>07061</v>
      </c>
      <c r="M307" t="s">
        <v>2158</v>
      </c>
      <c r="N307">
        <v>35683</v>
      </c>
      <c r="O307" t="s">
        <v>931</v>
      </c>
      <c r="P307">
        <v>47937</v>
      </c>
      <c r="Q307" t="s">
        <v>2159</v>
      </c>
      <c r="R307" t="s">
        <v>254</v>
      </c>
      <c r="S307" t="s">
        <v>255</v>
      </c>
      <c r="T307" t="s">
        <v>44</v>
      </c>
      <c r="U307" t="s">
        <v>45</v>
      </c>
    </row>
    <row r="308" spans="1:33" x14ac:dyDescent="0.3">
      <c r="A308">
        <v>588</v>
      </c>
      <c r="B308" t="s">
        <v>2160</v>
      </c>
      <c r="C308" t="str">
        <f>"1100002246518"</f>
        <v>1100002246518</v>
      </c>
      <c r="D308" t="str">
        <f>"220010500"</f>
        <v>220010500</v>
      </c>
      <c r="E308" s="1">
        <v>39448</v>
      </c>
      <c r="F308" t="s">
        <v>2161</v>
      </c>
      <c r="G308" t="e">
        <f>INDEX(#REF!,MATCH(P308,#REF!,0),1)</f>
        <v>#REF!</v>
      </c>
      <c r="H308" t="s">
        <v>2162</v>
      </c>
      <c r="J308" t="s">
        <v>2163</v>
      </c>
      <c r="K308" t="s">
        <v>251</v>
      </c>
      <c r="L308" t="str">
        <f>"08401"</f>
        <v>08401</v>
      </c>
      <c r="M308" t="s">
        <v>2164</v>
      </c>
      <c r="N308">
        <v>86914</v>
      </c>
      <c r="O308" t="s">
        <v>2165</v>
      </c>
      <c r="P308">
        <v>86914</v>
      </c>
      <c r="Q308" t="s">
        <v>2165</v>
      </c>
      <c r="R308" t="s">
        <v>1753</v>
      </c>
      <c r="S308" t="s">
        <v>1754</v>
      </c>
      <c r="T308" t="s">
        <v>44</v>
      </c>
      <c r="U308" t="s">
        <v>45</v>
      </c>
      <c r="AE308" t="s">
        <v>564</v>
      </c>
      <c r="AG308" t="s">
        <v>48</v>
      </c>
    </row>
    <row r="309" spans="1:33" x14ac:dyDescent="0.3">
      <c r="A309">
        <v>589</v>
      </c>
      <c r="B309" t="s">
        <v>2166</v>
      </c>
      <c r="C309" t="str">
        <f>""</f>
        <v/>
      </c>
      <c r="D309" t="str">
        <f>"36BL9T700"</f>
        <v>36BL9T700</v>
      </c>
      <c r="E309" s="1">
        <v>31132</v>
      </c>
      <c r="F309" t="s">
        <v>2167</v>
      </c>
      <c r="G309" t="e">
        <f>INDEX(#REF!,MATCH(P309,#REF!,0),1)</f>
        <v>#REF!</v>
      </c>
      <c r="H309" t="s">
        <v>2168</v>
      </c>
      <c r="J309" t="s">
        <v>2169</v>
      </c>
      <c r="K309" t="s">
        <v>251</v>
      </c>
      <c r="L309" t="str">
        <f>"08062-4413"</f>
        <v>08062-4413</v>
      </c>
      <c r="M309" t="s">
        <v>2170</v>
      </c>
      <c r="N309">
        <v>1247</v>
      </c>
      <c r="O309" t="s">
        <v>1820</v>
      </c>
      <c r="P309">
        <v>1247</v>
      </c>
      <c r="Q309" t="s">
        <v>1820</v>
      </c>
      <c r="R309" t="s">
        <v>254</v>
      </c>
      <c r="S309" t="s">
        <v>255</v>
      </c>
      <c r="T309" t="s">
        <v>44</v>
      </c>
      <c r="U309" t="s">
        <v>45</v>
      </c>
    </row>
    <row r="310" spans="1:33" x14ac:dyDescent="0.3">
      <c r="A310">
        <v>591</v>
      </c>
      <c r="B310" t="s">
        <v>2171</v>
      </c>
      <c r="C310" t="str">
        <f>"1100004897862"</f>
        <v>1100004897862</v>
      </c>
      <c r="D310" t="str">
        <f>"520280H00"</f>
        <v>520280H00</v>
      </c>
      <c r="E310" s="1">
        <v>31497</v>
      </c>
      <c r="F310" t="s">
        <v>2172</v>
      </c>
      <c r="G310" t="e">
        <f>INDEX(#REF!,MATCH(P310,#REF!,0),1)</f>
        <v>#REF!</v>
      </c>
      <c r="H310" t="s">
        <v>2173</v>
      </c>
      <c r="J310" t="s">
        <v>1526</v>
      </c>
      <c r="K310" t="s">
        <v>139</v>
      </c>
      <c r="L310">
        <v>38401</v>
      </c>
      <c r="M310" t="s">
        <v>2174</v>
      </c>
      <c r="N310">
        <v>591</v>
      </c>
      <c r="O310" t="s">
        <v>2172</v>
      </c>
      <c r="P310">
        <v>591</v>
      </c>
      <c r="Q310" t="s">
        <v>2172</v>
      </c>
      <c r="R310" t="s">
        <v>1092</v>
      </c>
      <c r="S310" t="s">
        <v>1093</v>
      </c>
      <c r="T310" t="s">
        <v>44</v>
      </c>
      <c r="U310" t="s">
        <v>45</v>
      </c>
      <c r="AA310" t="s">
        <v>105</v>
      </c>
      <c r="AB310" t="s">
        <v>93</v>
      </c>
      <c r="AE310" t="s">
        <v>220</v>
      </c>
    </row>
    <row r="311" spans="1:33" x14ac:dyDescent="0.3">
      <c r="A311">
        <v>592</v>
      </c>
      <c r="B311" t="s">
        <v>2175</v>
      </c>
      <c r="C311" t="str">
        <f>""</f>
        <v/>
      </c>
      <c r="D311" t="str">
        <f>""</f>
        <v/>
      </c>
      <c r="E311" s="1">
        <v>31497</v>
      </c>
      <c r="F311" t="s">
        <v>2176</v>
      </c>
      <c r="G311" t="e">
        <f>INDEX(#REF!,MATCH(P311,#REF!,0),1)</f>
        <v>#REF!</v>
      </c>
      <c r="H311" t="s">
        <v>2177</v>
      </c>
      <c r="J311" t="s">
        <v>2178</v>
      </c>
      <c r="K311" t="s">
        <v>139</v>
      </c>
      <c r="L311">
        <v>37748</v>
      </c>
      <c r="M311" t="s">
        <v>2179</v>
      </c>
      <c r="N311">
        <v>7585</v>
      </c>
      <c r="O311" t="s">
        <v>433</v>
      </c>
      <c r="P311">
        <v>7585</v>
      </c>
      <c r="Q311" t="s">
        <v>433</v>
      </c>
      <c r="R311" t="s">
        <v>434</v>
      </c>
      <c r="S311" t="s">
        <v>435</v>
      </c>
      <c r="T311" t="s">
        <v>44</v>
      </c>
      <c r="U311" t="s">
        <v>45</v>
      </c>
      <c r="AA311" t="s">
        <v>119</v>
      </c>
      <c r="AE311" t="s">
        <v>120</v>
      </c>
    </row>
    <row r="312" spans="1:33" x14ac:dyDescent="0.3">
      <c r="A312">
        <v>593</v>
      </c>
      <c r="B312" t="s">
        <v>2180</v>
      </c>
      <c r="C312" t="str">
        <f>""</f>
        <v/>
      </c>
      <c r="D312" t="str">
        <f>"140640F00"</f>
        <v>140640F00</v>
      </c>
      <c r="E312" s="1">
        <v>42668</v>
      </c>
      <c r="F312" t="s">
        <v>2181</v>
      </c>
      <c r="G312" t="e">
        <f>INDEX(#REF!,MATCH(P312,#REF!,0),1)</f>
        <v>#REF!</v>
      </c>
      <c r="H312" t="s">
        <v>2182</v>
      </c>
      <c r="J312" t="s">
        <v>2183</v>
      </c>
      <c r="K312" t="s">
        <v>2004</v>
      </c>
      <c r="L312" t="str">
        <f>"01420-8209"</f>
        <v>01420-8209</v>
      </c>
      <c r="M312" t="s">
        <v>2184</v>
      </c>
      <c r="N312">
        <v>40134</v>
      </c>
      <c r="O312" t="s">
        <v>2185</v>
      </c>
      <c r="P312">
        <v>2625951</v>
      </c>
      <c r="Q312" t="s">
        <v>2186</v>
      </c>
      <c r="R312" t="s">
        <v>277</v>
      </c>
      <c r="S312" t="s">
        <v>278</v>
      </c>
      <c r="T312" t="s">
        <v>44</v>
      </c>
      <c r="U312" t="s">
        <v>45</v>
      </c>
      <c r="AA312" t="s">
        <v>58</v>
      </c>
      <c r="AE312" t="s">
        <v>60</v>
      </c>
      <c r="AG312" t="s">
        <v>48</v>
      </c>
    </row>
    <row r="313" spans="1:33" x14ac:dyDescent="0.3">
      <c r="A313">
        <v>594</v>
      </c>
      <c r="B313" t="s">
        <v>2187</v>
      </c>
      <c r="C313" t="str">
        <f>""</f>
        <v/>
      </c>
      <c r="D313" t="str">
        <f>"160610E00"</f>
        <v>160610E00</v>
      </c>
      <c r="E313" s="1">
        <v>42562</v>
      </c>
      <c r="F313" t="s">
        <v>2188</v>
      </c>
      <c r="G313" t="e">
        <f>INDEX(#REF!,MATCH(P313,#REF!,0),1)</f>
        <v>#REF!</v>
      </c>
      <c r="H313" t="s">
        <v>2189</v>
      </c>
      <c r="J313" t="s">
        <v>2190</v>
      </c>
      <c r="K313" t="s">
        <v>1109</v>
      </c>
      <c r="L313" t="str">
        <f>"06790-6600"</f>
        <v>06790-6600</v>
      </c>
      <c r="M313" t="s">
        <v>2191</v>
      </c>
      <c r="N313">
        <v>594</v>
      </c>
      <c r="O313" t="s">
        <v>2188</v>
      </c>
      <c r="P313">
        <v>594</v>
      </c>
      <c r="Q313" t="s">
        <v>2188</v>
      </c>
      <c r="R313" t="s">
        <v>1301</v>
      </c>
      <c r="S313" t="s">
        <v>1302</v>
      </c>
      <c r="T313" t="s">
        <v>44</v>
      </c>
      <c r="U313" t="s">
        <v>45</v>
      </c>
    </row>
    <row r="314" spans="1:33" x14ac:dyDescent="0.3">
      <c r="A314">
        <v>596</v>
      </c>
      <c r="B314" t="s">
        <v>2192</v>
      </c>
      <c r="C314" t="str">
        <f>""</f>
        <v/>
      </c>
      <c r="D314" t="str">
        <f>"450600F00"</f>
        <v>450600F00</v>
      </c>
      <c r="E314" s="1">
        <v>31497</v>
      </c>
      <c r="F314" t="s">
        <v>2193</v>
      </c>
      <c r="G314" t="e">
        <f>INDEX(#REF!,MATCH(P314,#REF!,0),1)</f>
        <v>#REF!</v>
      </c>
      <c r="H314" t="s">
        <v>2194</v>
      </c>
      <c r="J314" t="s">
        <v>2195</v>
      </c>
      <c r="K314" t="s">
        <v>208</v>
      </c>
      <c r="L314" t="s">
        <v>2196</v>
      </c>
      <c r="M314" t="s">
        <v>2197</v>
      </c>
      <c r="N314">
        <v>4214155</v>
      </c>
      <c r="O314" t="s">
        <v>2198</v>
      </c>
      <c r="P314">
        <v>909</v>
      </c>
      <c r="Q314" t="s">
        <v>2199</v>
      </c>
      <c r="R314" t="s">
        <v>419</v>
      </c>
      <c r="S314" t="s">
        <v>420</v>
      </c>
      <c r="T314" t="s">
        <v>44</v>
      </c>
      <c r="U314" t="s">
        <v>45</v>
      </c>
      <c r="AA314" t="s">
        <v>119</v>
      </c>
      <c r="AE314" t="s">
        <v>120</v>
      </c>
      <c r="AG314" t="s">
        <v>48</v>
      </c>
    </row>
    <row r="315" spans="1:33" x14ac:dyDescent="0.3">
      <c r="A315">
        <v>597</v>
      </c>
      <c r="B315" t="s">
        <v>2200</v>
      </c>
      <c r="C315" t="str">
        <f>"1100002276393"</f>
        <v>1100002276393</v>
      </c>
      <c r="D315" t="str">
        <f>"110060800"</f>
        <v>110060800</v>
      </c>
      <c r="E315" s="1">
        <v>42583</v>
      </c>
      <c r="F315" t="s">
        <v>2201</v>
      </c>
      <c r="G315" t="e">
        <f>INDEX(#REF!,MATCH(P315,#REF!,0),1)</f>
        <v>#REF!</v>
      </c>
      <c r="H315" t="s">
        <v>2202</v>
      </c>
      <c r="J315" t="s">
        <v>2203</v>
      </c>
      <c r="K315" t="s">
        <v>1504</v>
      </c>
      <c r="L315" t="str">
        <f>"04401-3979"</f>
        <v>04401-3979</v>
      </c>
      <c r="M315" t="s">
        <v>2204</v>
      </c>
      <c r="N315">
        <v>34044</v>
      </c>
      <c r="O315" t="s">
        <v>2205</v>
      </c>
      <c r="P315">
        <v>34044</v>
      </c>
      <c r="Q315" t="s">
        <v>2205</v>
      </c>
      <c r="R315" t="s">
        <v>1301</v>
      </c>
      <c r="S315" t="s">
        <v>1302</v>
      </c>
      <c r="T315" t="s">
        <v>44</v>
      </c>
      <c r="U315" t="s">
        <v>45</v>
      </c>
    </row>
    <row r="316" spans="1:33" x14ac:dyDescent="0.3">
      <c r="A316">
        <v>599</v>
      </c>
      <c r="B316" t="s">
        <v>2206</v>
      </c>
      <c r="C316" t="str">
        <f>"1100002859138"</f>
        <v>1100002859138</v>
      </c>
      <c r="D316" t="str">
        <f>"421320C00"</f>
        <v>421320C00</v>
      </c>
      <c r="E316" s="1">
        <v>31132</v>
      </c>
      <c r="F316" t="s">
        <v>2207</v>
      </c>
      <c r="G316" t="e">
        <f>INDEX(#REF!,MATCH(P316,#REF!,0),1)</f>
        <v>#REF!</v>
      </c>
      <c r="H316" t="s">
        <v>2208</v>
      </c>
      <c r="J316" t="s">
        <v>2209</v>
      </c>
      <c r="K316" t="s">
        <v>307</v>
      </c>
      <c r="L316" t="s">
        <v>2210</v>
      </c>
      <c r="M316" t="s">
        <v>2211</v>
      </c>
      <c r="N316">
        <v>599</v>
      </c>
      <c r="O316" t="s">
        <v>2207</v>
      </c>
      <c r="P316">
        <v>599</v>
      </c>
      <c r="Q316" t="s">
        <v>2207</v>
      </c>
      <c r="R316" t="s">
        <v>2212</v>
      </c>
      <c r="S316" t="s">
        <v>2213</v>
      </c>
      <c r="T316" t="s">
        <v>2214</v>
      </c>
      <c r="U316" t="s">
        <v>2214</v>
      </c>
      <c r="V316" t="s">
        <v>2215</v>
      </c>
    </row>
    <row r="317" spans="1:33" x14ac:dyDescent="0.3">
      <c r="A317">
        <v>600</v>
      </c>
      <c r="B317" t="s">
        <v>2216</v>
      </c>
      <c r="C317" t="str">
        <f>"1100002618124"</f>
        <v>1100002618124</v>
      </c>
      <c r="D317" t="str">
        <f>"411190G00"</f>
        <v>411190G00</v>
      </c>
      <c r="E317" s="1">
        <v>42248</v>
      </c>
      <c r="F317" t="s">
        <v>2217</v>
      </c>
      <c r="G317" t="e">
        <f>INDEX(#REF!,MATCH(P317,#REF!,0),1)</f>
        <v>#REF!</v>
      </c>
      <c r="H317" t="s">
        <v>2218</v>
      </c>
      <c r="J317" t="s">
        <v>2219</v>
      </c>
      <c r="K317" t="s">
        <v>37</v>
      </c>
      <c r="L317" t="s">
        <v>2220</v>
      </c>
      <c r="M317" t="s">
        <v>2221</v>
      </c>
      <c r="N317">
        <v>3548</v>
      </c>
      <c r="O317" t="s">
        <v>2222</v>
      </c>
      <c r="P317">
        <v>3548</v>
      </c>
      <c r="Q317" t="s">
        <v>2222</v>
      </c>
      <c r="R317" t="s">
        <v>335</v>
      </c>
      <c r="S317" t="s">
        <v>336</v>
      </c>
      <c r="T317" t="s">
        <v>44</v>
      </c>
      <c r="U317" t="s">
        <v>45</v>
      </c>
      <c r="Y317" t="s">
        <v>46</v>
      </c>
      <c r="Z317" s="1">
        <v>42248</v>
      </c>
      <c r="AE317" t="s">
        <v>47</v>
      </c>
      <c r="AG317" t="s">
        <v>48</v>
      </c>
    </row>
    <row r="318" spans="1:33" x14ac:dyDescent="0.3">
      <c r="A318">
        <v>601</v>
      </c>
      <c r="B318" t="s">
        <v>2223</v>
      </c>
      <c r="C318" t="str">
        <f>""</f>
        <v/>
      </c>
      <c r="D318" t="str">
        <f>"411380H00"</f>
        <v>411380H00</v>
      </c>
      <c r="E318" s="1">
        <v>31520</v>
      </c>
      <c r="F318" t="s">
        <v>2224</v>
      </c>
      <c r="G318" t="e">
        <f>INDEX(#REF!,MATCH(P318,#REF!,0),1)</f>
        <v>#REF!</v>
      </c>
      <c r="H318" t="s">
        <v>2225</v>
      </c>
      <c r="J318" t="s">
        <v>2226</v>
      </c>
      <c r="K318" t="s">
        <v>37</v>
      </c>
      <c r="L318" t="s">
        <v>2227</v>
      </c>
      <c r="M318" t="s">
        <v>2228</v>
      </c>
      <c r="N318">
        <v>601</v>
      </c>
      <c r="O318" t="s">
        <v>2224</v>
      </c>
      <c r="P318">
        <v>601</v>
      </c>
      <c r="Q318" t="s">
        <v>2224</v>
      </c>
      <c r="R318" t="s">
        <v>940</v>
      </c>
      <c r="S318" t="s">
        <v>941</v>
      </c>
      <c r="T318" t="s">
        <v>44</v>
      </c>
      <c r="U318" t="s">
        <v>45</v>
      </c>
      <c r="AA318" t="s">
        <v>337</v>
      </c>
      <c r="AD318" t="s">
        <v>94</v>
      </c>
      <c r="AE318" t="s">
        <v>404</v>
      </c>
    </row>
    <row r="319" spans="1:33" x14ac:dyDescent="0.3">
      <c r="A319">
        <v>602</v>
      </c>
      <c r="B319" t="s">
        <v>2229</v>
      </c>
      <c r="C319" t="str">
        <f>""</f>
        <v/>
      </c>
      <c r="D319" t="str">
        <f>"410100600"</f>
        <v>410100600</v>
      </c>
      <c r="E319" s="1">
        <v>41354</v>
      </c>
      <c r="F319" t="s">
        <v>2230</v>
      </c>
      <c r="G319" t="e">
        <f>INDEX(#REF!,MATCH(P319,#REF!,0),1)</f>
        <v>#REF!</v>
      </c>
      <c r="H319" t="s">
        <v>2231</v>
      </c>
      <c r="J319" t="s">
        <v>2232</v>
      </c>
      <c r="K319" t="s">
        <v>37</v>
      </c>
      <c r="L319">
        <v>44004</v>
      </c>
      <c r="M319" t="s">
        <v>2233</v>
      </c>
      <c r="N319">
        <v>602</v>
      </c>
      <c r="O319" t="s">
        <v>2230</v>
      </c>
      <c r="P319">
        <v>602</v>
      </c>
      <c r="Q319" t="s">
        <v>2230</v>
      </c>
      <c r="R319" t="s">
        <v>42</v>
      </c>
      <c r="S319" t="s">
        <v>43</v>
      </c>
      <c r="T319" t="s">
        <v>44</v>
      </c>
      <c r="U319" t="s">
        <v>45</v>
      </c>
      <c r="Y319" t="s">
        <v>46</v>
      </c>
      <c r="Z319" s="1">
        <v>41747</v>
      </c>
      <c r="AE319" t="s">
        <v>47</v>
      </c>
      <c r="AG319" t="s">
        <v>48</v>
      </c>
    </row>
    <row r="320" spans="1:33" x14ac:dyDescent="0.3">
      <c r="A320">
        <v>603</v>
      </c>
      <c r="B320" t="s">
        <v>2234</v>
      </c>
      <c r="C320" t="str">
        <f>""</f>
        <v/>
      </c>
      <c r="D320" t="str">
        <f>"540760M00"</f>
        <v>540760M00</v>
      </c>
      <c r="E320" s="1">
        <v>31520</v>
      </c>
      <c r="F320" t="s">
        <v>2235</v>
      </c>
      <c r="G320" t="e">
        <f>INDEX(#REF!,MATCH(P320,#REF!,0),1)</f>
        <v>#REF!</v>
      </c>
      <c r="H320" t="s">
        <v>2236</v>
      </c>
      <c r="J320" t="s">
        <v>2237</v>
      </c>
      <c r="K320" t="s">
        <v>149</v>
      </c>
      <c r="L320" t="s">
        <v>2238</v>
      </c>
      <c r="M320" t="s">
        <v>2239</v>
      </c>
      <c r="N320">
        <v>603</v>
      </c>
      <c r="O320" t="s">
        <v>2235</v>
      </c>
      <c r="P320">
        <v>603</v>
      </c>
      <c r="Q320" t="s">
        <v>2235</v>
      </c>
      <c r="R320" t="s">
        <v>1078</v>
      </c>
      <c r="S320" t="s">
        <v>1079</v>
      </c>
      <c r="T320" t="s">
        <v>44</v>
      </c>
      <c r="U320" t="s">
        <v>45</v>
      </c>
      <c r="AA320" t="s">
        <v>93</v>
      </c>
      <c r="AE320" t="s">
        <v>220</v>
      </c>
    </row>
    <row r="321" spans="1:33" x14ac:dyDescent="0.3">
      <c r="A321">
        <v>604</v>
      </c>
      <c r="B321" t="s">
        <v>2240</v>
      </c>
      <c r="C321" t="str">
        <f>"1200144936343"</f>
        <v>1200144936343</v>
      </c>
      <c r="D321" t="str">
        <f>"210280D00"</f>
        <v>210280D00</v>
      </c>
      <c r="E321" s="1">
        <v>31502</v>
      </c>
      <c r="F321" t="s">
        <v>2241</v>
      </c>
      <c r="G321" t="e">
        <f>INDEX(#REF!,MATCH(P321,#REF!,0),1)</f>
        <v>#REF!</v>
      </c>
      <c r="H321" t="s">
        <v>2242</v>
      </c>
      <c r="J321" t="s">
        <v>2243</v>
      </c>
      <c r="K321" t="s">
        <v>2244</v>
      </c>
      <c r="L321" t="s">
        <v>2245</v>
      </c>
      <c r="M321" t="s">
        <v>2246</v>
      </c>
      <c r="N321">
        <v>604</v>
      </c>
      <c r="O321" t="s">
        <v>2241</v>
      </c>
      <c r="P321">
        <v>604</v>
      </c>
      <c r="Q321" t="s">
        <v>2241</v>
      </c>
      <c r="R321" t="s">
        <v>884</v>
      </c>
      <c r="S321" t="s">
        <v>885</v>
      </c>
      <c r="T321" t="s">
        <v>44</v>
      </c>
      <c r="U321" t="s">
        <v>81</v>
      </c>
      <c r="AA321" t="s">
        <v>93</v>
      </c>
      <c r="AE321" t="s">
        <v>564</v>
      </c>
    </row>
    <row r="322" spans="1:33" x14ac:dyDescent="0.3">
      <c r="A322">
        <v>605</v>
      </c>
      <c r="B322" t="s">
        <v>2247</v>
      </c>
      <c r="C322" t="str">
        <f>"1100003187117"</f>
        <v>1100003187117</v>
      </c>
      <c r="D322" t="str">
        <f>"741380N00"</f>
        <v>741380N00</v>
      </c>
      <c r="E322" s="1">
        <v>41091</v>
      </c>
      <c r="F322" t="s">
        <v>2248</v>
      </c>
      <c r="G322" t="e">
        <f>INDEX(#REF!,MATCH(P322,#REF!,0),1)</f>
        <v>#REF!</v>
      </c>
      <c r="H322" t="s">
        <v>2249</v>
      </c>
      <c r="J322" t="s">
        <v>2250</v>
      </c>
      <c r="K322" t="s">
        <v>676</v>
      </c>
      <c r="L322" t="s">
        <v>2251</v>
      </c>
      <c r="M322" t="s">
        <v>2252</v>
      </c>
      <c r="N322">
        <v>2201821</v>
      </c>
      <c r="O322" t="s">
        <v>2253</v>
      </c>
      <c r="P322">
        <v>2201821</v>
      </c>
      <c r="Q322" t="s">
        <v>2253</v>
      </c>
      <c r="R322" t="s">
        <v>2254</v>
      </c>
      <c r="S322" t="s">
        <v>2255</v>
      </c>
      <c r="T322" t="s">
        <v>44</v>
      </c>
      <c r="U322" t="s">
        <v>288</v>
      </c>
      <c r="X322" t="s">
        <v>289</v>
      </c>
      <c r="AA322" t="s">
        <v>290</v>
      </c>
      <c r="AG322" t="s">
        <v>48</v>
      </c>
    </row>
    <row r="323" spans="1:33" x14ac:dyDescent="0.3">
      <c r="A323">
        <v>606</v>
      </c>
      <c r="B323" t="s">
        <v>2256</v>
      </c>
      <c r="C323" t="str">
        <f>"1100005809161"</f>
        <v>1100005809161</v>
      </c>
      <c r="D323" t="str">
        <f>"450780O00"</f>
        <v>450780O00</v>
      </c>
      <c r="E323" s="1">
        <v>31520</v>
      </c>
      <c r="F323" t="s">
        <v>2257</v>
      </c>
      <c r="G323" t="e">
        <f>INDEX(#REF!,MATCH(P323,#REF!,0),1)</f>
        <v>#REF!</v>
      </c>
      <c r="H323" t="s">
        <v>2258</v>
      </c>
      <c r="J323" t="s">
        <v>2259</v>
      </c>
      <c r="K323" t="s">
        <v>208</v>
      </c>
      <c r="L323" t="s">
        <v>2260</v>
      </c>
      <c r="M323" t="s">
        <v>2261</v>
      </c>
      <c r="N323">
        <v>711504</v>
      </c>
      <c r="O323" t="s">
        <v>737</v>
      </c>
      <c r="P323">
        <v>711504</v>
      </c>
      <c r="Q323" t="s">
        <v>737</v>
      </c>
      <c r="R323" t="s">
        <v>711</v>
      </c>
      <c r="S323" t="s">
        <v>712</v>
      </c>
      <c r="T323" t="s">
        <v>44</v>
      </c>
      <c r="U323" t="s">
        <v>45</v>
      </c>
      <c r="AA323" t="s">
        <v>119</v>
      </c>
      <c r="AE323" t="s">
        <v>120</v>
      </c>
      <c r="AG323" t="s">
        <v>48</v>
      </c>
    </row>
    <row r="324" spans="1:33" x14ac:dyDescent="0.3">
      <c r="A324">
        <v>608</v>
      </c>
      <c r="B324" t="s">
        <v>2262</v>
      </c>
      <c r="C324" t="str">
        <f>""</f>
        <v/>
      </c>
      <c r="D324" t="str">
        <f>"920230G00"</f>
        <v>920230G00</v>
      </c>
      <c r="E324" s="1">
        <v>31520</v>
      </c>
      <c r="F324" t="s">
        <v>2263</v>
      </c>
      <c r="G324" t="e">
        <f>INDEX(#REF!,MATCH(P324,#REF!,0),1)</f>
        <v>#REF!</v>
      </c>
      <c r="H324" t="s">
        <v>2264</v>
      </c>
      <c r="J324" t="s">
        <v>2265</v>
      </c>
      <c r="K324" t="s">
        <v>1840</v>
      </c>
      <c r="L324" t="s">
        <v>2266</v>
      </c>
      <c r="M324" t="s">
        <v>2267</v>
      </c>
      <c r="N324">
        <v>34736</v>
      </c>
      <c r="O324" t="s">
        <v>1843</v>
      </c>
      <c r="P324">
        <v>34736</v>
      </c>
      <c r="Q324" t="s">
        <v>1843</v>
      </c>
      <c r="R324" t="s">
        <v>1844</v>
      </c>
      <c r="S324" t="s">
        <v>1845</v>
      </c>
      <c r="T324" t="s">
        <v>44</v>
      </c>
      <c r="U324" t="s">
        <v>45</v>
      </c>
      <c r="AD324" t="s">
        <v>94</v>
      </c>
      <c r="AG324" t="s">
        <v>48</v>
      </c>
    </row>
    <row r="325" spans="1:33" x14ac:dyDescent="0.3">
      <c r="A325">
        <v>609</v>
      </c>
      <c r="B325" t="s">
        <v>2268</v>
      </c>
      <c r="C325" t="str">
        <f>""</f>
        <v/>
      </c>
      <c r="D325" t="str">
        <f>"520290I00"</f>
        <v>520290I00</v>
      </c>
      <c r="E325" s="1">
        <v>42611</v>
      </c>
      <c r="F325" t="s">
        <v>2269</v>
      </c>
      <c r="G325" t="e">
        <f>INDEX(#REF!,MATCH(P325,#REF!,0),1)</f>
        <v>#REF!</v>
      </c>
      <c r="H325" t="s">
        <v>1763</v>
      </c>
      <c r="J325" t="s">
        <v>2270</v>
      </c>
      <c r="K325" t="s">
        <v>139</v>
      </c>
      <c r="L325" t="s">
        <v>2271</v>
      </c>
      <c r="M325" t="s">
        <v>2272</v>
      </c>
      <c r="N325">
        <v>3511512</v>
      </c>
      <c r="O325" t="s">
        <v>2273</v>
      </c>
      <c r="P325">
        <v>2510938</v>
      </c>
      <c r="Q325" t="s">
        <v>2274</v>
      </c>
      <c r="R325" t="s">
        <v>2275</v>
      </c>
      <c r="S325" t="s">
        <v>2276</v>
      </c>
      <c r="T325" t="s">
        <v>2277</v>
      </c>
      <c r="U325" t="s">
        <v>2278</v>
      </c>
      <c r="V325" t="s">
        <v>1824</v>
      </c>
      <c r="AA325" t="s">
        <v>105</v>
      </c>
      <c r="AB325" t="s">
        <v>93</v>
      </c>
    </row>
    <row r="326" spans="1:33" x14ac:dyDescent="0.3">
      <c r="A326">
        <v>611</v>
      </c>
      <c r="B326" t="s">
        <v>2279</v>
      </c>
      <c r="C326" t="str">
        <f>"1200144535386"</f>
        <v>1200144535386</v>
      </c>
      <c r="D326" t="str">
        <f>"540810I00"</f>
        <v>540810I00</v>
      </c>
      <c r="E326" s="1">
        <v>31520</v>
      </c>
      <c r="F326" t="s">
        <v>2280</v>
      </c>
      <c r="G326" t="e">
        <f>INDEX(#REF!,MATCH(P326,#REF!,0),1)</f>
        <v>#REF!</v>
      </c>
      <c r="H326" t="s">
        <v>2281</v>
      </c>
      <c r="I326" t="s">
        <v>2282</v>
      </c>
      <c r="J326" t="s">
        <v>2283</v>
      </c>
      <c r="K326" t="s">
        <v>149</v>
      </c>
      <c r="L326" t="s">
        <v>2284</v>
      </c>
      <c r="M326" t="s">
        <v>2285</v>
      </c>
      <c r="N326">
        <v>29</v>
      </c>
      <c r="O326" t="s">
        <v>136</v>
      </c>
      <c r="P326">
        <v>29</v>
      </c>
      <c r="Q326" t="s">
        <v>136</v>
      </c>
      <c r="R326" t="s">
        <v>142</v>
      </c>
      <c r="S326" t="s">
        <v>143</v>
      </c>
      <c r="T326" t="s">
        <v>44</v>
      </c>
      <c r="U326" t="s">
        <v>45</v>
      </c>
      <c r="Y326" t="s">
        <v>104</v>
      </c>
      <c r="Z326" s="1">
        <v>45292</v>
      </c>
      <c r="AA326" t="s">
        <v>93</v>
      </c>
      <c r="AE326" t="s">
        <v>144</v>
      </c>
      <c r="AG326" t="s">
        <v>48</v>
      </c>
    </row>
    <row r="327" spans="1:33" x14ac:dyDescent="0.3">
      <c r="A327">
        <v>612</v>
      </c>
      <c r="B327" t="s">
        <v>2286</v>
      </c>
      <c r="C327" t="str">
        <f>"1100003556227"</f>
        <v>1100003556227</v>
      </c>
      <c r="D327" t="str">
        <f>"360010A00"</f>
        <v>360010A00</v>
      </c>
      <c r="E327" s="1">
        <v>37012</v>
      </c>
      <c r="F327" t="s">
        <v>2287</v>
      </c>
      <c r="G327" t="e">
        <f>INDEX(#REF!,MATCH(P327,#REF!,0),1)</f>
        <v>#REF!</v>
      </c>
      <c r="H327" t="s">
        <v>2288</v>
      </c>
      <c r="J327" t="s">
        <v>2289</v>
      </c>
      <c r="K327" t="s">
        <v>384</v>
      </c>
      <c r="L327" t="s">
        <v>2290</v>
      </c>
      <c r="M327" t="s">
        <v>2291</v>
      </c>
      <c r="N327">
        <v>41480</v>
      </c>
      <c r="O327" t="s">
        <v>2292</v>
      </c>
      <c r="P327">
        <v>41480</v>
      </c>
      <c r="Q327" t="s">
        <v>2292</v>
      </c>
      <c r="R327" t="s">
        <v>2293</v>
      </c>
      <c r="S327" t="s">
        <v>2294</v>
      </c>
      <c r="T327" t="s">
        <v>44</v>
      </c>
      <c r="U327" t="s">
        <v>45</v>
      </c>
      <c r="AC327" t="s">
        <v>590</v>
      </c>
      <c r="AG327" t="s">
        <v>48</v>
      </c>
    </row>
    <row r="328" spans="1:33" x14ac:dyDescent="0.3">
      <c r="A328">
        <v>618</v>
      </c>
      <c r="B328" t="s">
        <v>2295</v>
      </c>
      <c r="C328" t="str">
        <f>"1100002474942"</f>
        <v>1100002474942</v>
      </c>
      <c r="D328" t="str">
        <f>"212710D00"</f>
        <v>212710D00</v>
      </c>
      <c r="E328" s="1">
        <v>42678</v>
      </c>
      <c r="F328" t="s">
        <v>2296</v>
      </c>
      <c r="G328" t="e">
        <f>INDEX(#REF!,MATCH(P328,#REF!,0),1)</f>
        <v>#REF!</v>
      </c>
      <c r="H328" t="s">
        <v>2297</v>
      </c>
      <c r="J328" t="s">
        <v>2298</v>
      </c>
      <c r="K328" t="s">
        <v>2244</v>
      </c>
      <c r="L328" t="s">
        <v>2299</v>
      </c>
      <c r="M328" t="s">
        <v>2300</v>
      </c>
      <c r="N328">
        <v>37277</v>
      </c>
      <c r="O328" t="s">
        <v>2301</v>
      </c>
      <c r="P328">
        <v>37277</v>
      </c>
      <c r="Q328" t="s">
        <v>2301</v>
      </c>
      <c r="R328" t="s">
        <v>562</v>
      </c>
      <c r="S328" t="s">
        <v>563</v>
      </c>
      <c r="T328" t="s">
        <v>44</v>
      </c>
      <c r="U328" t="s">
        <v>45</v>
      </c>
      <c r="AA328" t="s">
        <v>119</v>
      </c>
      <c r="AE328" t="s">
        <v>60</v>
      </c>
    </row>
    <row r="329" spans="1:33" x14ac:dyDescent="0.3">
      <c r="A329">
        <v>619</v>
      </c>
      <c r="B329" t="s">
        <v>2302</v>
      </c>
      <c r="C329" t="str">
        <f>"1100004747532"</f>
        <v>1100004747532</v>
      </c>
      <c r="D329" t="str">
        <f>"211540D00"</f>
        <v>211540D00</v>
      </c>
      <c r="E329" s="1">
        <v>31603</v>
      </c>
      <c r="F329" t="s">
        <v>2303</v>
      </c>
      <c r="G329" t="e">
        <f>INDEX(#REF!,MATCH(P329,#REF!,0),1)</f>
        <v>#REF!</v>
      </c>
      <c r="H329" t="s">
        <v>2304</v>
      </c>
      <c r="J329" t="s">
        <v>2305</v>
      </c>
      <c r="K329" t="s">
        <v>2244</v>
      </c>
      <c r="L329" t="s">
        <v>2306</v>
      </c>
      <c r="M329" t="s">
        <v>2307</v>
      </c>
      <c r="N329">
        <v>6152170</v>
      </c>
      <c r="O329" t="s">
        <v>2308</v>
      </c>
      <c r="P329">
        <v>2291731</v>
      </c>
      <c r="Q329" t="s">
        <v>2309</v>
      </c>
      <c r="R329" t="s">
        <v>2138</v>
      </c>
      <c r="S329" t="s">
        <v>2139</v>
      </c>
      <c r="T329" t="s">
        <v>44</v>
      </c>
      <c r="U329" t="s">
        <v>45</v>
      </c>
      <c r="V329" t="s">
        <v>1824</v>
      </c>
      <c r="AA329" t="s">
        <v>119</v>
      </c>
      <c r="AC329" t="s">
        <v>2310</v>
      </c>
      <c r="AE329" t="s">
        <v>564</v>
      </c>
      <c r="AG329" t="s">
        <v>48</v>
      </c>
    </row>
    <row r="330" spans="1:33" x14ac:dyDescent="0.3">
      <c r="A330">
        <v>623</v>
      </c>
      <c r="B330" t="s">
        <v>2311</v>
      </c>
      <c r="C330" t="str">
        <f>""</f>
        <v/>
      </c>
      <c r="D330" t="str">
        <f>"212730F00"</f>
        <v>212730F00</v>
      </c>
      <c r="E330" s="1">
        <v>42583</v>
      </c>
      <c r="F330" t="s">
        <v>2312</v>
      </c>
      <c r="G330" t="e">
        <f>INDEX(#REF!,MATCH(P330,#REF!,0),1)</f>
        <v>#REF!</v>
      </c>
      <c r="H330" t="s">
        <v>2313</v>
      </c>
      <c r="J330" t="s">
        <v>2298</v>
      </c>
      <c r="K330" t="s">
        <v>2244</v>
      </c>
      <c r="L330" t="s">
        <v>2314</v>
      </c>
      <c r="M330" t="s">
        <v>2315</v>
      </c>
      <c r="N330">
        <v>1362</v>
      </c>
      <c r="O330" t="s">
        <v>2316</v>
      </c>
      <c r="P330">
        <v>1789</v>
      </c>
      <c r="Q330" t="s">
        <v>2317</v>
      </c>
      <c r="R330" t="s">
        <v>940</v>
      </c>
      <c r="S330" t="s">
        <v>941</v>
      </c>
      <c r="T330" t="s">
        <v>44</v>
      </c>
      <c r="U330" t="s">
        <v>45</v>
      </c>
      <c r="AC330" t="s">
        <v>2310</v>
      </c>
    </row>
    <row r="331" spans="1:33" x14ac:dyDescent="0.3">
      <c r="A331">
        <v>624</v>
      </c>
      <c r="B331" t="s">
        <v>2318</v>
      </c>
      <c r="C331" t="str">
        <f>""</f>
        <v/>
      </c>
      <c r="D331" t="str">
        <f>"211300700"</f>
        <v>211300700</v>
      </c>
      <c r="E331" s="1">
        <v>42583</v>
      </c>
      <c r="F331" t="s">
        <v>2319</v>
      </c>
      <c r="G331" t="e">
        <f>INDEX(#REF!,MATCH(P331,#REF!,0),1)</f>
        <v>#REF!</v>
      </c>
      <c r="H331" t="s">
        <v>2320</v>
      </c>
      <c r="J331" t="s">
        <v>2321</v>
      </c>
      <c r="K331" t="s">
        <v>2244</v>
      </c>
      <c r="L331" t="s">
        <v>2322</v>
      </c>
      <c r="M331" t="s">
        <v>2323</v>
      </c>
      <c r="N331">
        <v>37277</v>
      </c>
      <c r="O331" t="s">
        <v>2301</v>
      </c>
      <c r="P331">
        <v>58423</v>
      </c>
      <c r="Q331" t="s">
        <v>2324</v>
      </c>
      <c r="R331" t="s">
        <v>562</v>
      </c>
      <c r="S331" t="s">
        <v>563</v>
      </c>
      <c r="T331" t="s">
        <v>44</v>
      </c>
      <c r="U331" t="s">
        <v>45</v>
      </c>
      <c r="AA331" t="s">
        <v>119</v>
      </c>
      <c r="AC331" t="s">
        <v>2310</v>
      </c>
      <c r="AE331" t="s">
        <v>60</v>
      </c>
    </row>
    <row r="332" spans="1:33" x14ac:dyDescent="0.3">
      <c r="A332">
        <v>625</v>
      </c>
      <c r="B332" t="s">
        <v>2325</v>
      </c>
      <c r="C332" t="str">
        <f>"1100005674189"</f>
        <v>1100005674189</v>
      </c>
      <c r="D332" t="str">
        <f>"038WU9A00"</f>
        <v>038WU9A00</v>
      </c>
      <c r="E332" s="1">
        <v>42583</v>
      </c>
      <c r="F332" t="s">
        <v>2326</v>
      </c>
      <c r="G332" t="e">
        <f>INDEX(#REF!,MATCH(P332,#REF!,0),1)</f>
        <v>#REF!</v>
      </c>
      <c r="H332" t="s">
        <v>2327</v>
      </c>
      <c r="J332" t="s">
        <v>2328</v>
      </c>
      <c r="K332" t="s">
        <v>384</v>
      </c>
      <c r="L332">
        <v>28203</v>
      </c>
      <c r="M332" t="s">
        <v>2329</v>
      </c>
      <c r="N332">
        <v>5949</v>
      </c>
      <c r="O332" t="s">
        <v>2330</v>
      </c>
      <c r="P332">
        <v>5949</v>
      </c>
      <c r="Q332" t="s">
        <v>2330</v>
      </c>
      <c r="R332" t="s">
        <v>2331</v>
      </c>
      <c r="S332" t="s">
        <v>2332</v>
      </c>
      <c r="T332" t="s">
        <v>44</v>
      </c>
      <c r="U332" t="s">
        <v>45</v>
      </c>
      <c r="AC332" t="s">
        <v>2333</v>
      </c>
    </row>
    <row r="333" spans="1:33" x14ac:dyDescent="0.3">
      <c r="A333">
        <v>626</v>
      </c>
      <c r="B333" t="s">
        <v>2334</v>
      </c>
      <c r="C333" t="str">
        <f>""</f>
        <v/>
      </c>
      <c r="D333" t="str">
        <f>"360750L00"</f>
        <v>360750L00</v>
      </c>
      <c r="E333" s="1">
        <v>42583</v>
      </c>
      <c r="F333" t="s">
        <v>2335</v>
      </c>
      <c r="G333" t="e">
        <f>INDEX(#REF!,MATCH(P333,#REF!,0),1)</f>
        <v>#REF!</v>
      </c>
      <c r="H333" t="s">
        <v>2336</v>
      </c>
      <c r="J333" t="s">
        <v>2337</v>
      </c>
      <c r="K333" t="s">
        <v>384</v>
      </c>
      <c r="L333" t="s">
        <v>2338</v>
      </c>
      <c r="M333" t="s">
        <v>2339</v>
      </c>
      <c r="N333">
        <v>2472612</v>
      </c>
      <c r="O333" t="s">
        <v>2340</v>
      </c>
      <c r="P333">
        <v>1805</v>
      </c>
      <c r="Q333" t="s">
        <v>2341</v>
      </c>
      <c r="R333" t="s">
        <v>2342</v>
      </c>
      <c r="S333" t="s">
        <v>2343</v>
      </c>
      <c r="T333" t="s">
        <v>44</v>
      </c>
      <c r="U333" t="s">
        <v>45</v>
      </c>
    </row>
    <row r="334" spans="1:33" x14ac:dyDescent="0.3">
      <c r="A334">
        <v>628</v>
      </c>
      <c r="B334" t="s">
        <v>2344</v>
      </c>
      <c r="C334" t="str">
        <f>"1100004231529"</f>
        <v>1100004231529</v>
      </c>
      <c r="D334" t="str">
        <f>"361250H00"</f>
        <v>361250H00</v>
      </c>
      <c r="E334" s="1">
        <v>31604</v>
      </c>
      <c r="F334" t="s">
        <v>2345</v>
      </c>
      <c r="G334" t="e">
        <f>INDEX(#REF!,MATCH(P334,#REF!,0),1)</f>
        <v>#REF!</v>
      </c>
      <c r="H334" t="s">
        <v>2346</v>
      </c>
      <c r="J334" t="s">
        <v>2347</v>
      </c>
      <c r="K334" t="s">
        <v>384</v>
      </c>
      <c r="L334" t="s">
        <v>2348</v>
      </c>
      <c r="M334" t="s">
        <v>2349</v>
      </c>
      <c r="N334">
        <v>673</v>
      </c>
      <c r="O334" t="s">
        <v>2350</v>
      </c>
      <c r="P334">
        <v>673</v>
      </c>
      <c r="Q334" t="s">
        <v>2350</v>
      </c>
      <c r="R334" t="s">
        <v>2293</v>
      </c>
      <c r="S334" t="s">
        <v>2294</v>
      </c>
      <c r="T334" t="s">
        <v>44</v>
      </c>
      <c r="U334" t="s">
        <v>45</v>
      </c>
      <c r="AC334" t="s">
        <v>590</v>
      </c>
    </row>
    <row r="335" spans="1:33" x14ac:dyDescent="0.3">
      <c r="A335">
        <v>629</v>
      </c>
      <c r="B335" t="s">
        <v>2351</v>
      </c>
      <c r="C335" t="str">
        <f>"1100005715585"</f>
        <v>1100005715585</v>
      </c>
      <c r="D335" t="str">
        <f>"213120900"</f>
        <v>213120900</v>
      </c>
      <c r="E335" s="1">
        <v>44409</v>
      </c>
      <c r="F335" t="s">
        <v>2352</v>
      </c>
      <c r="G335" t="e">
        <f>INDEX(#REF!,MATCH(P335,#REF!,0),1)</f>
        <v>#REF!</v>
      </c>
      <c r="H335" t="s">
        <v>2353</v>
      </c>
      <c r="J335" t="s">
        <v>2354</v>
      </c>
      <c r="K335" t="s">
        <v>2244</v>
      </c>
      <c r="L335" t="s">
        <v>2355</v>
      </c>
      <c r="M335" t="s">
        <v>2356</v>
      </c>
      <c r="N335">
        <v>629</v>
      </c>
      <c r="O335" t="s">
        <v>2352</v>
      </c>
      <c r="P335">
        <v>629</v>
      </c>
      <c r="Q335" t="s">
        <v>2352</v>
      </c>
      <c r="R335" t="s">
        <v>940</v>
      </c>
      <c r="S335" t="s">
        <v>941</v>
      </c>
      <c r="T335" t="s">
        <v>44</v>
      </c>
      <c r="U335" t="s">
        <v>45</v>
      </c>
      <c r="AC335" t="s">
        <v>2310</v>
      </c>
    </row>
    <row r="336" spans="1:33" x14ac:dyDescent="0.3">
      <c r="A336">
        <v>630</v>
      </c>
      <c r="B336" t="s">
        <v>2357</v>
      </c>
      <c r="C336" t="str">
        <f>"1100003764608"</f>
        <v>1100003764608</v>
      </c>
      <c r="D336" t="str">
        <f>"211010500"</f>
        <v>211010500</v>
      </c>
      <c r="E336" s="1">
        <v>43556</v>
      </c>
      <c r="F336" t="s">
        <v>2358</v>
      </c>
      <c r="G336" t="e">
        <f>INDEX(#REF!,MATCH(P336,#REF!,0),1)</f>
        <v>#REF!</v>
      </c>
      <c r="H336" t="s">
        <v>2359</v>
      </c>
      <c r="J336" t="s">
        <v>2360</v>
      </c>
      <c r="K336" t="s">
        <v>2244</v>
      </c>
      <c r="L336" t="s">
        <v>2361</v>
      </c>
      <c r="M336" t="s">
        <v>2362</v>
      </c>
      <c r="N336">
        <v>2449817</v>
      </c>
      <c r="O336" t="s">
        <v>2363</v>
      </c>
      <c r="P336">
        <v>2449817</v>
      </c>
      <c r="Q336" t="s">
        <v>2363</v>
      </c>
      <c r="R336" t="s">
        <v>884</v>
      </c>
      <c r="S336" t="s">
        <v>885</v>
      </c>
      <c r="T336" t="s">
        <v>44</v>
      </c>
      <c r="U336" t="s">
        <v>45</v>
      </c>
      <c r="AA336" t="s">
        <v>119</v>
      </c>
      <c r="AE336" t="s">
        <v>120</v>
      </c>
    </row>
    <row r="337" spans="1:33" x14ac:dyDescent="0.3">
      <c r="A337">
        <v>631</v>
      </c>
      <c r="B337" t="s">
        <v>2364</v>
      </c>
      <c r="C337" t="str">
        <f>"1100005172623"</f>
        <v>1100005172623</v>
      </c>
      <c r="D337" t="str">
        <f>"370150G00"</f>
        <v>370150G00</v>
      </c>
      <c r="E337" s="1">
        <v>43862</v>
      </c>
      <c r="F337" t="s">
        <v>2365</v>
      </c>
      <c r="G337" t="e">
        <f>INDEX(#REF!,MATCH(P337,#REF!,0),1)</f>
        <v>#REF!</v>
      </c>
      <c r="H337" t="s">
        <v>2366</v>
      </c>
      <c r="J337" t="s">
        <v>2367</v>
      </c>
      <c r="K337" t="s">
        <v>2368</v>
      </c>
      <c r="L337">
        <v>29401</v>
      </c>
      <c r="M337" t="s">
        <v>2369</v>
      </c>
      <c r="N337">
        <v>60195</v>
      </c>
      <c r="O337" t="s">
        <v>2370</v>
      </c>
      <c r="P337">
        <v>60195</v>
      </c>
      <c r="Q337" t="s">
        <v>2370</v>
      </c>
      <c r="R337" t="s">
        <v>917</v>
      </c>
      <c r="S337" t="s">
        <v>918</v>
      </c>
      <c r="T337" t="s">
        <v>44</v>
      </c>
      <c r="U337" t="s">
        <v>45</v>
      </c>
      <c r="AA337" t="s">
        <v>105</v>
      </c>
      <c r="AE337" t="s">
        <v>106</v>
      </c>
    </row>
    <row r="338" spans="1:33" x14ac:dyDescent="0.3">
      <c r="A338">
        <v>632</v>
      </c>
      <c r="B338" t="s">
        <v>2371</v>
      </c>
      <c r="C338" t="str">
        <f>""</f>
        <v/>
      </c>
      <c r="D338" t="str">
        <f>"431550I00"</f>
        <v>431550I00</v>
      </c>
      <c r="E338" s="1">
        <v>31604</v>
      </c>
      <c r="F338" t="s">
        <v>2372</v>
      </c>
      <c r="G338" t="e">
        <f>INDEX(#REF!,MATCH(P338,#REF!,0),1)</f>
        <v>#REF!</v>
      </c>
      <c r="H338" t="s">
        <v>2373</v>
      </c>
      <c r="J338" t="s">
        <v>2374</v>
      </c>
      <c r="K338" t="s">
        <v>342</v>
      </c>
      <c r="L338">
        <v>62948</v>
      </c>
      <c r="M338" t="s">
        <v>2375</v>
      </c>
      <c r="N338">
        <v>108</v>
      </c>
      <c r="O338" t="s">
        <v>450</v>
      </c>
      <c r="P338">
        <v>108</v>
      </c>
      <c r="Q338" t="s">
        <v>450</v>
      </c>
      <c r="R338" t="s">
        <v>346</v>
      </c>
      <c r="S338" t="s">
        <v>347</v>
      </c>
      <c r="T338" t="s">
        <v>44</v>
      </c>
      <c r="U338" t="s">
        <v>45</v>
      </c>
      <c r="AA338" t="s">
        <v>105</v>
      </c>
      <c r="AE338" t="s">
        <v>348</v>
      </c>
    </row>
    <row r="339" spans="1:33" x14ac:dyDescent="0.3">
      <c r="A339">
        <v>637</v>
      </c>
      <c r="B339" t="s">
        <v>2376</v>
      </c>
      <c r="C339" t="str">
        <f>""</f>
        <v/>
      </c>
      <c r="D339" t="str">
        <f>"520330D00"</f>
        <v>520330D00</v>
      </c>
      <c r="E339" s="1">
        <v>44365</v>
      </c>
      <c r="F339" t="s">
        <v>2377</v>
      </c>
      <c r="G339" t="e">
        <f>INDEX(#REF!,MATCH(P339,#REF!,0),1)</f>
        <v>#REF!</v>
      </c>
      <c r="H339" t="s">
        <v>2378</v>
      </c>
      <c r="J339" t="s">
        <v>2379</v>
      </c>
      <c r="K339" t="s">
        <v>139</v>
      </c>
      <c r="L339" t="s">
        <v>2380</v>
      </c>
      <c r="M339" t="s">
        <v>2381</v>
      </c>
      <c r="N339">
        <v>7585</v>
      </c>
      <c r="O339" t="s">
        <v>433</v>
      </c>
      <c r="P339">
        <v>7585</v>
      </c>
      <c r="Q339" t="s">
        <v>433</v>
      </c>
      <c r="R339" t="s">
        <v>434</v>
      </c>
      <c r="S339" t="s">
        <v>435</v>
      </c>
      <c r="T339" t="s">
        <v>44</v>
      </c>
      <c r="U339" t="s">
        <v>45</v>
      </c>
      <c r="AA339" t="s">
        <v>119</v>
      </c>
      <c r="AE339" t="s">
        <v>120</v>
      </c>
    </row>
    <row r="340" spans="1:33" x14ac:dyDescent="0.3">
      <c r="A340">
        <v>640</v>
      </c>
      <c r="B340" t="s">
        <v>2382</v>
      </c>
      <c r="C340" t="str">
        <f>"1100005041837"</f>
        <v>1100005041837</v>
      </c>
      <c r="D340" t="str">
        <f>"FFG34L200"</f>
        <v>FFG34L200</v>
      </c>
      <c r="E340" s="1">
        <v>31609</v>
      </c>
      <c r="F340" t="s">
        <v>2383</v>
      </c>
      <c r="G340" t="e">
        <f>INDEX(#REF!,MATCH(P340,#REF!,0),1)</f>
        <v>#REF!</v>
      </c>
      <c r="H340" t="s">
        <v>2384</v>
      </c>
      <c r="J340" t="s">
        <v>2385</v>
      </c>
      <c r="K340" t="s">
        <v>77</v>
      </c>
      <c r="L340" t="s">
        <v>2386</v>
      </c>
      <c r="M340" t="s">
        <v>2387</v>
      </c>
      <c r="N340">
        <v>9</v>
      </c>
      <c r="O340" t="s">
        <v>74</v>
      </c>
      <c r="P340">
        <v>9</v>
      </c>
      <c r="Q340" t="s">
        <v>74</v>
      </c>
      <c r="R340" t="s">
        <v>79</v>
      </c>
      <c r="S340" t="s">
        <v>80</v>
      </c>
      <c r="T340" t="s">
        <v>44</v>
      </c>
      <c r="U340" t="s">
        <v>45</v>
      </c>
      <c r="AA340" t="s">
        <v>82</v>
      </c>
      <c r="AE340" t="s">
        <v>83</v>
      </c>
      <c r="AG340" t="s">
        <v>48</v>
      </c>
    </row>
    <row r="341" spans="1:33" x14ac:dyDescent="0.3">
      <c r="A341">
        <v>642</v>
      </c>
      <c r="B341" t="s">
        <v>2388</v>
      </c>
      <c r="C341" t="str">
        <f>""</f>
        <v/>
      </c>
      <c r="D341" t="str">
        <f>"430810G00"</f>
        <v>430810G00</v>
      </c>
      <c r="E341" s="1">
        <v>42558</v>
      </c>
      <c r="F341" t="s">
        <v>2389</v>
      </c>
      <c r="G341" t="e">
        <f>INDEX(#REF!,MATCH(P341,#REF!,0),1)</f>
        <v>#REF!</v>
      </c>
      <c r="H341" t="s">
        <v>2390</v>
      </c>
      <c r="J341" t="s">
        <v>1926</v>
      </c>
      <c r="K341" t="s">
        <v>342</v>
      </c>
      <c r="L341">
        <v>60612</v>
      </c>
      <c r="M341" t="s">
        <v>2391</v>
      </c>
      <c r="N341">
        <v>1063262</v>
      </c>
      <c r="O341" t="s">
        <v>2392</v>
      </c>
      <c r="P341">
        <v>1063262</v>
      </c>
      <c r="Q341" t="s">
        <v>2392</v>
      </c>
      <c r="R341" t="s">
        <v>396</v>
      </c>
      <c r="S341" t="s">
        <v>397</v>
      </c>
      <c r="T341" t="s">
        <v>44</v>
      </c>
      <c r="U341" t="s">
        <v>45</v>
      </c>
      <c r="AA341" t="s">
        <v>58</v>
      </c>
      <c r="AC341" t="s">
        <v>2393</v>
      </c>
      <c r="AE341" t="s">
        <v>60</v>
      </c>
      <c r="AG341" t="s">
        <v>48</v>
      </c>
    </row>
    <row r="342" spans="1:33" x14ac:dyDescent="0.3">
      <c r="A342">
        <v>644</v>
      </c>
      <c r="B342" t="s">
        <v>2394</v>
      </c>
      <c r="C342" t="str">
        <f>"1100003117268"</f>
        <v>1100003117268</v>
      </c>
      <c r="D342" t="str">
        <f>"9ACJ3TA00"</f>
        <v>9ACJ3TA00</v>
      </c>
      <c r="E342" s="1">
        <v>43557</v>
      </c>
      <c r="F342" t="s">
        <v>2395</v>
      </c>
      <c r="G342" t="e">
        <f>INDEX(#REF!,MATCH(P342,#REF!,0),1)</f>
        <v>#REF!</v>
      </c>
      <c r="H342" t="s">
        <v>2396</v>
      </c>
      <c r="J342" t="s">
        <v>446</v>
      </c>
      <c r="K342" t="s">
        <v>99</v>
      </c>
      <c r="L342" t="s">
        <v>2397</v>
      </c>
      <c r="M342" t="s">
        <v>2398</v>
      </c>
      <c r="N342">
        <v>2623343</v>
      </c>
      <c r="O342" t="s">
        <v>1513</v>
      </c>
      <c r="P342">
        <v>2623343</v>
      </c>
      <c r="Q342" t="s">
        <v>1513</v>
      </c>
      <c r="R342" t="s">
        <v>1514</v>
      </c>
      <c r="S342" t="s">
        <v>1515</v>
      </c>
      <c r="T342" t="s">
        <v>44</v>
      </c>
      <c r="U342" t="s">
        <v>81</v>
      </c>
      <c r="AD342" t="s">
        <v>94</v>
      </c>
    </row>
    <row r="343" spans="1:33" x14ac:dyDescent="0.3">
      <c r="A343">
        <v>646</v>
      </c>
      <c r="B343" t="s">
        <v>2399</v>
      </c>
      <c r="C343" t="str">
        <f>"1100002041281"</f>
        <v>1100002041281</v>
      </c>
      <c r="D343" t="str">
        <f>"411170E00"</f>
        <v>411170E00</v>
      </c>
      <c r="E343" s="1">
        <v>31686</v>
      </c>
      <c r="F343" t="s">
        <v>2400</v>
      </c>
      <c r="G343" t="e">
        <f>INDEX(#REF!,MATCH(P343,#REF!,0),1)</f>
        <v>#REF!</v>
      </c>
      <c r="H343" t="s">
        <v>2401</v>
      </c>
      <c r="J343" t="s">
        <v>2402</v>
      </c>
      <c r="K343" t="s">
        <v>37</v>
      </c>
      <c r="L343">
        <v>45840</v>
      </c>
      <c r="M343" t="s">
        <v>2403</v>
      </c>
      <c r="N343">
        <v>210</v>
      </c>
      <c r="O343" t="s">
        <v>840</v>
      </c>
      <c r="P343">
        <v>2583</v>
      </c>
      <c r="Q343" t="s">
        <v>2404</v>
      </c>
      <c r="R343" t="s">
        <v>844</v>
      </c>
      <c r="S343" t="s">
        <v>845</v>
      </c>
      <c r="T343" t="s">
        <v>44</v>
      </c>
      <c r="U343" t="s">
        <v>45</v>
      </c>
      <c r="Y343" t="s">
        <v>46</v>
      </c>
      <c r="Z343" s="1">
        <v>42370</v>
      </c>
      <c r="AC343" t="s">
        <v>846</v>
      </c>
      <c r="AE343" t="s">
        <v>47</v>
      </c>
    </row>
    <row r="344" spans="1:33" x14ac:dyDescent="0.3">
      <c r="A344">
        <v>648</v>
      </c>
      <c r="B344" t="s">
        <v>2405</v>
      </c>
      <c r="C344" t="str">
        <f>"1100004782700"</f>
        <v>1100004782700</v>
      </c>
      <c r="D344" t="str">
        <f>"420640G00"</f>
        <v>420640G00</v>
      </c>
      <c r="E344" s="1">
        <v>31624</v>
      </c>
      <c r="F344" t="s">
        <v>2406</v>
      </c>
      <c r="G344" t="e">
        <f>INDEX(#REF!,MATCH(P344,#REF!,0),1)</f>
        <v>#REF!</v>
      </c>
      <c r="H344" t="s">
        <v>2407</v>
      </c>
      <c r="J344" t="s">
        <v>306</v>
      </c>
      <c r="K344" t="s">
        <v>307</v>
      </c>
      <c r="L344" t="s">
        <v>2408</v>
      </c>
      <c r="M344" t="s">
        <v>2409</v>
      </c>
      <c r="N344">
        <v>67</v>
      </c>
      <c r="O344" t="s">
        <v>304</v>
      </c>
      <c r="P344">
        <v>67</v>
      </c>
      <c r="Q344" t="s">
        <v>304</v>
      </c>
      <c r="R344" t="s">
        <v>310</v>
      </c>
      <c r="S344" t="s">
        <v>311</v>
      </c>
      <c r="T344" t="s">
        <v>44</v>
      </c>
      <c r="U344" t="s">
        <v>45</v>
      </c>
      <c r="AE344" t="s">
        <v>269</v>
      </c>
    </row>
    <row r="345" spans="1:33" x14ac:dyDescent="0.3">
      <c r="A345">
        <v>649</v>
      </c>
      <c r="B345" t="s">
        <v>2410</v>
      </c>
      <c r="C345" t="str">
        <f>""</f>
        <v/>
      </c>
      <c r="D345" t="str">
        <f>"232550H00"</f>
        <v>232550H00</v>
      </c>
      <c r="E345" s="1">
        <v>44440</v>
      </c>
      <c r="F345" t="s">
        <v>2411</v>
      </c>
      <c r="G345" t="e">
        <f>INDEX(#REF!,MATCH(P345,#REF!,0),1)</f>
        <v>#REF!</v>
      </c>
      <c r="H345" t="s">
        <v>2412</v>
      </c>
      <c r="J345" t="s">
        <v>2413</v>
      </c>
      <c r="K345" t="s">
        <v>65</v>
      </c>
      <c r="L345">
        <v>19611</v>
      </c>
      <c r="M345" t="s">
        <v>2414</v>
      </c>
      <c r="N345">
        <v>649</v>
      </c>
      <c r="O345" t="s">
        <v>2411</v>
      </c>
      <c r="P345">
        <v>649</v>
      </c>
      <c r="Q345" t="s">
        <v>2411</v>
      </c>
      <c r="R345" t="s">
        <v>254</v>
      </c>
      <c r="S345" t="s">
        <v>255</v>
      </c>
      <c r="T345" t="s">
        <v>44</v>
      </c>
      <c r="U345" t="s">
        <v>45</v>
      </c>
    </row>
    <row r="346" spans="1:33" x14ac:dyDescent="0.3">
      <c r="A346">
        <v>650</v>
      </c>
      <c r="B346" t="s">
        <v>2415</v>
      </c>
      <c r="C346" t="str">
        <f>""</f>
        <v/>
      </c>
      <c r="D346" t="str">
        <f>"220750G00"</f>
        <v>220750G00</v>
      </c>
      <c r="E346" s="1">
        <v>42583</v>
      </c>
      <c r="F346" t="s">
        <v>2416</v>
      </c>
      <c r="G346" t="e">
        <f>INDEX(#REF!,MATCH(P346,#REF!,0),1)</f>
        <v>#REF!</v>
      </c>
      <c r="H346" t="s">
        <v>2417</v>
      </c>
      <c r="J346" t="s">
        <v>2418</v>
      </c>
      <c r="K346" t="s">
        <v>251</v>
      </c>
      <c r="L346" t="str">
        <f>"08901-1766"</f>
        <v>08901-1766</v>
      </c>
      <c r="M346" t="s">
        <v>2419</v>
      </c>
      <c r="N346">
        <v>815066</v>
      </c>
      <c r="O346" t="s">
        <v>2420</v>
      </c>
      <c r="P346">
        <v>815066</v>
      </c>
      <c r="Q346" t="s">
        <v>2420</v>
      </c>
      <c r="R346" t="s">
        <v>254</v>
      </c>
      <c r="S346" t="s">
        <v>255</v>
      </c>
      <c r="T346" t="s">
        <v>44</v>
      </c>
      <c r="U346" t="s">
        <v>45</v>
      </c>
    </row>
    <row r="347" spans="1:33" x14ac:dyDescent="0.3">
      <c r="A347">
        <v>651</v>
      </c>
      <c r="B347" t="s">
        <v>2421</v>
      </c>
      <c r="C347" t="str">
        <f>""</f>
        <v/>
      </c>
      <c r="D347" t="str">
        <f>"160450G00"</f>
        <v>160450G00</v>
      </c>
      <c r="E347" s="1">
        <v>38822</v>
      </c>
      <c r="F347" t="s">
        <v>2422</v>
      </c>
      <c r="G347" t="e">
        <f>INDEX(#REF!,MATCH(P347,#REF!,0),1)</f>
        <v>#REF!</v>
      </c>
      <c r="H347" t="s">
        <v>2423</v>
      </c>
      <c r="J347" t="s">
        <v>2424</v>
      </c>
      <c r="K347" t="s">
        <v>1109</v>
      </c>
      <c r="L347" t="str">
        <f>"06850-3894"</f>
        <v>06850-3894</v>
      </c>
      <c r="M347" t="s">
        <v>2425</v>
      </c>
      <c r="N347">
        <v>3500897</v>
      </c>
      <c r="O347" t="s">
        <v>1986</v>
      </c>
      <c r="P347">
        <v>2378</v>
      </c>
      <c r="Q347" t="s">
        <v>1987</v>
      </c>
      <c r="R347" t="s">
        <v>277</v>
      </c>
      <c r="S347" t="s">
        <v>278</v>
      </c>
      <c r="T347" t="s">
        <v>44</v>
      </c>
      <c r="U347" t="s">
        <v>45</v>
      </c>
      <c r="AA347" t="s">
        <v>58</v>
      </c>
      <c r="AE347" t="s">
        <v>60</v>
      </c>
    </row>
    <row r="348" spans="1:33" x14ac:dyDescent="0.3">
      <c r="A348">
        <v>654</v>
      </c>
      <c r="B348" t="s">
        <v>2426</v>
      </c>
      <c r="C348" t="str">
        <f>"1100005884670"</f>
        <v>1100005884670</v>
      </c>
      <c r="D348" t="str">
        <f>"935980Y00"</f>
        <v>935980Y00</v>
      </c>
      <c r="E348" s="1">
        <v>31624</v>
      </c>
      <c r="F348" t="s">
        <v>2427</v>
      </c>
      <c r="G348" t="e">
        <f>INDEX(#REF!,MATCH(P348,#REF!,0),1)</f>
        <v>#REF!</v>
      </c>
      <c r="H348" t="s">
        <v>2428</v>
      </c>
      <c r="J348" t="s">
        <v>2429</v>
      </c>
      <c r="K348" t="s">
        <v>88</v>
      </c>
      <c r="L348">
        <v>90505</v>
      </c>
      <c r="M348" t="s">
        <v>2430</v>
      </c>
      <c r="N348">
        <v>3691153</v>
      </c>
      <c r="O348" t="s">
        <v>1639</v>
      </c>
      <c r="P348">
        <v>3691153</v>
      </c>
      <c r="Q348" t="s">
        <v>1639</v>
      </c>
      <c r="R348" t="s">
        <v>91</v>
      </c>
      <c r="S348" t="s">
        <v>92</v>
      </c>
      <c r="T348" t="s">
        <v>44</v>
      </c>
      <c r="U348" t="s">
        <v>45</v>
      </c>
      <c r="AD348" t="s">
        <v>94</v>
      </c>
      <c r="AE348" t="s">
        <v>1033</v>
      </c>
      <c r="AG348" t="s">
        <v>48</v>
      </c>
    </row>
    <row r="349" spans="1:33" x14ac:dyDescent="0.3">
      <c r="A349">
        <v>656</v>
      </c>
      <c r="B349" t="s">
        <v>2431</v>
      </c>
      <c r="C349" t="str">
        <f>""</f>
        <v/>
      </c>
      <c r="D349" t="str">
        <f>"26C00G000"</f>
        <v>26C00G000</v>
      </c>
      <c r="E349" s="1">
        <v>31624</v>
      </c>
      <c r="F349" t="s">
        <v>2432</v>
      </c>
      <c r="G349" t="e">
        <f>INDEX(#REF!,MATCH(P349,#REF!,0),1)</f>
        <v>#REF!</v>
      </c>
      <c r="H349" t="s">
        <v>2433</v>
      </c>
      <c r="J349" t="s">
        <v>2434</v>
      </c>
      <c r="K349" t="s">
        <v>88</v>
      </c>
      <c r="L349">
        <v>94945</v>
      </c>
      <c r="M349" t="s">
        <v>2435</v>
      </c>
      <c r="N349">
        <v>251</v>
      </c>
      <c r="O349" t="s">
        <v>90</v>
      </c>
      <c r="P349">
        <v>251</v>
      </c>
      <c r="Q349" t="s">
        <v>90</v>
      </c>
      <c r="R349" t="s">
        <v>91</v>
      </c>
      <c r="S349" t="s">
        <v>92</v>
      </c>
      <c r="T349" t="s">
        <v>44</v>
      </c>
      <c r="U349" t="s">
        <v>45</v>
      </c>
      <c r="AA349" t="s">
        <v>93</v>
      </c>
      <c r="AC349" t="s">
        <v>90</v>
      </c>
      <c r="AD349" t="s">
        <v>94</v>
      </c>
      <c r="AE349" t="s">
        <v>72</v>
      </c>
      <c r="AG349" t="s">
        <v>48</v>
      </c>
    </row>
    <row r="350" spans="1:33" x14ac:dyDescent="0.3">
      <c r="A350">
        <v>657</v>
      </c>
      <c r="B350" t="s">
        <v>2436</v>
      </c>
      <c r="C350" t="str">
        <f>""</f>
        <v/>
      </c>
      <c r="D350" t="str">
        <f>"936150O00"</f>
        <v>936150O00</v>
      </c>
      <c r="E350" s="1">
        <v>31624</v>
      </c>
      <c r="F350" t="s">
        <v>2437</v>
      </c>
      <c r="G350" t="e">
        <f>INDEX(#REF!,MATCH(P350,#REF!,0),1)</f>
        <v>#REF!</v>
      </c>
      <c r="H350" t="s">
        <v>2438</v>
      </c>
      <c r="J350" t="s">
        <v>2439</v>
      </c>
      <c r="K350" t="s">
        <v>88</v>
      </c>
      <c r="L350" t="s">
        <v>2440</v>
      </c>
      <c r="M350" t="s">
        <v>2441</v>
      </c>
      <c r="N350">
        <v>251</v>
      </c>
      <c r="O350" t="s">
        <v>90</v>
      </c>
      <c r="P350">
        <v>251</v>
      </c>
      <c r="Q350" t="s">
        <v>90</v>
      </c>
      <c r="R350" t="s">
        <v>91</v>
      </c>
      <c r="S350" t="s">
        <v>92</v>
      </c>
      <c r="T350" t="s">
        <v>44</v>
      </c>
      <c r="U350" t="s">
        <v>45</v>
      </c>
      <c r="AA350" t="s">
        <v>93</v>
      </c>
      <c r="AC350" t="s">
        <v>90</v>
      </c>
      <c r="AD350" t="s">
        <v>94</v>
      </c>
      <c r="AE350" t="s">
        <v>72</v>
      </c>
      <c r="AG350" t="s">
        <v>48</v>
      </c>
    </row>
    <row r="351" spans="1:33" x14ac:dyDescent="0.3">
      <c r="A351">
        <v>658</v>
      </c>
      <c r="B351" t="s">
        <v>2442</v>
      </c>
      <c r="C351" t="str">
        <f>""</f>
        <v/>
      </c>
      <c r="D351" t="str">
        <f>"931110F00"</f>
        <v>931110F00</v>
      </c>
      <c r="E351" s="1">
        <v>31624</v>
      </c>
      <c r="F351" t="s">
        <v>2443</v>
      </c>
      <c r="G351" t="e">
        <f>INDEX(#REF!,MATCH(P351,#REF!,0),1)</f>
        <v>#REF!</v>
      </c>
      <c r="H351" t="s">
        <v>2444</v>
      </c>
      <c r="J351" t="s">
        <v>2445</v>
      </c>
      <c r="K351" t="s">
        <v>88</v>
      </c>
      <c r="L351" t="s">
        <v>2446</v>
      </c>
      <c r="M351" t="s">
        <v>2447</v>
      </c>
      <c r="N351">
        <v>251</v>
      </c>
      <c r="O351" t="s">
        <v>90</v>
      </c>
      <c r="P351">
        <v>251</v>
      </c>
      <c r="Q351" t="s">
        <v>90</v>
      </c>
      <c r="R351" t="s">
        <v>91</v>
      </c>
      <c r="S351" t="s">
        <v>92</v>
      </c>
      <c r="T351" t="s">
        <v>44</v>
      </c>
      <c r="U351" t="s">
        <v>45</v>
      </c>
      <c r="AA351" t="s">
        <v>93</v>
      </c>
      <c r="AC351" t="s">
        <v>90</v>
      </c>
      <c r="AD351" t="s">
        <v>94</v>
      </c>
      <c r="AE351" t="s">
        <v>72</v>
      </c>
      <c r="AG351" t="s">
        <v>48</v>
      </c>
    </row>
    <row r="352" spans="1:33" x14ac:dyDescent="0.3">
      <c r="A352">
        <v>659</v>
      </c>
      <c r="B352" t="s">
        <v>2448</v>
      </c>
      <c r="C352" t="str">
        <f>""</f>
        <v/>
      </c>
      <c r="D352" t="str">
        <f>"330180FGD"</f>
        <v>330180FGD</v>
      </c>
      <c r="E352" s="1">
        <v>31622</v>
      </c>
      <c r="F352" t="s">
        <v>2449</v>
      </c>
      <c r="G352" t="e">
        <f>INDEX(#REF!,MATCH(P352,#REF!,0),1)</f>
        <v>#REF!</v>
      </c>
      <c r="H352" t="s">
        <v>2450</v>
      </c>
      <c r="J352" t="s">
        <v>2145</v>
      </c>
      <c r="K352" t="s">
        <v>2451</v>
      </c>
      <c r="L352">
        <v>20010</v>
      </c>
      <c r="M352" t="s">
        <v>2452</v>
      </c>
      <c r="N352">
        <v>60113</v>
      </c>
      <c r="O352" t="s">
        <v>2453</v>
      </c>
      <c r="P352">
        <v>60113</v>
      </c>
      <c r="Q352" t="s">
        <v>2453</v>
      </c>
      <c r="R352" t="s">
        <v>986</v>
      </c>
      <c r="S352" t="s">
        <v>987</v>
      </c>
      <c r="T352" t="s">
        <v>44</v>
      </c>
      <c r="U352" t="s">
        <v>81</v>
      </c>
      <c r="Y352" t="s">
        <v>1317</v>
      </c>
      <c r="Z352" s="1">
        <v>45474</v>
      </c>
      <c r="AA352" t="s">
        <v>82</v>
      </c>
      <c r="AD352" t="s">
        <v>94</v>
      </c>
      <c r="AE352" t="s">
        <v>83</v>
      </c>
      <c r="AG352" t="s">
        <v>48</v>
      </c>
    </row>
    <row r="353" spans="1:33" x14ac:dyDescent="0.3">
      <c r="A353">
        <v>663</v>
      </c>
      <c r="B353" t="s">
        <v>2454</v>
      </c>
      <c r="C353" t="str">
        <f>""</f>
        <v/>
      </c>
      <c r="D353" t="str">
        <f>"PEAFB0300"</f>
        <v>PEAFB0300</v>
      </c>
      <c r="E353" s="1">
        <v>28417</v>
      </c>
      <c r="F353" t="s">
        <v>170</v>
      </c>
      <c r="G353" t="e">
        <f>INDEX(#REF!,MATCH(P353,#REF!,0),1)</f>
        <v>#REF!</v>
      </c>
      <c r="H353" t="s">
        <v>2455</v>
      </c>
      <c r="J353" t="s">
        <v>166</v>
      </c>
      <c r="K353" t="s">
        <v>167</v>
      </c>
      <c r="L353" t="s">
        <v>168</v>
      </c>
      <c r="M353" t="s">
        <v>2456</v>
      </c>
      <c r="N353">
        <v>663</v>
      </c>
      <c r="O353" t="s">
        <v>170</v>
      </c>
      <c r="P353">
        <v>663</v>
      </c>
      <c r="Q353" t="s">
        <v>170</v>
      </c>
      <c r="R353" t="s">
        <v>171</v>
      </c>
      <c r="S353" t="s">
        <v>172</v>
      </c>
      <c r="T353" t="s">
        <v>44</v>
      </c>
      <c r="U353" t="s">
        <v>81</v>
      </c>
      <c r="AC353" t="s">
        <v>203</v>
      </c>
      <c r="AE353" t="s">
        <v>72</v>
      </c>
    </row>
    <row r="354" spans="1:33" x14ac:dyDescent="0.3">
      <c r="A354">
        <v>665</v>
      </c>
      <c r="B354" t="s">
        <v>2457</v>
      </c>
      <c r="C354" t="str">
        <f>"1100003267000"</f>
        <v>1100003267000</v>
      </c>
      <c r="D354" t="str">
        <f>"173SP7Z00"</f>
        <v>173SP7Z00</v>
      </c>
      <c r="E354" s="1">
        <v>30980</v>
      </c>
      <c r="F354" t="s">
        <v>387</v>
      </c>
      <c r="G354" t="e">
        <f>INDEX(#REF!,MATCH(P354,#REF!,0),1)</f>
        <v>#REF!</v>
      </c>
      <c r="H354" t="s">
        <v>2458</v>
      </c>
      <c r="J354" t="s">
        <v>383</v>
      </c>
      <c r="K354" t="s">
        <v>384</v>
      </c>
      <c r="L354">
        <v>27103</v>
      </c>
      <c r="M354" t="s">
        <v>386</v>
      </c>
      <c r="N354">
        <v>665</v>
      </c>
      <c r="O354" t="s">
        <v>387</v>
      </c>
      <c r="P354">
        <v>665</v>
      </c>
      <c r="Q354" t="s">
        <v>387</v>
      </c>
      <c r="R354" t="s">
        <v>388</v>
      </c>
      <c r="S354" t="s">
        <v>389</v>
      </c>
      <c r="T354" t="s">
        <v>44</v>
      </c>
      <c r="U354" t="s">
        <v>81</v>
      </c>
      <c r="AA354" t="s">
        <v>82</v>
      </c>
      <c r="AE354" t="s">
        <v>83</v>
      </c>
    </row>
    <row r="355" spans="1:33" x14ac:dyDescent="0.3">
      <c r="A355">
        <v>667</v>
      </c>
      <c r="B355" t="s">
        <v>2459</v>
      </c>
      <c r="C355" t="str">
        <f>""</f>
        <v/>
      </c>
      <c r="D355" t="str">
        <f>"F3YF36400"</f>
        <v>F3YF36400</v>
      </c>
      <c r="E355" s="1">
        <v>30208</v>
      </c>
      <c r="F355" t="s">
        <v>2460</v>
      </c>
      <c r="G355" t="e">
        <f>INDEX(#REF!,MATCH(P355,#REF!,0),1)</f>
        <v>#REF!</v>
      </c>
      <c r="H355" t="s">
        <v>1102</v>
      </c>
      <c r="J355" t="s">
        <v>922</v>
      </c>
      <c r="K355" t="s">
        <v>353</v>
      </c>
      <c r="L355" t="s">
        <v>1103</v>
      </c>
      <c r="M355" t="s">
        <v>2461</v>
      </c>
      <c r="N355">
        <v>284</v>
      </c>
      <c r="O355" t="s">
        <v>925</v>
      </c>
      <c r="P355">
        <v>284</v>
      </c>
      <c r="Q355" t="s">
        <v>925</v>
      </c>
      <c r="R355" t="s">
        <v>893</v>
      </c>
      <c r="S355" t="s">
        <v>894</v>
      </c>
      <c r="T355" t="s">
        <v>44</v>
      </c>
      <c r="U355" t="s">
        <v>81</v>
      </c>
      <c r="AA355" t="s">
        <v>105</v>
      </c>
      <c r="AE355" t="s">
        <v>106</v>
      </c>
    </row>
    <row r="356" spans="1:33" x14ac:dyDescent="0.3">
      <c r="A356">
        <v>673</v>
      </c>
      <c r="B356" t="s">
        <v>2462</v>
      </c>
      <c r="C356" t="str">
        <f>"1100002224967"</f>
        <v>1100002224967</v>
      </c>
      <c r="D356" t="str">
        <f>"ZRCG8YO00"</f>
        <v>ZRCG8YO00</v>
      </c>
      <c r="E356" s="1">
        <v>31583</v>
      </c>
      <c r="F356" t="s">
        <v>2350</v>
      </c>
      <c r="G356" t="e">
        <f>INDEX(#REF!,MATCH(P356,#REF!,0),1)</f>
        <v>#REF!</v>
      </c>
      <c r="H356" t="s">
        <v>2346</v>
      </c>
      <c r="J356" t="s">
        <v>2347</v>
      </c>
      <c r="K356" t="s">
        <v>384</v>
      </c>
      <c r="L356" t="s">
        <v>2348</v>
      </c>
      <c r="M356" t="s">
        <v>2349</v>
      </c>
      <c r="N356">
        <v>673</v>
      </c>
      <c r="O356" t="s">
        <v>2350</v>
      </c>
      <c r="P356">
        <v>673</v>
      </c>
      <c r="Q356" t="s">
        <v>2350</v>
      </c>
      <c r="R356" t="s">
        <v>2293</v>
      </c>
      <c r="S356" t="s">
        <v>2294</v>
      </c>
      <c r="T356" t="s">
        <v>44</v>
      </c>
      <c r="U356" t="s">
        <v>81</v>
      </c>
      <c r="AC356" t="s">
        <v>590</v>
      </c>
    </row>
    <row r="357" spans="1:33" x14ac:dyDescent="0.3">
      <c r="A357">
        <v>678</v>
      </c>
      <c r="B357" t="s">
        <v>2463</v>
      </c>
      <c r="C357" t="str">
        <f>""</f>
        <v/>
      </c>
      <c r="D357" t="str">
        <f>"05VA9EX00"</f>
        <v>05VA9EX00</v>
      </c>
      <c r="E357" s="1">
        <v>30945</v>
      </c>
      <c r="F357" t="s">
        <v>892</v>
      </c>
      <c r="G357" t="e">
        <f>INDEX(#REF!,MATCH(P357,#REF!,0),1)</f>
        <v>#REF!</v>
      </c>
      <c r="H357" t="s">
        <v>888</v>
      </c>
      <c r="J357" t="s">
        <v>889</v>
      </c>
      <c r="K357" t="s">
        <v>149</v>
      </c>
      <c r="L357" t="s">
        <v>2464</v>
      </c>
      <c r="M357" t="s">
        <v>891</v>
      </c>
      <c r="N357">
        <v>678</v>
      </c>
      <c r="O357" t="s">
        <v>892</v>
      </c>
      <c r="P357">
        <v>678</v>
      </c>
      <c r="Q357" t="s">
        <v>892</v>
      </c>
      <c r="R357" t="s">
        <v>893</v>
      </c>
      <c r="S357" t="s">
        <v>894</v>
      </c>
      <c r="T357" t="s">
        <v>44</v>
      </c>
      <c r="U357" t="s">
        <v>81</v>
      </c>
      <c r="AA357" t="s">
        <v>93</v>
      </c>
      <c r="AB357" t="s">
        <v>105</v>
      </c>
      <c r="AE357" t="s">
        <v>220</v>
      </c>
    </row>
    <row r="358" spans="1:33" x14ac:dyDescent="0.3">
      <c r="A358">
        <v>679</v>
      </c>
      <c r="B358" t="s">
        <v>2465</v>
      </c>
      <c r="C358" t="str">
        <f>""</f>
        <v/>
      </c>
      <c r="D358" t="str">
        <f>"540910J00"</f>
        <v>540910J00</v>
      </c>
      <c r="E358" s="1">
        <v>31021</v>
      </c>
      <c r="F358" t="s">
        <v>2466</v>
      </c>
      <c r="G358" t="e">
        <f>INDEX(#REF!,MATCH(P358,#REF!,0),1)</f>
        <v>#REF!</v>
      </c>
      <c r="H358" t="s">
        <v>2467</v>
      </c>
      <c r="J358" t="s">
        <v>2468</v>
      </c>
      <c r="K358" t="s">
        <v>149</v>
      </c>
      <c r="L358" t="s">
        <v>2469</v>
      </c>
      <c r="M358" t="s">
        <v>2470</v>
      </c>
      <c r="N358">
        <v>678</v>
      </c>
      <c r="O358" t="s">
        <v>892</v>
      </c>
      <c r="P358">
        <v>678</v>
      </c>
      <c r="Q358" t="s">
        <v>892</v>
      </c>
      <c r="R358" t="s">
        <v>893</v>
      </c>
      <c r="S358" t="s">
        <v>894</v>
      </c>
      <c r="T358" t="s">
        <v>44</v>
      </c>
      <c r="U358" t="s">
        <v>45</v>
      </c>
      <c r="AA358" t="s">
        <v>93</v>
      </c>
      <c r="AB358" t="s">
        <v>105</v>
      </c>
      <c r="AE358" t="s">
        <v>220</v>
      </c>
    </row>
    <row r="359" spans="1:33" x14ac:dyDescent="0.3">
      <c r="A359">
        <v>680</v>
      </c>
      <c r="B359" t="s">
        <v>2471</v>
      </c>
      <c r="C359" t="str">
        <f>"1100002154950"</f>
        <v>1100002154950</v>
      </c>
      <c r="D359" t="str">
        <f>"36VCN2500"</f>
        <v>36VCN2500</v>
      </c>
      <c r="E359" s="1">
        <v>31413</v>
      </c>
      <c r="F359" t="s">
        <v>2472</v>
      </c>
      <c r="G359" t="e">
        <f>INDEX(#REF!,MATCH(P359,#REF!,0),1)</f>
        <v>#REF!</v>
      </c>
      <c r="H359" t="s">
        <v>2473</v>
      </c>
      <c r="J359" t="s">
        <v>383</v>
      </c>
      <c r="K359" t="s">
        <v>384</v>
      </c>
      <c r="L359" t="s">
        <v>2474</v>
      </c>
      <c r="M359" t="s">
        <v>2475</v>
      </c>
      <c r="N359">
        <v>665</v>
      </c>
      <c r="O359" t="s">
        <v>387</v>
      </c>
      <c r="P359">
        <v>4070457</v>
      </c>
      <c r="Q359" t="s">
        <v>2476</v>
      </c>
      <c r="R359" t="s">
        <v>2477</v>
      </c>
      <c r="S359" t="s">
        <v>2478</v>
      </c>
      <c r="T359" t="s">
        <v>117</v>
      </c>
      <c r="U359" t="s">
        <v>2479</v>
      </c>
      <c r="V359" t="s">
        <v>1824</v>
      </c>
      <c r="AA359" t="s">
        <v>82</v>
      </c>
      <c r="AE359" t="s">
        <v>83</v>
      </c>
    </row>
    <row r="360" spans="1:33" x14ac:dyDescent="0.3">
      <c r="A360">
        <v>681</v>
      </c>
      <c r="B360" t="s">
        <v>2480</v>
      </c>
      <c r="C360" t="str">
        <f>"1100096030031"</f>
        <v>1100096030031</v>
      </c>
      <c r="D360" t="str">
        <f>"840200E00"</f>
        <v>840200E00</v>
      </c>
      <c r="E360" s="1">
        <v>41250</v>
      </c>
      <c r="F360" t="s">
        <v>2481</v>
      </c>
      <c r="G360" t="e">
        <f>INDEX(#REF!,MATCH(P360,#REF!,0),1)</f>
        <v>#REF!</v>
      </c>
      <c r="H360" t="s">
        <v>2482</v>
      </c>
      <c r="J360" t="s">
        <v>2483</v>
      </c>
      <c r="K360" t="s">
        <v>225</v>
      </c>
      <c r="L360" t="s">
        <v>2484</v>
      </c>
      <c r="M360" t="s">
        <v>2485</v>
      </c>
      <c r="N360">
        <v>3037807</v>
      </c>
      <c r="O360" t="s">
        <v>813</v>
      </c>
      <c r="P360">
        <v>40302</v>
      </c>
      <c r="Q360" t="s">
        <v>2486</v>
      </c>
      <c r="R360" t="s">
        <v>196</v>
      </c>
      <c r="S360" t="s">
        <v>197</v>
      </c>
      <c r="T360" t="s">
        <v>44</v>
      </c>
      <c r="U360" t="s">
        <v>45</v>
      </c>
      <c r="AA360" t="s">
        <v>328</v>
      </c>
      <c r="AG360" t="s">
        <v>48</v>
      </c>
    </row>
    <row r="361" spans="1:33" x14ac:dyDescent="0.3">
      <c r="A361">
        <v>682</v>
      </c>
      <c r="B361" t="s">
        <v>2487</v>
      </c>
      <c r="C361" t="str">
        <f>""</f>
        <v/>
      </c>
      <c r="D361" t="str">
        <f>"141150C00"</f>
        <v>141150C00</v>
      </c>
      <c r="E361" s="1">
        <v>31667</v>
      </c>
      <c r="F361" t="s">
        <v>2488</v>
      </c>
      <c r="G361" t="e">
        <f>INDEX(#REF!,MATCH(P361,#REF!,0),1)</f>
        <v>#REF!</v>
      </c>
      <c r="H361" t="s">
        <v>2489</v>
      </c>
      <c r="J361" t="s">
        <v>2490</v>
      </c>
      <c r="K361" t="s">
        <v>2004</v>
      </c>
      <c r="L361" t="str">
        <f>"02462"</f>
        <v>02462</v>
      </c>
      <c r="M361" t="s">
        <v>2491</v>
      </c>
      <c r="N361">
        <v>2598</v>
      </c>
      <c r="O361" t="s">
        <v>2136</v>
      </c>
      <c r="P361">
        <v>2598</v>
      </c>
      <c r="Q361" t="s">
        <v>2136</v>
      </c>
      <c r="R361" t="s">
        <v>2492</v>
      </c>
      <c r="S361" t="s">
        <v>2493</v>
      </c>
      <c r="T361" t="s">
        <v>44</v>
      </c>
      <c r="U361" t="s">
        <v>45</v>
      </c>
      <c r="AE361" t="s">
        <v>72</v>
      </c>
      <c r="AG361" t="s">
        <v>48</v>
      </c>
    </row>
    <row r="362" spans="1:33" x14ac:dyDescent="0.3">
      <c r="A362">
        <v>683</v>
      </c>
      <c r="B362" t="s">
        <v>2494</v>
      </c>
      <c r="C362" t="str">
        <f>""</f>
        <v/>
      </c>
      <c r="D362" t="str">
        <f>"140870K00"</f>
        <v>140870K00</v>
      </c>
      <c r="E362" s="1">
        <v>42598</v>
      </c>
      <c r="F362" t="s">
        <v>2495</v>
      </c>
      <c r="G362" t="e">
        <f>INDEX(#REF!,MATCH(P362,#REF!,0),1)</f>
        <v>#REF!</v>
      </c>
      <c r="H362" t="s">
        <v>2496</v>
      </c>
      <c r="J362" t="s">
        <v>2497</v>
      </c>
      <c r="K362" t="s">
        <v>2004</v>
      </c>
      <c r="L362" t="str">
        <f>"01841-2961"</f>
        <v>01841-2961</v>
      </c>
      <c r="M362" t="s">
        <v>2498</v>
      </c>
      <c r="N362">
        <v>683</v>
      </c>
      <c r="O362" t="s">
        <v>2495</v>
      </c>
      <c r="P362">
        <v>683</v>
      </c>
      <c r="Q362" t="s">
        <v>2495</v>
      </c>
      <c r="R362" t="s">
        <v>658</v>
      </c>
      <c r="S362" t="s">
        <v>659</v>
      </c>
      <c r="T362" t="s">
        <v>44</v>
      </c>
      <c r="U362" t="s">
        <v>45</v>
      </c>
      <c r="AA362" t="s">
        <v>119</v>
      </c>
      <c r="AE362" t="s">
        <v>120</v>
      </c>
    </row>
    <row r="363" spans="1:33" x14ac:dyDescent="0.3">
      <c r="A363">
        <v>684</v>
      </c>
      <c r="B363" t="s">
        <v>2499</v>
      </c>
      <c r="C363" t="str">
        <f>""</f>
        <v/>
      </c>
      <c r="D363" t="str">
        <f>"381020E00"</f>
        <v>381020E00</v>
      </c>
      <c r="E363" s="1">
        <v>42430</v>
      </c>
      <c r="F363" t="s">
        <v>2500</v>
      </c>
      <c r="G363" t="e">
        <f>INDEX(#REF!,MATCH(P363,#REF!,0),1)</f>
        <v>#REF!</v>
      </c>
      <c r="H363" t="s">
        <v>2501</v>
      </c>
      <c r="J363" t="s">
        <v>2502</v>
      </c>
      <c r="K363" t="s">
        <v>99</v>
      </c>
      <c r="L363">
        <v>30344</v>
      </c>
      <c r="M363" t="s">
        <v>2503</v>
      </c>
      <c r="N363">
        <v>43807</v>
      </c>
      <c r="O363" t="s">
        <v>1798</v>
      </c>
      <c r="P363">
        <v>43807</v>
      </c>
      <c r="Q363" t="s">
        <v>1798</v>
      </c>
      <c r="R363" t="s">
        <v>1799</v>
      </c>
      <c r="S363" t="s">
        <v>1800</v>
      </c>
      <c r="T363" t="s">
        <v>44</v>
      </c>
      <c r="U363" t="s">
        <v>45</v>
      </c>
      <c r="AA363" t="s">
        <v>105</v>
      </c>
      <c r="AE363" t="s">
        <v>106</v>
      </c>
    </row>
    <row r="364" spans="1:33" x14ac:dyDescent="0.3">
      <c r="A364">
        <v>686</v>
      </c>
      <c r="B364" t="s">
        <v>2504</v>
      </c>
      <c r="C364" t="str">
        <f>""</f>
        <v/>
      </c>
      <c r="D364" t="str">
        <f>"150120900"</f>
        <v>150120900</v>
      </c>
      <c r="E364" s="1">
        <v>31665</v>
      </c>
      <c r="F364" t="s">
        <v>2505</v>
      </c>
      <c r="G364" t="e">
        <f>INDEX(#REF!,MATCH(P364,#REF!,0),1)</f>
        <v>#REF!</v>
      </c>
      <c r="H364" t="s">
        <v>2506</v>
      </c>
      <c r="J364" t="s">
        <v>1465</v>
      </c>
      <c r="K364" t="s">
        <v>2507</v>
      </c>
      <c r="L364" t="str">
        <f>"02903-4923"</f>
        <v>02903-4923</v>
      </c>
      <c r="M364" t="s">
        <v>2508</v>
      </c>
      <c r="N364">
        <v>30853</v>
      </c>
      <c r="O364" t="s">
        <v>2509</v>
      </c>
      <c r="P364">
        <v>30853</v>
      </c>
      <c r="Q364" t="s">
        <v>2509</v>
      </c>
      <c r="R364" t="s">
        <v>658</v>
      </c>
      <c r="S364" t="s">
        <v>659</v>
      </c>
      <c r="T364" t="s">
        <v>44</v>
      </c>
      <c r="U364" t="s">
        <v>45</v>
      </c>
      <c r="AA364" t="s">
        <v>119</v>
      </c>
      <c r="AE364" t="s">
        <v>60</v>
      </c>
      <c r="AG364" t="s">
        <v>48</v>
      </c>
    </row>
    <row r="365" spans="1:33" x14ac:dyDescent="0.3">
      <c r="A365">
        <v>687</v>
      </c>
      <c r="B365" t="s">
        <v>2510</v>
      </c>
      <c r="C365" t="str">
        <f>""</f>
        <v/>
      </c>
      <c r="D365" t="str">
        <f>"830270K00"</f>
        <v>830270K00</v>
      </c>
      <c r="E365" s="1">
        <v>31686</v>
      </c>
      <c r="F365" t="s">
        <v>2511</v>
      </c>
      <c r="G365" t="e">
        <f>INDEX(#REF!,MATCH(P365,#REF!,0),1)</f>
        <v>#REF!</v>
      </c>
      <c r="H365" t="s">
        <v>2512</v>
      </c>
      <c r="J365" t="s">
        <v>2513</v>
      </c>
      <c r="K365" t="s">
        <v>1275</v>
      </c>
      <c r="L365" t="s">
        <v>2514</v>
      </c>
      <c r="M365" t="s">
        <v>2515</v>
      </c>
      <c r="N365">
        <v>687</v>
      </c>
      <c r="O365" t="s">
        <v>2511</v>
      </c>
      <c r="P365">
        <v>687</v>
      </c>
      <c r="Q365" t="s">
        <v>2511</v>
      </c>
      <c r="R365" t="s">
        <v>325</v>
      </c>
      <c r="S365" t="s">
        <v>326</v>
      </c>
      <c r="T365" t="s">
        <v>44</v>
      </c>
      <c r="U365" t="s">
        <v>45</v>
      </c>
      <c r="AA365" t="s">
        <v>328</v>
      </c>
      <c r="AE365" t="s">
        <v>144</v>
      </c>
    </row>
    <row r="366" spans="1:33" x14ac:dyDescent="0.3">
      <c r="A366">
        <v>688</v>
      </c>
      <c r="B366" t="s">
        <v>2516</v>
      </c>
      <c r="C366" t="str">
        <f>"1100007081596"</f>
        <v>1100007081596</v>
      </c>
      <c r="D366" t="str">
        <f>""</f>
        <v/>
      </c>
      <c r="E366" s="1">
        <v>42583</v>
      </c>
      <c r="F366" t="s">
        <v>2517</v>
      </c>
      <c r="G366" t="e">
        <f>INDEX(#REF!,MATCH(P366,#REF!,0),1)</f>
        <v>#REF!</v>
      </c>
      <c r="H366" t="s">
        <v>2518</v>
      </c>
      <c r="J366" t="s">
        <v>2519</v>
      </c>
      <c r="K366" t="s">
        <v>65</v>
      </c>
      <c r="L366" t="s">
        <v>2520</v>
      </c>
      <c r="M366" t="s">
        <v>2521</v>
      </c>
      <c r="N366">
        <v>2472612</v>
      </c>
      <c r="O366" t="s">
        <v>2340</v>
      </c>
      <c r="P366">
        <v>31304</v>
      </c>
      <c r="Q366" t="s">
        <v>2522</v>
      </c>
      <c r="R366" t="s">
        <v>2523</v>
      </c>
      <c r="S366" t="s">
        <v>2524</v>
      </c>
      <c r="T366" t="s">
        <v>44</v>
      </c>
      <c r="U366" t="s">
        <v>45</v>
      </c>
      <c r="Y366" t="s">
        <v>46</v>
      </c>
      <c r="Z366" s="1">
        <v>44621</v>
      </c>
    </row>
    <row r="367" spans="1:33" x14ac:dyDescent="0.3">
      <c r="A367">
        <v>693</v>
      </c>
      <c r="B367" t="s">
        <v>2525</v>
      </c>
      <c r="C367" t="str">
        <f>""</f>
        <v/>
      </c>
      <c r="D367" t="str">
        <f>"710890P00"</f>
        <v>710890P00</v>
      </c>
      <c r="E367" s="1">
        <v>43273</v>
      </c>
      <c r="F367" t="s">
        <v>2526</v>
      </c>
      <c r="G367" t="e">
        <f>INDEX(#REF!,MATCH(P367,#REF!,0),1)</f>
        <v>#REF!</v>
      </c>
      <c r="H367" t="s">
        <v>2527</v>
      </c>
      <c r="J367" t="s">
        <v>2528</v>
      </c>
      <c r="K367" t="s">
        <v>111</v>
      </c>
      <c r="L367" t="s">
        <v>2529</v>
      </c>
      <c r="M367" t="s">
        <v>2530</v>
      </c>
      <c r="N367">
        <v>174</v>
      </c>
      <c r="O367" t="s">
        <v>694</v>
      </c>
      <c r="P367">
        <v>174</v>
      </c>
      <c r="Q367" t="s">
        <v>694</v>
      </c>
      <c r="R367" t="s">
        <v>115</v>
      </c>
      <c r="S367" t="s">
        <v>116</v>
      </c>
      <c r="T367" t="s">
        <v>44</v>
      </c>
      <c r="U367" t="s">
        <v>45</v>
      </c>
      <c r="AA367" t="s">
        <v>119</v>
      </c>
      <c r="AE367" t="s">
        <v>120</v>
      </c>
    </row>
    <row r="368" spans="1:33" x14ac:dyDescent="0.3">
      <c r="A368">
        <v>695</v>
      </c>
      <c r="B368" t="s">
        <v>2531</v>
      </c>
      <c r="C368" t="str">
        <f>"1100005254992"</f>
        <v>1100005254992</v>
      </c>
      <c r="D368" t="str">
        <f>"920490O00"</f>
        <v>920490O00</v>
      </c>
      <c r="E368" s="1">
        <v>31686</v>
      </c>
      <c r="F368" t="s">
        <v>2532</v>
      </c>
      <c r="G368" t="e">
        <f>INDEX(#REF!,MATCH(P368,#REF!,0),1)</f>
        <v>#REF!</v>
      </c>
      <c r="H368" t="s">
        <v>2533</v>
      </c>
      <c r="J368" t="s">
        <v>2534</v>
      </c>
      <c r="K368" t="s">
        <v>1840</v>
      </c>
      <c r="L368" t="s">
        <v>2535</v>
      </c>
      <c r="M368" t="s">
        <v>2536</v>
      </c>
      <c r="N368">
        <v>43193</v>
      </c>
      <c r="O368" t="s">
        <v>1465</v>
      </c>
      <c r="P368">
        <v>717194</v>
      </c>
      <c r="Q368" t="s">
        <v>2537</v>
      </c>
      <c r="R368" t="s">
        <v>1467</v>
      </c>
      <c r="S368" t="s">
        <v>1468</v>
      </c>
      <c r="T368" t="s">
        <v>44</v>
      </c>
      <c r="U368" t="s">
        <v>45</v>
      </c>
      <c r="AA368" t="s">
        <v>1031</v>
      </c>
      <c r="AE368" t="s">
        <v>72</v>
      </c>
    </row>
    <row r="369" spans="1:33" x14ac:dyDescent="0.3">
      <c r="A369">
        <v>696</v>
      </c>
      <c r="B369" t="s">
        <v>2538</v>
      </c>
      <c r="C369" t="str">
        <f>""</f>
        <v/>
      </c>
      <c r="D369" t="str">
        <f>"451720J00"</f>
        <v>451720J00</v>
      </c>
      <c r="E369" s="1">
        <v>31686</v>
      </c>
      <c r="F369" t="s">
        <v>2539</v>
      </c>
      <c r="G369" t="e">
        <f>INDEX(#REF!,MATCH(P369,#REF!,0),1)</f>
        <v>#REF!</v>
      </c>
      <c r="H369" t="s">
        <v>2540</v>
      </c>
      <c r="J369" t="s">
        <v>2541</v>
      </c>
      <c r="K369" t="s">
        <v>208</v>
      </c>
      <c r="L369" t="s">
        <v>2542</v>
      </c>
      <c r="M369" t="s">
        <v>2543</v>
      </c>
      <c r="N369">
        <v>4214155</v>
      </c>
      <c r="O369" t="s">
        <v>2198</v>
      </c>
      <c r="P369">
        <v>909</v>
      </c>
      <c r="Q369" t="s">
        <v>2199</v>
      </c>
      <c r="R369" t="s">
        <v>419</v>
      </c>
      <c r="S369" t="s">
        <v>420</v>
      </c>
      <c r="T369" t="s">
        <v>44</v>
      </c>
      <c r="U369" t="s">
        <v>45</v>
      </c>
      <c r="AA369" t="s">
        <v>119</v>
      </c>
      <c r="AE369" t="s">
        <v>120</v>
      </c>
    </row>
    <row r="370" spans="1:33" x14ac:dyDescent="0.3">
      <c r="A370">
        <v>697</v>
      </c>
      <c r="B370" t="s">
        <v>2544</v>
      </c>
      <c r="C370" t="str">
        <f>""</f>
        <v/>
      </c>
      <c r="D370" t="str">
        <f>"611430F00"</f>
        <v>611430F00</v>
      </c>
      <c r="E370" s="1">
        <v>31686</v>
      </c>
      <c r="F370" t="s">
        <v>2545</v>
      </c>
      <c r="G370" t="e">
        <f>INDEX(#REF!,MATCH(P370,#REF!,0),1)</f>
        <v>#REF!</v>
      </c>
      <c r="H370" t="s">
        <v>2546</v>
      </c>
      <c r="J370" t="s">
        <v>2547</v>
      </c>
      <c r="K370" t="s">
        <v>283</v>
      </c>
      <c r="L370" t="s">
        <v>2548</v>
      </c>
      <c r="M370" t="s">
        <v>2549</v>
      </c>
      <c r="N370">
        <v>4214155</v>
      </c>
      <c r="O370" t="s">
        <v>2198</v>
      </c>
      <c r="P370">
        <v>909</v>
      </c>
      <c r="Q370" t="s">
        <v>2199</v>
      </c>
      <c r="R370" t="s">
        <v>2550</v>
      </c>
      <c r="S370" t="s">
        <v>2551</v>
      </c>
      <c r="T370" t="s">
        <v>2214</v>
      </c>
      <c r="U370" t="s">
        <v>2552</v>
      </c>
      <c r="V370" t="s">
        <v>1824</v>
      </c>
      <c r="AA370" t="s">
        <v>119</v>
      </c>
      <c r="AE370" t="s">
        <v>120</v>
      </c>
    </row>
    <row r="371" spans="1:33" x14ac:dyDescent="0.3">
      <c r="A371">
        <v>698</v>
      </c>
      <c r="B371" t="s">
        <v>2553</v>
      </c>
      <c r="C371" t="str">
        <f>""</f>
        <v/>
      </c>
      <c r="D371" t="str">
        <f>"212180E00"</f>
        <v>212180E00</v>
      </c>
      <c r="E371" s="1">
        <v>31714</v>
      </c>
      <c r="F371" t="s">
        <v>2554</v>
      </c>
      <c r="G371" t="e">
        <f>INDEX(#REF!,MATCH(P371,#REF!,0),1)</f>
        <v>#REF!</v>
      </c>
      <c r="H371" t="s">
        <v>2555</v>
      </c>
      <c r="J371" t="s">
        <v>2556</v>
      </c>
      <c r="K371" t="s">
        <v>2244</v>
      </c>
      <c r="L371" t="s">
        <v>2557</v>
      </c>
      <c r="M371" t="s">
        <v>2558</v>
      </c>
      <c r="N371">
        <v>84583</v>
      </c>
      <c r="O371" t="s">
        <v>2559</v>
      </c>
      <c r="P371">
        <v>84583</v>
      </c>
      <c r="Q371" t="s">
        <v>2559</v>
      </c>
      <c r="R371" t="s">
        <v>2560</v>
      </c>
      <c r="S371" t="s">
        <v>2561</v>
      </c>
      <c r="T371" t="s">
        <v>44</v>
      </c>
      <c r="U371" t="s">
        <v>45</v>
      </c>
      <c r="AE371" t="s">
        <v>72</v>
      </c>
      <c r="AG371" t="s">
        <v>48</v>
      </c>
    </row>
    <row r="372" spans="1:33" x14ac:dyDescent="0.3">
      <c r="A372">
        <v>699</v>
      </c>
      <c r="B372" t="s">
        <v>2562</v>
      </c>
      <c r="C372" t="str">
        <f>""</f>
        <v/>
      </c>
      <c r="D372" t="str">
        <f>"212260D00"</f>
        <v>212260D00</v>
      </c>
      <c r="E372" s="1">
        <v>31714</v>
      </c>
      <c r="F372" t="s">
        <v>2563</v>
      </c>
      <c r="G372" t="e">
        <f>INDEX(#REF!,MATCH(P372,#REF!,0),1)</f>
        <v>#REF!</v>
      </c>
      <c r="H372" t="s">
        <v>2564</v>
      </c>
      <c r="J372" t="s">
        <v>2556</v>
      </c>
      <c r="K372" t="s">
        <v>2244</v>
      </c>
      <c r="L372" t="s">
        <v>2565</v>
      </c>
      <c r="M372" t="s">
        <v>2566</v>
      </c>
      <c r="N372">
        <v>84583</v>
      </c>
      <c r="O372" t="s">
        <v>2559</v>
      </c>
      <c r="P372">
        <v>84583</v>
      </c>
      <c r="Q372" t="s">
        <v>2559</v>
      </c>
      <c r="R372" t="s">
        <v>2560</v>
      </c>
      <c r="S372" t="s">
        <v>2561</v>
      </c>
      <c r="T372" t="s">
        <v>44</v>
      </c>
      <c r="U372" t="s">
        <v>45</v>
      </c>
      <c r="AE372" t="s">
        <v>72</v>
      </c>
      <c r="AG372" t="s">
        <v>48</v>
      </c>
    </row>
    <row r="373" spans="1:33" x14ac:dyDescent="0.3">
      <c r="A373">
        <v>701</v>
      </c>
      <c r="B373" t="s">
        <v>2567</v>
      </c>
      <c r="C373" t="str">
        <f>"1100004595416"</f>
        <v>1100004595416</v>
      </c>
      <c r="D373" t="str">
        <f>"213210900"</f>
        <v>213210900</v>
      </c>
      <c r="E373" s="1">
        <v>42583</v>
      </c>
      <c r="F373" t="s">
        <v>2568</v>
      </c>
      <c r="G373" t="e">
        <f>INDEX(#REF!,MATCH(P373,#REF!,0),1)</f>
        <v>#REF!</v>
      </c>
      <c r="H373" t="s">
        <v>2569</v>
      </c>
      <c r="J373" t="s">
        <v>881</v>
      </c>
      <c r="K373" t="s">
        <v>2244</v>
      </c>
      <c r="L373">
        <v>12180</v>
      </c>
      <c r="M373" t="s">
        <v>2570</v>
      </c>
      <c r="N373">
        <v>72033</v>
      </c>
      <c r="O373" t="s">
        <v>2571</v>
      </c>
      <c r="P373">
        <v>72033</v>
      </c>
      <c r="Q373" t="s">
        <v>2571</v>
      </c>
      <c r="R373" t="s">
        <v>245</v>
      </c>
      <c r="S373" t="s">
        <v>246</v>
      </c>
      <c r="T373" t="s">
        <v>44</v>
      </c>
      <c r="U373" t="s">
        <v>45</v>
      </c>
    </row>
    <row r="374" spans="1:33" x14ac:dyDescent="0.3">
      <c r="A374">
        <v>704</v>
      </c>
      <c r="B374" t="s">
        <v>2572</v>
      </c>
      <c r="C374" t="str">
        <f>""</f>
        <v/>
      </c>
      <c r="D374" t="str">
        <f>"421450G00"</f>
        <v>421450G00</v>
      </c>
      <c r="E374" s="1">
        <v>42583</v>
      </c>
      <c r="F374" t="s">
        <v>2573</v>
      </c>
      <c r="G374" t="e">
        <f>INDEX(#REF!,MATCH(P374,#REF!,0),1)</f>
        <v>#REF!</v>
      </c>
      <c r="H374" t="s">
        <v>2574</v>
      </c>
      <c r="J374" t="s">
        <v>2575</v>
      </c>
      <c r="K374" t="s">
        <v>307</v>
      </c>
      <c r="L374" t="s">
        <v>2576</v>
      </c>
      <c r="M374" t="s">
        <v>2577</v>
      </c>
      <c r="N374">
        <v>704</v>
      </c>
      <c r="O374" t="s">
        <v>2573</v>
      </c>
      <c r="P374">
        <v>704</v>
      </c>
      <c r="Q374" t="s">
        <v>2573</v>
      </c>
      <c r="R374" t="s">
        <v>492</v>
      </c>
      <c r="S374" t="s">
        <v>493</v>
      </c>
      <c r="T374" t="s">
        <v>44</v>
      </c>
      <c r="U374" t="s">
        <v>45</v>
      </c>
    </row>
    <row r="375" spans="1:33" x14ac:dyDescent="0.3">
      <c r="A375">
        <v>705</v>
      </c>
      <c r="B375" t="s">
        <v>2578</v>
      </c>
      <c r="C375" t="str">
        <f>"1100005003576"</f>
        <v>1100005003576</v>
      </c>
      <c r="D375" t="str">
        <f>"420420C00"</f>
        <v>420420C00</v>
      </c>
      <c r="E375" s="1">
        <v>31721</v>
      </c>
      <c r="F375" t="s">
        <v>2579</v>
      </c>
      <c r="G375" t="e">
        <f>INDEX(#REF!,MATCH(P375,#REF!,0),1)</f>
        <v>#REF!</v>
      </c>
      <c r="H375" t="s">
        <v>2580</v>
      </c>
      <c r="J375" t="s">
        <v>2581</v>
      </c>
      <c r="K375" t="s">
        <v>307</v>
      </c>
      <c r="L375" t="s">
        <v>2582</v>
      </c>
      <c r="M375" t="s">
        <v>2583</v>
      </c>
      <c r="N375">
        <v>3087</v>
      </c>
      <c r="O375" t="s">
        <v>491</v>
      </c>
      <c r="P375">
        <v>3087</v>
      </c>
      <c r="Q375" t="s">
        <v>491</v>
      </c>
      <c r="R375" t="s">
        <v>335</v>
      </c>
      <c r="S375" t="s">
        <v>336</v>
      </c>
      <c r="T375" t="s">
        <v>44</v>
      </c>
      <c r="U375" t="s">
        <v>45</v>
      </c>
      <c r="AA375" t="s">
        <v>328</v>
      </c>
      <c r="AE375" t="s">
        <v>269</v>
      </c>
    </row>
    <row r="376" spans="1:33" x14ac:dyDescent="0.3">
      <c r="A376">
        <v>707</v>
      </c>
      <c r="B376" t="s">
        <v>2584</v>
      </c>
      <c r="C376" t="str">
        <f>""</f>
        <v/>
      </c>
      <c r="D376" t="str">
        <f>"220720D00"</f>
        <v>220720D00</v>
      </c>
      <c r="E376" s="1">
        <v>42583</v>
      </c>
      <c r="F376" t="s">
        <v>2585</v>
      </c>
      <c r="G376" t="e">
        <f>INDEX(#REF!,MATCH(P376,#REF!,0),1)</f>
        <v>#REF!</v>
      </c>
      <c r="H376" t="s">
        <v>2586</v>
      </c>
      <c r="J376" t="s">
        <v>2587</v>
      </c>
      <c r="K376" t="s">
        <v>251</v>
      </c>
      <c r="L376" t="str">
        <f>"07753"</f>
        <v>07753</v>
      </c>
      <c r="M376" t="s">
        <v>2588</v>
      </c>
      <c r="N376">
        <v>35683</v>
      </c>
      <c r="O376" t="s">
        <v>931</v>
      </c>
      <c r="P376">
        <v>35683</v>
      </c>
      <c r="Q376" t="s">
        <v>931</v>
      </c>
      <c r="R376" t="s">
        <v>254</v>
      </c>
      <c r="S376" t="s">
        <v>255</v>
      </c>
      <c r="T376" t="s">
        <v>44</v>
      </c>
      <c r="U376" t="s">
        <v>45</v>
      </c>
    </row>
    <row r="377" spans="1:33" x14ac:dyDescent="0.3">
      <c r="A377">
        <v>708</v>
      </c>
      <c r="B377" t="s">
        <v>2589</v>
      </c>
      <c r="C377" t="str">
        <f>""</f>
        <v/>
      </c>
      <c r="D377" t="str">
        <f>"421460H00"</f>
        <v>421460H00</v>
      </c>
      <c r="E377" s="1">
        <v>31845</v>
      </c>
      <c r="F377" t="s">
        <v>2590</v>
      </c>
      <c r="G377" t="e">
        <f>INDEX(#REF!,MATCH(P377,#REF!,0),1)</f>
        <v>#REF!</v>
      </c>
      <c r="H377" t="s">
        <v>2591</v>
      </c>
      <c r="J377" t="s">
        <v>2592</v>
      </c>
      <c r="K377" t="s">
        <v>307</v>
      </c>
      <c r="L377" t="s">
        <v>2593</v>
      </c>
      <c r="M377" t="s">
        <v>2594</v>
      </c>
      <c r="N377">
        <v>708</v>
      </c>
      <c r="O377" t="s">
        <v>2590</v>
      </c>
      <c r="P377">
        <v>708</v>
      </c>
      <c r="Q377" t="s">
        <v>2590</v>
      </c>
      <c r="R377" t="s">
        <v>465</v>
      </c>
      <c r="S377" t="s">
        <v>466</v>
      </c>
      <c r="T377" t="s">
        <v>44</v>
      </c>
      <c r="U377" t="s">
        <v>45</v>
      </c>
      <c r="Y377" t="s">
        <v>46</v>
      </c>
      <c r="Z377" s="1">
        <v>42522</v>
      </c>
      <c r="AE377" t="s">
        <v>47</v>
      </c>
    </row>
    <row r="378" spans="1:33" x14ac:dyDescent="0.3">
      <c r="A378">
        <v>710</v>
      </c>
      <c r="B378" t="s">
        <v>2595</v>
      </c>
      <c r="C378" t="str">
        <f>""</f>
        <v/>
      </c>
      <c r="D378" t="str">
        <f>"441110B00"</f>
        <v>441110B00</v>
      </c>
      <c r="E378" s="1">
        <v>31721</v>
      </c>
      <c r="F378" t="s">
        <v>2596</v>
      </c>
      <c r="G378" t="e">
        <f>INDEX(#REF!,MATCH(P378,#REF!,0),1)</f>
        <v>#REF!</v>
      </c>
      <c r="H378" t="s">
        <v>2597</v>
      </c>
      <c r="J378" t="s">
        <v>2598</v>
      </c>
      <c r="K378" t="s">
        <v>261</v>
      </c>
      <c r="L378" t="s">
        <v>2599</v>
      </c>
      <c r="M378" t="s">
        <v>2600</v>
      </c>
      <c r="N378">
        <v>710</v>
      </c>
      <c r="O378" t="s">
        <v>2596</v>
      </c>
      <c r="P378">
        <v>710</v>
      </c>
      <c r="Q378" t="s">
        <v>2596</v>
      </c>
      <c r="R378" t="s">
        <v>465</v>
      </c>
      <c r="S378" t="s">
        <v>466</v>
      </c>
      <c r="T378" t="s">
        <v>44</v>
      </c>
      <c r="U378" t="s">
        <v>45</v>
      </c>
      <c r="AA378" t="s">
        <v>337</v>
      </c>
      <c r="AC378" t="s">
        <v>268</v>
      </c>
      <c r="AD378" t="s">
        <v>94</v>
      </c>
      <c r="AE378" t="s">
        <v>404</v>
      </c>
    </row>
    <row r="379" spans="1:33" x14ac:dyDescent="0.3">
      <c r="A379">
        <v>712</v>
      </c>
      <c r="B379" t="s">
        <v>2601</v>
      </c>
      <c r="C379" t="str">
        <f>""</f>
        <v/>
      </c>
      <c r="D379" t="str">
        <f>"711050E00"</f>
        <v>711050E00</v>
      </c>
      <c r="E379" s="1">
        <v>39741</v>
      </c>
      <c r="F379" t="s">
        <v>2602</v>
      </c>
      <c r="G379" t="e">
        <f>INDEX(#REF!,MATCH(P379,#REF!,0),1)</f>
        <v>#REF!</v>
      </c>
      <c r="H379" t="s">
        <v>2603</v>
      </c>
      <c r="J379" t="s">
        <v>2604</v>
      </c>
      <c r="K379" t="s">
        <v>111</v>
      </c>
      <c r="L379" t="s">
        <v>2605</v>
      </c>
      <c r="M379" t="s">
        <v>2606</v>
      </c>
      <c r="N379">
        <v>28</v>
      </c>
      <c r="O379" t="s">
        <v>114</v>
      </c>
      <c r="P379">
        <v>28</v>
      </c>
      <c r="Q379" t="s">
        <v>114</v>
      </c>
      <c r="R379" t="s">
        <v>115</v>
      </c>
      <c r="S379" t="s">
        <v>116</v>
      </c>
      <c r="T379" t="s">
        <v>44</v>
      </c>
      <c r="U379" t="s">
        <v>45</v>
      </c>
      <c r="AA379" t="s">
        <v>119</v>
      </c>
      <c r="AE379" t="s">
        <v>120</v>
      </c>
    </row>
    <row r="380" spans="1:33" x14ac:dyDescent="0.3">
      <c r="A380">
        <v>714</v>
      </c>
      <c r="B380" t="s">
        <v>2607</v>
      </c>
      <c r="C380" t="str">
        <f>""</f>
        <v/>
      </c>
      <c r="D380" t="str">
        <f>"392150K00"</f>
        <v>392150K00</v>
      </c>
      <c r="E380" s="1">
        <v>31721</v>
      </c>
      <c r="F380" t="s">
        <v>2608</v>
      </c>
      <c r="G380" t="e">
        <f>INDEX(#REF!,MATCH(P380,#REF!,0),1)</f>
        <v>#REF!</v>
      </c>
      <c r="H380" t="s">
        <v>2609</v>
      </c>
      <c r="J380" t="s">
        <v>770</v>
      </c>
      <c r="K380" t="s">
        <v>167</v>
      </c>
      <c r="L380" t="s">
        <v>2610</v>
      </c>
      <c r="M380" t="s">
        <v>2611</v>
      </c>
      <c r="N380">
        <v>37497</v>
      </c>
      <c r="O380" t="s">
        <v>128</v>
      </c>
      <c r="P380">
        <v>192</v>
      </c>
      <c r="Q380" t="s">
        <v>768</v>
      </c>
      <c r="R380" t="s">
        <v>129</v>
      </c>
      <c r="S380" t="s">
        <v>130</v>
      </c>
      <c r="T380" t="s">
        <v>44</v>
      </c>
      <c r="U380" t="s">
        <v>45</v>
      </c>
    </row>
    <row r="381" spans="1:33" x14ac:dyDescent="0.3">
      <c r="A381">
        <v>715</v>
      </c>
      <c r="B381" t="s">
        <v>2612</v>
      </c>
      <c r="C381" t="str">
        <f>"1100002699024"</f>
        <v>1100002699024</v>
      </c>
      <c r="D381" t="str">
        <f>""</f>
        <v/>
      </c>
      <c r="E381" s="1">
        <v>44409</v>
      </c>
      <c r="F381" t="s">
        <v>2613</v>
      </c>
      <c r="G381" t="e">
        <f>INDEX(#REF!,MATCH(P381,#REF!,0),1)</f>
        <v>#REF!</v>
      </c>
      <c r="H381" t="s">
        <v>2614</v>
      </c>
      <c r="J381" t="s">
        <v>2615</v>
      </c>
      <c r="K381" t="s">
        <v>2127</v>
      </c>
      <c r="L381" t="s">
        <v>2616</v>
      </c>
      <c r="M381" t="s">
        <v>2617</v>
      </c>
      <c r="N381">
        <v>715</v>
      </c>
      <c r="O381" t="s">
        <v>2613</v>
      </c>
      <c r="P381">
        <v>715</v>
      </c>
      <c r="Q381" t="s">
        <v>2613</v>
      </c>
      <c r="R381" t="s">
        <v>245</v>
      </c>
      <c r="S381" t="s">
        <v>246</v>
      </c>
      <c r="T381" t="s">
        <v>44</v>
      </c>
      <c r="U381" t="s">
        <v>45</v>
      </c>
    </row>
    <row r="382" spans="1:33" x14ac:dyDescent="0.3">
      <c r="A382">
        <v>719</v>
      </c>
      <c r="B382" t="s">
        <v>2618</v>
      </c>
      <c r="C382" t="str">
        <f>"1100006445023"</f>
        <v>1100006445023</v>
      </c>
      <c r="D382" t="str">
        <f>"430250E00"</f>
        <v>430250E00</v>
      </c>
      <c r="E382" s="1">
        <v>31293</v>
      </c>
      <c r="F382" t="s">
        <v>2619</v>
      </c>
      <c r="G382" t="e">
        <f>INDEX(#REF!,MATCH(P382,#REF!,0),1)</f>
        <v>#REF!</v>
      </c>
      <c r="H382" t="s">
        <v>2620</v>
      </c>
      <c r="J382" t="s">
        <v>452</v>
      </c>
      <c r="K382" t="s">
        <v>342</v>
      </c>
      <c r="L382" t="s">
        <v>2621</v>
      </c>
      <c r="M382" t="s">
        <v>2622</v>
      </c>
      <c r="N382">
        <v>108</v>
      </c>
      <c r="O382" t="s">
        <v>450</v>
      </c>
      <c r="P382">
        <v>108</v>
      </c>
      <c r="Q382" t="s">
        <v>450</v>
      </c>
      <c r="R382" t="s">
        <v>346</v>
      </c>
      <c r="S382" t="s">
        <v>347</v>
      </c>
      <c r="T382" t="s">
        <v>44</v>
      </c>
      <c r="U382" t="s">
        <v>45</v>
      </c>
      <c r="AA382" t="s">
        <v>105</v>
      </c>
      <c r="AE382" t="s">
        <v>348</v>
      </c>
    </row>
    <row r="383" spans="1:33" x14ac:dyDescent="0.3">
      <c r="A383">
        <v>723</v>
      </c>
      <c r="B383" t="s">
        <v>2623</v>
      </c>
      <c r="C383" t="str">
        <f>"1100004669858"</f>
        <v>1100004669858</v>
      </c>
      <c r="D383" t="str">
        <f>"210360C00"</f>
        <v>210360C00</v>
      </c>
      <c r="E383" s="1">
        <v>42583</v>
      </c>
      <c r="F383" t="s">
        <v>2624</v>
      </c>
      <c r="G383" t="e">
        <f>INDEX(#REF!,MATCH(P383,#REF!,0),1)</f>
        <v>#REF!</v>
      </c>
      <c r="H383" t="s">
        <v>2625</v>
      </c>
      <c r="J383" t="s">
        <v>2626</v>
      </c>
      <c r="K383" t="s">
        <v>2244</v>
      </c>
      <c r="L383">
        <v>10456</v>
      </c>
      <c r="M383" t="s">
        <v>2627</v>
      </c>
      <c r="N383">
        <v>723</v>
      </c>
      <c r="O383" t="s">
        <v>2624</v>
      </c>
      <c r="P383">
        <v>723</v>
      </c>
      <c r="Q383" t="s">
        <v>2624</v>
      </c>
      <c r="R383" t="s">
        <v>1301</v>
      </c>
      <c r="S383" t="s">
        <v>1302</v>
      </c>
      <c r="T383" t="s">
        <v>44</v>
      </c>
      <c r="U383" t="s">
        <v>45</v>
      </c>
    </row>
    <row r="384" spans="1:33" x14ac:dyDescent="0.3">
      <c r="A384">
        <v>730</v>
      </c>
      <c r="B384" t="s">
        <v>2628</v>
      </c>
      <c r="C384" t="str">
        <f>""</f>
        <v/>
      </c>
      <c r="D384" t="str">
        <f>"212780K00"</f>
        <v>212780K00</v>
      </c>
      <c r="E384" s="1">
        <v>42775</v>
      </c>
      <c r="F384" t="s">
        <v>2629</v>
      </c>
      <c r="G384" t="e">
        <f>INDEX(#REF!,MATCH(P384,#REF!,0),1)</f>
        <v>#REF!</v>
      </c>
      <c r="H384" t="s">
        <v>2630</v>
      </c>
      <c r="J384" t="s">
        <v>2631</v>
      </c>
      <c r="K384" t="s">
        <v>2244</v>
      </c>
      <c r="L384" t="s">
        <v>2632</v>
      </c>
      <c r="M384" t="s">
        <v>2633</v>
      </c>
      <c r="N384">
        <v>859207</v>
      </c>
      <c r="O384" t="s">
        <v>2634</v>
      </c>
      <c r="P384">
        <v>859207</v>
      </c>
      <c r="Q384" t="s">
        <v>2634</v>
      </c>
      <c r="R384" t="s">
        <v>56</v>
      </c>
      <c r="S384" t="s">
        <v>57</v>
      </c>
      <c r="T384" t="s">
        <v>44</v>
      </c>
      <c r="U384" t="s">
        <v>45</v>
      </c>
      <c r="AE384" t="s">
        <v>564</v>
      </c>
    </row>
    <row r="385" spans="1:33" x14ac:dyDescent="0.3">
      <c r="A385">
        <v>731</v>
      </c>
      <c r="B385" t="s">
        <v>2635</v>
      </c>
      <c r="C385" t="str">
        <f>""</f>
        <v/>
      </c>
      <c r="D385" t="str">
        <f>"211950I00"</f>
        <v>211950I00</v>
      </c>
      <c r="E385" s="1">
        <v>42583</v>
      </c>
      <c r="F385" t="s">
        <v>2636</v>
      </c>
      <c r="G385" t="e">
        <f>INDEX(#REF!,MATCH(P385,#REF!,0),1)</f>
        <v>#REF!</v>
      </c>
      <c r="H385" t="s">
        <v>2637</v>
      </c>
      <c r="J385" t="s">
        <v>2638</v>
      </c>
      <c r="K385" t="s">
        <v>2244</v>
      </c>
      <c r="L385">
        <v>10802</v>
      </c>
      <c r="M385" t="s">
        <v>2639</v>
      </c>
      <c r="N385">
        <v>2224170</v>
      </c>
      <c r="O385" t="s">
        <v>2640</v>
      </c>
      <c r="P385">
        <v>2224170</v>
      </c>
      <c r="Q385" t="s">
        <v>2640</v>
      </c>
      <c r="R385" t="s">
        <v>1301</v>
      </c>
      <c r="S385" t="s">
        <v>1302</v>
      </c>
      <c r="T385" t="s">
        <v>44</v>
      </c>
      <c r="U385" t="s">
        <v>45</v>
      </c>
    </row>
    <row r="386" spans="1:33" x14ac:dyDescent="0.3">
      <c r="A386">
        <v>733</v>
      </c>
      <c r="B386" t="s">
        <v>2641</v>
      </c>
      <c r="C386" t="str">
        <f>"1100002366711"</f>
        <v>1100002366711</v>
      </c>
      <c r="D386" t="str">
        <f>"212970L00"</f>
        <v>212970L00</v>
      </c>
      <c r="E386" s="1">
        <v>42670</v>
      </c>
      <c r="F386" t="s">
        <v>2642</v>
      </c>
      <c r="G386" t="e">
        <f>INDEX(#REF!,MATCH(P386,#REF!,0),1)</f>
        <v>#REF!</v>
      </c>
      <c r="H386" t="s">
        <v>2643</v>
      </c>
      <c r="J386" t="s">
        <v>2644</v>
      </c>
      <c r="K386" t="s">
        <v>2244</v>
      </c>
      <c r="L386" t="s">
        <v>2645</v>
      </c>
      <c r="M386" t="s">
        <v>2646</v>
      </c>
      <c r="N386">
        <v>41487</v>
      </c>
      <c r="O386" t="s">
        <v>2647</v>
      </c>
      <c r="P386">
        <v>41487</v>
      </c>
      <c r="Q386" t="s">
        <v>2647</v>
      </c>
      <c r="R386" t="s">
        <v>909</v>
      </c>
      <c r="S386" t="s">
        <v>910</v>
      </c>
      <c r="T386" t="s">
        <v>44</v>
      </c>
      <c r="U386" t="s">
        <v>45</v>
      </c>
      <c r="AG386" t="s">
        <v>48</v>
      </c>
    </row>
    <row r="387" spans="1:33" x14ac:dyDescent="0.3">
      <c r="A387">
        <v>734</v>
      </c>
      <c r="B387" t="s">
        <v>2648</v>
      </c>
      <c r="C387" t="str">
        <f>"1100002564957"</f>
        <v>1100002564957</v>
      </c>
      <c r="D387" t="str">
        <f>""</f>
        <v/>
      </c>
      <c r="E387" s="1">
        <v>42583</v>
      </c>
      <c r="F387" t="s">
        <v>2649</v>
      </c>
      <c r="G387" t="e">
        <f>INDEX(#REF!,MATCH(P387,#REF!,0),1)</f>
        <v>#REF!</v>
      </c>
      <c r="H387" t="s">
        <v>2650</v>
      </c>
      <c r="J387" t="s">
        <v>2626</v>
      </c>
      <c r="K387" t="s">
        <v>2244</v>
      </c>
      <c r="L387" t="s">
        <v>2651</v>
      </c>
      <c r="M387" t="s">
        <v>2652</v>
      </c>
      <c r="N387">
        <v>734</v>
      </c>
      <c r="O387" t="s">
        <v>2649</v>
      </c>
      <c r="P387">
        <v>734</v>
      </c>
      <c r="Q387" t="s">
        <v>2649</v>
      </c>
      <c r="R387" t="s">
        <v>1301</v>
      </c>
      <c r="S387" t="s">
        <v>1302</v>
      </c>
      <c r="T387" t="s">
        <v>44</v>
      </c>
      <c r="U387" t="s">
        <v>45</v>
      </c>
    </row>
    <row r="388" spans="1:33" x14ac:dyDescent="0.3">
      <c r="A388">
        <v>737</v>
      </c>
      <c r="B388" t="s">
        <v>2653</v>
      </c>
      <c r="C388" t="str">
        <f>"1100006048620"</f>
        <v>1100006048620</v>
      </c>
      <c r="D388" t="str">
        <f>"211210700"</f>
        <v>211210700</v>
      </c>
      <c r="E388" s="1">
        <v>42583</v>
      </c>
      <c r="F388" t="s">
        <v>2654</v>
      </c>
      <c r="G388" t="e">
        <f>INDEX(#REF!,MATCH(P388,#REF!,0),1)</f>
        <v>#REF!</v>
      </c>
      <c r="H388" t="s">
        <v>2655</v>
      </c>
      <c r="J388" t="s">
        <v>2656</v>
      </c>
      <c r="K388" t="s">
        <v>2244</v>
      </c>
      <c r="L388">
        <v>11691</v>
      </c>
      <c r="M388" t="s">
        <v>2657</v>
      </c>
      <c r="N388">
        <v>737</v>
      </c>
      <c r="O388" t="s">
        <v>2654</v>
      </c>
      <c r="P388">
        <v>737</v>
      </c>
      <c r="Q388" t="s">
        <v>2654</v>
      </c>
      <c r="R388" t="s">
        <v>1301</v>
      </c>
      <c r="S388" t="s">
        <v>1302</v>
      </c>
      <c r="T388" t="s">
        <v>44</v>
      </c>
      <c r="U388" t="s">
        <v>45</v>
      </c>
    </row>
    <row r="389" spans="1:33" x14ac:dyDescent="0.3">
      <c r="A389">
        <v>742</v>
      </c>
      <c r="B389" t="s">
        <v>2658</v>
      </c>
      <c r="C389" t="str">
        <f>""</f>
        <v/>
      </c>
      <c r="D389" t="str">
        <f>"611740J00"</f>
        <v>611740J00</v>
      </c>
      <c r="E389" s="1">
        <v>31769</v>
      </c>
      <c r="F389" t="s">
        <v>1117</v>
      </c>
      <c r="G389" t="e">
        <f>INDEX(#REF!,MATCH(P389,#REF!,0),1)</f>
        <v>#REF!</v>
      </c>
      <c r="H389" t="s">
        <v>2659</v>
      </c>
      <c r="J389" t="s">
        <v>2660</v>
      </c>
      <c r="K389" t="s">
        <v>283</v>
      </c>
      <c r="L389" t="s">
        <v>2661</v>
      </c>
      <c r="M389" t="s">
        <v>2662</v>
      </c>
      <c r="N389">
        <v>742</v>
      </c>
      <c r="O389" t="s">
        <v>1117</v>
      </c>
      <c r="P389">
        <v>742</v>
      </c>
      <c r="Q389" t="s">
        <v>1117</v>
      </c>
      <c r="R389" t="s">
        <v>1046</v>
      </c>
      <c r="S389" t="s">
        <v>1047</v>
      </c>
      <c r="T389" t="s">
        <v>44</v>
      </c>
      <c r="U389" t="s">
        <v>45</v>
      </c>
      <c r="AA389" t="s">
        <v>119</v>
      </c>
      <c r="AE389" t="s">
        <v>120</v>
      </c>
    </row>
    <row r="390" spans="1:33" x14ac:dyDescent="0.3">
      <c r="A390">
        <v>745</v>
      </c>
      <c r="B390" t="s">
        <v>2663</v>
      </c>
      <c r="C390" t="str">
        <f>"1100002881986"</f>
        <v>1100002881986</v>
      </c>
      <c r="D390" t="str">
        <f>"221010600"</f>
        <v>221010600</v>
      </c>
      <c r="E390" s="1">
        <v>42583</v>
      </c>
      <c r="F390" t="s">
        <v>2664</v>
      </c>
      <c r="G390" t="e">
        <f>INDEX(#REF!,MATCH(P390,#REF!,0),1)</f>
        <v>#REF!</v>
      </c>
      <c r="H390" t="s">
        <v>2665</v>
      </c>
      <c r="J390" t="s">
        <v>2666</v>
      </c>
      <c r="K390" t="s">
        <v>251</v>
      </c>
      <c r="L390" t="str">
        <f>"07444-1696"</f>
        <v>07444-1696</v>
      </c>
      <c r="M390" t="s">
        <v>2667</v>
      </c>
      <c r="N390">
        <v>37243</v>
      </c>
      <c r="O390" t="s">
        <v>2668</v>
      </c>
      <c r="P390">
        <v>37243</v>
      </c>
      <c r="Q390" t="s">
        <v>2668</v>
      </c>
      <c r="R390" t="s">
        <v>254</v>
      </c>
      <c r="S390" t="s">
        <v>255</v>
      </c>
      <c r="T390" t="s">
        <v>44</v>
      </c>
      <c r="U390" t="s">
        <v>45</v>
      </c>
    </row>
    <row r="391" spans="1:33" x14ac:dyDescent="0.3">
      <c r="A391">
        <v>747</v>
      </c>
      <c r="B391" t="s">
        <v>2669</v>
      </c>
      <c r="C391" t="str">
        <f>""</f>
        <v/>
      </c>
      <c r="D391" t="str">
        <f>"744280P00"</f>
        <v>744280P00</v>
      </c>
      <c r="E391" s="1">
        <v>42583</v>
      </c>
      <c r="F391" t="s">
        <v>2670</v>
      </c>
      <c r="G391" t="e">
        <f>INDEX(#REF!,MATCH(P391,#REF!,0),1)</f>
        <v>#REF!</v>
      </c>
      <c r="H391" t="s">
        <v>2671</v>
      </c>
      <c r="J391" t="s">
        <v>2672</v>
      </c>
      <c r="K391" t="s">
        <v>676</v>
      </c>
      <c r="L391">
        <v>79701</v>
      </c>
      <c r="M391" t="s">
        <v>2673</v>
      </c>
      <c r="N391">
        <v>2625235</v>
      </c>
      <c r="O391" t="s">
        <v>2674</v>
      </c>
      <c r="P391">
        <v>2625235</v>
      </c>
      <c r="Q391" t="s">
        <v>2674</v>
      </c>
      <c r="R391" t="s">
        <v>2675</v>
      </c>
      <c r="S391" t="s">
        <v>2676</v>
      </c>
      <c r="T391" t="s">
        <v>44</v>
      </c>
      <c r="U391" t="s">
        <v>184</v>
      </c>
      <c r="AA391" t="s">
        <v>2677</v>
      </c>
      <c r="AD391" t="s">
        <v>94</v>
      </c>
      <c r="AE391" t="s">
        <v>2678</v>
      </c>
    </row>
    <row r="392" spans="1:33" x14ac:dyDescent="0.3">
      <c r="A392">
        <v>749</v>
      </c>
      <c r="B392" t="s">
        <v>2679</v>
      </c>
      <c r="C392" t="str">
        <f>""</f>
        <v/>
      </c>
      <c r="D392" t="str">
        <f>"540410E00"</f>
        <v>540410E00</v>
      </c>
      <c r="E392" s="1">
        <v>31769</v>
      </c>
      <c r="F392" t="s">
        <v>2680</v>
      </c>
      <c r="G392" t="e">
        <f>INDEX(#REF!,MATCH(P392,#REF!,0),1)</f>
        <v>#REF!</v>
      </c>
      <c r="H392" t="s">
        <v>2681</v>
      </c>
      <c r="J392" t="s">
        <v>2682</v>
      </c>
      <c r="K392" t="s">
        <v>149</v>
      </c>
      <c r="L392" t="s">
        <v>2683</v>
      </c>
      <c r="M392" t="s">
        <v>2684</v>
      </c>
      <c r="N392">
        <v>749</v>
      </c>
      <c r="O392" t="s">
        <v>2680</v>
      </c>
      <c r="P392">
        <v>749</v>
      </c>
      <c r="Q392" t="s">
        <v>2680</v>
      </c>
      <c r="R392" t="s">
        <v>1078</v>
      </c>
      <c r="S392" t="s">
        <v>1079</v>
      </c>
      <c r="T392" t="s">
        <v>44</v>
      </c>
      <c r="U392" t="s">
        <v>45</v>
      </c>
      <c r="AA392" t="s">
        <v>93</v>
      </c>
      <c r="AE392" t="s">
        <v>220</v>
      </c>
    </row>
    <row r="393" spans="1:33" x14ac:dyDescent="0.3">
      <c r="A393">
        <v>750</v>
      </c>
      <c r="B393" t="s">
        <v>2685</v>
      </c>
      <c r="C393" t="str">
        <f>""</f>
        <v/>
      </c>
      <c r="D393" t="str">
        <f>"521650J00"</f>
        <v>521650J00</v>
      </c>
      <c r="E393" s="1">
        <v>42583</v>
      </c>
      <c r="F393" t="s">
        <v>2686</v>
      </c>
      <c r="G393" t="e">
        <f>INDEX(#REF!,MATCH(P393,#REF!,0),1)</f>
        <v>#REF!</v>
      </c>
      <c r="H393" t="s">
        <v>2687</v>
      </c>
      <c r="J393" t="s">
        <v>2688</v>
      </c>
      <c r="K393" t="s">
        <v>139</v>
      </c>
      <c r="L393">
        <v>38372</v>
      </c>
      <c r="M393" t="s">
        <v>2689</v>
      </c>
      <c r="N393">
        <v>750</v>
      </c>
      <c r="O393" t="s">
        <v>2686</v>
      </c>
      <c r="P393">
        <v>750</v>
      </c>
      <c r="Q393" t="s">
        <v>2686</v>
      </c>
      <c r="R393" t="s">
        <v>1078</v>
      </c>
      <c r="S393" t="s">
        <v>1079</v>
      </c>
      <c r="T393" t="s">
        <v>44</v>
      </c>
      <c r="U393" t="s">
        <v>45</v>
      </c>
      <c r="AA393" t="s">
        <v>93</v>
      </c>
      <c r="AB393" t="s">
        <v>328</v>
      </c>
      <c r="AE393" t="s">
        <v>220</v>
      </c>
    </row>
    <row r="394" spans="1:33" x14ac:dyDescent="0.3">
      <c r="A394">
        <v>751</v>
      </c>
      <c r="B394" t="s">
        <v>2690</v>
      </c>
      <c r="C394" t="str">
        <f>"1100004032102"</f>
        <v>1100004032102</v>
      </c>
      <c r="D394" t="str">
        <f>"611220C00"</f>
        <v>611220C00</v>
      </c>
      <c r="E394" s="1">
        <v>41493</v>
      </c>
      <c r="F394" t="s">
        <v>2691</v>
      </c>
      <c r="G394" t="e">
        <f>INDEX(#REF!,MATCH(P394,#REF!,0),1)</f>
        <v>#REF!</v>
      </c>
      <c r="H394" t="s">
        <v>2692</v>
      </c>
      <c r="J394" t="s">
        <v>2693</v>
      </c>
      <c r="K394" t="s">
        <v>283</v>
      </c>
      <c r="L394" t="s">
        <v>2694</v>
      </c>
      <c r="M394" t="s">
        <v>2695</v>
      </c>
      <c r="N394">
        <v>3460</v>
      </c>
      <c r="O394" t="s">
        <v>1155</v>
      </c>
      <c r="P394">
        <v>3460</v>
      </c>
      <c r="Q394" t="s">
        <v>1155</v>
      </c>
      <c r="R394" t="s">
        <v>1156</v>
      </c>
      <c r="S394" t="s">
        <v>1157</v>
      </c>
      <c r="T394" t="s">
        <v>44</v>
      </c>
      <c r="U394" t="s">
        <v>45</v>
      </c>
      <c r="AA394" t="s">
        <v>119</v>
      </c>
      <c r="AE394" t="s">
        <v>120</v>
      </c>
    </row>
    <row r="395" spans="1:33" x14ac:dyDescent="0.3">
      <c r="A395">
        <v>753</v>
      </c>
      <c r="B395" t="s">
        <v>2696</v>
      </c>
      <c r="C395" t="str">
        <f>"1100004011367"</f>
        <v>1100004011367</v>
      </c>
      <c r="D395" t="str">
        <f>"720310D00"</f>
        <v>720310D00</v>
      </c>
      <c r="E395" s="1">
        <v>31769</v>
      </c>
      <c r="F395" t="s">
        <v>2697</v>
      </c>
      <c r="G395" t="e">
        <f>INDEX(#REF!,MATCH(P395,#REF!,0),1)</f>
        <v>#REF!</v>
      </c>
      <c r="H395" t="s">
        <v>2698</v>
      </c>
      <c r="J395" t="s">
        <v>2699</v>
      </c>
      <c r="K395" t="s">
        <v>353</v>
      </c>
      <c r="L395" t="s">
        <v>2700</v>
      </c>
      <c r="M395" t="s">
        <v>2701</v>
      </c>
      <c r="N395">
        <v>73818</v>
      </c>
      <c r="O395" t="s">
        <v>671</v>
      </c>
      <c r="P395">
        <v>73818</v>
      </c>
      <c r="Q395" t="s">
        <v>671</v>
      </c>
      <c r="R395" t="s">
        <v>356</v>
      </c>
      <c r="S395" t="s">
        <v>357</v>
      </c>
      <c r="T395" t="s">
        <v>44</v>
      </c>
      <c r="U395" t="s">
        <v>45</v>
      </c>
    </row>
    <row r="396" spans="1:33" x14ac:dyDescent="0.3">
      <c r="A396">
        <v>759</v>
      </c>
      <c r="B396" t="s">
        <v>2702</v>
      </c>
      <c r="C396" t="str">
        <f>""</f>
        <v/>
      </c>
      <c r="D396" t="str">
        <f>"540690O00"</f>
        <v>540690O00</v>
      </c>
      <c r="E396" s="1">
        <v>40486</v>
      </c>
      <c r="F396" t="s">
        <v>2703</v>
      </c>
      <c r="G396" t="e">
        <f>INDEX(#REF!,MATCH(P396,#REF!,0),1)</f>
        <v>#REF!</v>
      </c>
      <c r="H396" t="s">
        <v>2704</v>
      </c>
      <c r="J396" t="s">
        <v>2705</v>
      </c>
      <c r="K396" t="s">
        <v>149</v>
      </c>
      <c r="L396" t="s">
        <v>2706</v>
      </c>
      <c r="M396" t="s">
        <v>2707</v>
      </c>
      <c r="N396">
        <v>759</v>
      </c>
      <c r="O396" t="s">
        <v>2703</v>
      </c>
      <c r="P396">
        <v>759</v>
      </c>
      <c r="Q396" t="s">
        <v>2703</v>
      </c>
      <c r="R396" t="s">
        <v>1078</v>
      </c>
      <c r="S396" t="s">
        <v>1079</v>
      </c>
      <c r="T396" t="s">
        <v>44</v>
      </c>
      <c r="U396" t="s">
        <v>45</v>
      </c>
      <c r="AA396" t="s">
        <v>328</v>
      </c>
    </row>
    <row r="397" spans="1:33" x14ac:dyDescent="0.3">
      <c r="A397">
        <v>760</v>
      </c>
      <c r="B397" t="s">
        <v>2708</v>
      </c>
      <c r="C397" t="str">
        <f>"1100002797942"</f>
        <v>1100002797942</v>
      </c>
      <c r="D397" t="str">
        <f>"531050E00"</f>
        <v>531050E00</v>
      </c>
      <c r="E397" s="1">
        <v>42620</v>
      </c>
      <c r="F397" t="s">
        <v>2709</v>
      </c>
      <c r="G397" t="e">
        <f>INDEX(#REF!,MATCH(P397,#REF!,0),1)</f>
        <v>#REF!</v>
      </c>
      <c r="H397" t="s">
        <v>2710</v>
      </c>
      <c r="J397" t="s">
        <v>1777</v>
      </c>
      <c r="K397" t="s">
        <v>125</v>
      </c>
      <c r="L397" t="s">
        <v>2711</v>
      </c>
      <c r="M397" t="s">
        <v>2712</v>
      </c>
      <c r="N397">
        <v>486</v>
      </c>
      <c r="O397" t="s">
        <v>218</v>
      </c>
      <c r="P397">
        <v>486</v>
      </c>
      <c r="Q397" t="s">
        <v>218</v>
      </c>
      <c r="R397" t="s">
        <v>115</v>
      </c>
      <c r="S397" t="s">
        <v>116</v>
      </c>
      <c r="T397" t="s">
        <v>44</v>
      </c>
      <c r="U397" t="s">
        <v>45</v>
      </c>
      <c r="AA397" t="s">
        <v>105</v>
      </c>
      <c r="AB397" t="s">
        <v>219</v>
      </c>
      <c r="AE397" t="s">
        <v>220</v>
      </c>
    </row>
    <row r="398" spans="1:33" x14ac:dyDescent="0.3">
      <c r="A398">
        <v>766</v>
      </c>
      <c r="B398" t="s">
        <v>2713</v>
      </c>
      <c r="C398" t="str">
        <f>""</f>
        <v/>
      </c>
      <c r="D398" t="str">
        <f>"H0ABC3H00"</f>
        <v>H0ABC3H00</v>
      </c>
      <c r="E398" s="1">
        <v>31321</v>
      </c>
      <c r="F398" t="s">
        <v>2714</v>
      </c>
      <c r="G398" t="e">
        <f>INDEX(#REF!,MATCH(P398,#REF!,0),1)</f>
        <v>#REF!</v>
      </c>
      <c r="H398" t="s">
        <v>2715</v>
      </c>
      <c r="J398" t="s">
        <v>2716</v>
      </c>
      <c r="K398" t="s">
        <v>65</v>
      </c>
      <c r="L398" t="s">
        <v>2717</v>
      </c>
      <c r="M398" t="s">
        <v>2718</v>
      </c>
      <c r="N398">
        <v>767149</v>
      </c>
      <c r="O398" t="s">
        <v>1953</v>
      </c>
      <c r="P398">
        <v>6229940</v>
      </c>
      <c r="Q398" t="s">
        <v>2719</v>
      </c>
      <c r="R398" t="s">
        <v>266</v>
      </c>
      <c r="S398" t="s">
        <v>267</v>
      </c>
      <c r="T398" t="s">
        <v>44</v>
      </c>
      <c r="U398" t="s">
        <v>81</v>
      </c>
      <c r="AA398" t="s">
        <v>105</v>
      </c>
      <c r="AG398" t="s">
        <v>48</v>
      </c>
    </row>
    <row r="399" spans="1:33" x14ac:dyDescent="0.3">
      <c r="A399">
        <v>767</v>
      </c>
      <c r="B399" t="s">
        <v>2720</v>
      </c>
      <c r="C399" t="str">
        <f>""</f>
        <v/>
      </c>
      <c r="D399" t="str">
        <f>"CCWTPHJ00"</f>
        <v>CCWTPHJ00</v>
      </c>
      <c r="E399" s="1">
        <v>38292</v>
      </c>
      <c r="F399" t="s">
        <v>2721</v>
      </c>
      <c r="G399" t="e">
        <f>INDEX(#REF!,MATCH(P399,#REF!,0),1)</f>
        <v>#REF!</v>
      </c>
      <c r="H399" t="s">
        <v>2715</v>
      </c>
      <c r="J399" t="s">
        <v>2716</v>
      </c>
      <c r="K399" t="s">
        <v>65</v>
      </c>
      <c r="L399" t="s">
        <v>2717</v>
      </c>
      <c r="M399" t="s">
        <v>2718</v>
      </c>
      <c r="N399">
        <v>767149</v>
      </c>
      <c r="O399" t="s">
        <v>1953</v>
      </c>
      <c r="P399">
        <v>6229940</v>
      </c>
      <c r="Q399" t="s">
        <v>2719</v>
      </c>
      <c r="R399" t="s">
        <v>266</v>
      </c>
      <c r="S399" t="s">
        <v>267</v>
      </c>
      <c r="T399" t="s">
        <v>44</v>
      </c>
      <c r="U399" t="s">
        <v>45</v>
      </c>
      <c r="AA399" t="s">
        <v>105</v>
      </c>
      <c r="AE399" t="s">
        <v>72</v>
      </c>
      <c r="AG399" t="s">
        <v>48</v>
      </c>
    </row>
    <row r="400" spans="1:33" x14ac:dyDescent="0.3">
      <c r="A400">
        <v>768</v>
      </c>
      <c r="B400" t="s">
        <v>2722</v>
      </c>
      <c r="C400" t="str">
        <f>""</f>
        <v/>
      </c>
      <c r="D400" t="str">
        <f>"451600G00"</f>
        <v>451600G00</v>
      </c>
      <c r="E400" s="1">
        <v>31168</v>
      </c>
      <c r="F400" t="s">
        <v>2723</v>
      </c>
      <c r="G400" t="e">
        <f>INDEX(#REF!,MATCH(P400,#REF!,0),1)</f>
        <v>#REF!</v>
      </c>
      <c r="H400" t="s">
        <v>2724</v>
      </c>
      <c r="J400" t="s">
        <v>1490</v>
      </c>
      <c r="K400" t="s">
        <v>208</v>
      </c>
      <c r="L400" t="s">
        <v>2725</v>
      </c>
      <c r="M400" t="s">
        <v>2726</v>
      </c>
      <c r="N400">
        <v>405</v>
      </c>
      <c r="O400" t="s">
        <v>1488</v>
      </c>
      <c r="P400">
        <v>405</v>
      </c>
      <c r="Q400" t="s">
        <v>1488</v>
      </c>
      <c r="R400" t="s">
        <v>419</v>
      </c>
      <c r="S400" t="s">
        <v>420</v>
      </c>
      <c r="T400" t="s">
        <v>44</v>
      </c>
      <c r="U400" t="s">
        <v>45</v>
      </c>
      <c r="AA400" t="s">
        <v>119</v>
      </c>
      <c r="AE400" t="s">
        <v>120</v>
      </c>
    </row>
    <row r="401" spans="1:33" x14ac:dyDescent="0.3">
      <c r="A401">
        <v>776</v>
      </c>
      <c r="B401" t="s">
        <v>2727</v>
      </c>
      <c r="C401" t="str">
        <f>""</f>
        <v/>
      </c>
      <c r="D401" t="str">
        <f>"640460K00"</f>
        <v>640460K00</v>
      </c>
      <c r="E401" s="1">
        <v>31814</v>
      </c>
      <c r="F401" t="s">
        <v>2728</v>
      </c>
      <c r="G401" t="e">
        <f>INDEX(#REF!,MATCH(P401,#REF!,0),1)</f>
        <v>#REF!</v>
      </c>
      <c r="H401" t="s">
        <v>2729</v>
      </c>
      <c r="J401" t="s">
        <v>2730</v>
      </c>
      <c r="K401" t="s">
        <v>191</v>
      </c>
      <c r="L401" t="s">
        <v>2731</v>
      </c>
      <c r="M401" t="s">
        <v>2732</v>
      </c>
      <c r="N401">
        <v>776</v>
      </c>
      <c r="O401" t="s">
        <v>2728</v>
      </c>
      <c r="P401">
        <v>776</v>
      </c>
      <c r="Q401" t="s">
        <v>2728</v>
      </c>
      <c r="R401" t="s">
        <v>1156</v>
      </c>
      <c r="S401" t="s">
        <v>1157</v>
      </c>
      <c r="T401" t="s">
        <v>44</v>
      </c>
      <c r="U401" t="s">
        <v>45</v>
      </c>
      <c r="AA401" t="s">
        <v>119</v>
      </c>
      <c r="AE401" t="s">
        <v>120</v>
      </c>
    </row>
    <row r="402" spans="1:33" x14ac:dyDescent="0.3">
      <c r="A402">
        <v>778</v>
      </c>
      <c r="B402" t="s">
        <v>2733</v>
      </c>
      <c r="C402" t="str">
        <f>""</f>
        <v/>
      </c>
      <c r="D402" t="str">
        <f>"140620D00"</f>
        <v>140620D00</v>
      </c>
      <c r="E402" s="1">
        <v>42583</v>
      </c>
      <c r="F402" t="s">
        <v>2734</v>
      </c>
      <c r="G402" t="e">
        <f>INDEX(#REF!,MATCH(P402,#REF!,0),1)</f>
        <v>#REF!</v>
      </c>
      <c r="H402" t="s">
        <v>2735</v>
      </c>
      <c r="J402" t="s">
        <v>2736</v>
      </c>
      <c r="K402" t="s">
        <v>2004</v>
      </c>
      <c r="L402" t="str">
        <f>"02721-1798"</f>
        <v>02721-1798</v>
      </c>
      <c r="M402" t="s">
        <v>2737</v>
      </c>
      <c r="N402">
        <v>30853</v>
      </c>
      <c r="O402" t="s">
        <v>2509</v>
      </c>
      <c r="P402">
        <v>30853</v>
      </c>
      <c r="Q402" t="s">
        <v>2509</v>
      </c>
      <c r="R402" t="s">
        <v>658</v>
      </c>
      <c r="S402" t="s">
        <v>659</v>
      </c>
      <c r="T402" t="s">
        <v>44</v>
      </c>
      <c r="U402" t="s">
        <v>45</v>
      </c>
      <c r="AA402" t="s">
        <v>119</v>
      </c>
      <c r="AE402" t="s">
        <v>60</v>
      </c>
      <c r="AG402" t="s">
        <v>48</v>
      </c>
    </row>
    <row r="403" spans="1:33" x14ac:dyDescent="0.3">
      <c r="A403">
        <v>780</v>
      </c>
      <c r="B403" t="s">
        <v>2738</v>
      </c>
      <c r="C403" t="str">
        <f>""</f>
        <v/>
      </c>
      <c r="D403" t="str">
        <f>"140560G00"</f>
        <v>140560G00</v>
      </c>
      <c r="E403" s="1">
        <v>42824</v>
      </c>
      <c r="F403" t="s">
        <v>2739</v>
      </c>
      <c r="G403" t="e">
        <f>INDEX(#REF!,MATCH(P403,#REF!,0),1)</f>
        <v>#REF!</v>
      </c>
      <c r="H403" t="s">
        <v>2740</v>
      </c>
      <c r="J403" t="s">
        <v>2741</v>
      </c>
      <c r="K403" t="s">
        <v>2004</v>
      </c>
      <c r="L403" t="str">
        <f>"01742"</f>
        <v>01742</v>
      </c>
      <c r="M403" t="s">
        <v>2742</v>
      </c>
      <c r="N403">
        <v>2598</v>
      </c>
      <c r="O403" t="s">
        <v>2136</v>
      </c>
      <c r="P403">
        <v>2598</v>
      </c>
      <c r="Q403" t="s">
        <v>2136</v>
      </c>
      <c r="R403" t="s">
        <v>2492</v>
      </c>
      <c r="S403" t="s">
        <v>2493</v>
      </c>
      <c r="T403" t="s">
        <v>44</v>
      </c>
      <c r="U403" t="s">
        <v>45</v>
      </c>
      <c r="AE403" t="s">
        <v>72</v>
      </c>
    </row>
    <row r="404" spans="1:33" x14ac:dyDescent="0.3">
      <c r="A404">
        <v>784</v>
      </c>
      <c r="B404" t="s">
        <v>2743</v>
      </c>
      <c r="C404" t="str">
        <f>""</f>
        <v/>
      </c>
      <c r="D404" t="str">
        <f>"231250D00"</f>
        <v>231250D00</v>
      </c>
      <c r="E404" s="1">
        <v>31814</v>
      </c>
      <c r="F404" t="s">
        <v>2744</v>
      </c>
      <c r="G404" t="e">
        <f>INDEX(#REF!,MATCH(P404,#REF!,0),1)</f>
        <v>#REF!</v>
      </c>
      <c r="H404" t="s">
        <v>2745</v>
      </c>
      <c r="J404" t="s">
        <v>2746</v>
      </c>
      <c r="K404" t="s">
        <v>65</v>
      </c>
      <c r="L404" t="s">
        <v>2747</v>
      </c>
      <c r="M404" t="s">
        <v>2748</v>
      </c>
      <c r="N404">
        <v>3596</v>
      </c>
      <c r="O404" t="s">
        <v>2749</v>
      </c>
      <c r="P404">
        <v>4260</v>
      </c>
      <c r="Q404" t="s">
        <v>2750</v>
      </c>
      <c r="R404" t="s">
        <v>254</v>
      </c>
      <c r="S404" t="s">
        <v>255</v>
      </c>
      <c r="T404" t="s">
        <v>44</v>
      </c>
      <c r="U404" t="s">
        <v>45</v>
      </c>
    </row>
    <row r="405" spans="1:33" x14ac:dyDescent="0.3">
      <c r="A405">
        <v>785</v>
      </c>
      <c r="B405" t="s">
        <v>2751</v>
      </c>
      <c r="C405" t="str">
        <f>""</f>
        <v/>
      </c>
      <c r="D405" t="str">
        <f>"220960J00"</f>
        <v>220960J00</v>
      </c>
      <c r="E405" s="1">
        <v>42583</v>
      </c>
      <c r="F405" t="s">
        <v>2752</v>
      </c>
      <c r="G405" t="e">
        <f>INDEX(#REF!,MATCH(P405,#REF!,0),1)</f>
        <v>#REF!</v>
      </c>
      <c r="H405" t="s">
        <v>2753</v>
      </c>
      <c r="J405" t="s">
        <v>2754</v>
      </c>
      <c r="K405" t="s">
        <v>251</v>
      </c>
      <c r="L405" t="str">
        <f>"08865-1684"</f>
        <v>08865-1684</v>
      </c>
      <c r="M405" t="s">
        <v>2755</v>
      </c>
      <c r="N405">
        <v>3596</v>
      </c>
      <c r="O405" t="s">
        <v>2749</v>
      </c>
      <c r="P405">
        <v>3596</v>
      </c>
      <c r="Q405" t="s">
        <v>2749</v>
      </c>
      <c r="R405" t="s">
        <v>254</v>
      </c>
      <c r="S405" t="s">
        <v>255</v>
      </c>
      <c r="T405" t="s">
        <v>44</v>
      </c>
      <c r="U405" t="s">
        <v>45</v>
      </c>
    </row>
    <row r="406" spans="1:33" x14ac:dyDescent="0.3">
      <c r="A406">
        <v>786</v>
      </c>
      <c r="B406" t="s">
        <v>2756</v>
      </c>
      <c r="C406" t="str">
        <f>"1100005657083"</f>
        <v>1100005657083</v>
      </c>
      <c r="D406" t="str">
        <f>"231580J00"</f>
        <v>231580J00</v>
      </c>
      <c r="E406" s="1">
        <v>44562</v>
      </c>
      <c r="F406" t="s">
        <v>2757</v>
      </c>
      <c r="G406" t="e">
        <f>INDEX(#REF!,MATCH(P406,#REF!,0),1)</f>
        <v>#REF!</v>
      </c>
      <c r="H406" t="s">
        <v>2758</v>
      </c>
      <c r="J406" t="s">
        <v>2759</v>
      </c>
      <c r="K406" t="s">
        <v>65</v>
      </c>
      <c r="L406" t="s">
        <v>2760</v>
      </c>
      <c r="M406" t="s">
        <v>2761</v>
      </c>
      <c r="N406">
        <v>786</v>
      </c>
      <c r="O406" t="s">
        <v>2757</v>
      </c>
      <c r="P406">
        <v>786</v>
      </c>
      <c r="Q406" t="s">
        <v>2757</v>
      </c>
      <c r="R406" t="s">
        <v>245</v>
      </c>
      <c r="S406" t="s">
        <v>246</v>
      </c>
      <c r="T406" t="s">
        <v>44</v>
      </c>
      <c r="U406" t="s">
        <v>45</v>
      </c>
    </row>
    <row r="407" spans="1:33" x14ac:dyDescent="0.3">
      <c r="A407">
        <v>791</v>
      </c>
      <c r="B407" t="s">
        <v>2762</v>
      </c>
      <c r="C407" t="str">
        <f>""</f>
        <v/>
      </c>
      <c r="D407" t="str">
        <f>"62B9DBG00"</f>
        <v>62B9DBG00</v>
      </c>
      <c r="E407" s="1">
        <v>31260</v>
      </c>
      <c r="F407" t="s">
        <v>2763</v>
      </c>
      <c r="G407" t="e">
        <f>INDEX(#REF!,MATCH(P407,#REF!,0),1)</f>
        <v>#REF!</v>
      </c>
      <c r="H407" t="s">
        <v>2764</v>
      </c>
      <c r="J407" t="s">
        <v>2765</v>
      </c>
      <c r="K407" t="s">
        <v>88</v>
      </c>
      <c r="L407" t="s">
        <v>2766</v>
      </c>
      <c r="M407" t="s">
        <v>2767</v>
      </c>
      <c r="N407">
        <v>251</v>
      </c>
      <c r="O407" t="s">
        <v>90</v>
      </c>
      <c r="P407">
        <v>251</v>
      </c>
      <c r="Q407" t="s">
        <v>90</v>
      </c>
      <c r="R407" t="s">
        <v>91</v>
      </c>
      <c r="S407" t="s">
        <v>92</v>
      </c>
      <c r="T407" t="s">
        <v>44</v>
      </c>
      <c r="U407" t="s">
        <v>45</v>
      </c>
      <c r="AA407" t="s">
        <v>93</v>
      </c>
      <c r="AC407" t="s">
        <v>90</v>
      </c>
      <c r="AD407" t="s">
        <v>94</v>
      </c>
      <c r="AE407" t="s">
        <v>72</v>
      </c>
      <c r="AG407" t="s">
        <v>48</v>
      </c>
    </row>
    <row r="408" spans="1:33" x14ac:dyDescent="0.3">
      <c r="A408">
        <v>792</v>
      </c>
      <c r="B408" t="s">
        <v>2768</v>
      </c>
      <c r="C408" t="str">
        <f>"1100004323446"</f>
        <v>1100004323446</v>
      </c>
      <c r="D408" t="str">
        <f>"232730H00"</f>
        <v>232730H00</v>
      </c>
      <c r="E408" s="1">
        <v>42583</v>
      </c>
      <c r="F408" t="s">
        <v>2769</v>
      </c>
      <c r="G408" t="e">
        <f>INDEX(#REF!,MATCH(P408,#REF!,0),1)</f>
        <v>#REF!</v>
      </c>
      <c r="H408" t="s">
        <v>2770</v>
      </c>
      <c r="J408" t="s">
        <v>2771</v>
      </c>
      <c r="K408" t="s">
        <v>65</v>
      </c>
      <c r="L408" t="s">
        <v>2772</v>
      </c>
      <c r="M408" t="s">
        <v>2773</v>
      </c>
      <c r="N408">
        <v>792</v>
      </c>
      <c r="O408" t="s">
        <v>2769</v>
      </c>
      <c r="P408">
        <v>792</v>
      </c>
      <c r="Q408" t="s">
        <v>2769</v>
      </c>
      <c r="R408" t="s">
        <v>940</v>
      </c>
      <c r="S408" t="s">
        <v>941</v>
      </c>
      <c r="T408" t="s">
        <v>44</v>
      </c>
      <c r="U408" t="s">
        <v>45</v>
      </c>
    </row>
    <row r="409" spans="1:33" x14ac:dyDescent="0.3">
      <c r="A409">
        <v>793</v>
      </c>
      <c r="B409" t="s">
        <v>2774</v>
      </c>
      <c r="C409" t="str">
        <f>"1100005810013"</f>
        <v>1100005810013</v>
      </c>
      <c r="D409" t="str">
        <f>""</f>
        <v/>
      </c>
      <c r="E409" s="1">
        <v>42583</v>
      </c>
      <c r="F409" t="s">
        <v>2775</v>
      </c>
      <c r="G409" t="e">
        <f>INDEX(#REF!,MATCH(P409,#REF!,0),1)</f>
        <v>#REF!</v>
      </c>
      <c r="H409" t="s">
        <v>2776</v>
      </c>
      <c r="J409" t="s">
        <v>2777</v>
      </c>
      <c r="K409" t="s">
        <v>307</v>
      </c>
      <c r="L409">
        <v>46402</v>
      </c>
      <c r="M409" t="s">
        <v>2778</v>
      </c>
      <c r="N409">
        <v>793</v>
      </c>
      <c r="O409" t="s">
        <v>2775</v>
      </c>
      <c r="P409">
        <v>793</v>
      </c>
      <c r="Q409" t="s">
        <v>2775</v>
      </c>
      <c r="R409" t="s">
        <v>492</v>
      </c>
      <c r="S409" t="s">
        <v>493</v>
      </c>
      <c r="T409" t="s">
        <v>44</v>
      </c>
      <c r="U409" t="s">
        <v>45</v>
      </c>
    </row>
    <row r="410" spans="1:33" x14ac:dyDescent="0.3">
      <c r="A410">
        <v>801</v>
      </c>
      <c r="B410" t="s">
        <v>2779</v>
      </c>
      <c r="C410" t="str">
        <f>"1100002561154"</f>
        <v>1100002561154</v>
      </c>
      <c r="D410" t="str">
        <f>"330180F00"</f>
        <v>330180F00</v>
      </c>
      <c r="E410" s="1">
        <v>31624</v>
      </c>
      <c r="F410" t="s">
        <v>2780</v>
      </c>
      <c r="G410" t="e">
        <f>INDEX(#REF!,MATCH(P410,#REF!,0),1)</f>
        <v>#REF!</v>
      </c>
      <c r="H410" t="s">
        <v>2781</v>
      </c>
      <c r="J410" t="s">
        <v>2145</v>
      </c>
      <c r="K410" t="s">
        <v>2451</v>
      </c>
      <c r="L410">
        <v>20010</v>
      </c>
      <c r="M410" t="s">
        <v>2452</v>
      </c>
      <c r="N410">
        <v>60113</v>
      </c>
      <c r="O410" t="s">
        <v>2453</v>
      </c>
      <c r="P410">
        <v>659</v>
      </c>
      <c r="Q410" t="s">
        <v>2449</v>
      </c>
      <c r="R410" t="s">
        <v>986</v>
      </c>
      <c r="S410" t="s">
        <v>987</v>
      </c>
      <c r="T410" t="s">
        <v>44</v>
      </c>
      <c r="U410" t="s">
        <v>45</v>
      </c>
      <c r="Y410" t="s">
        <v>1317</v>
      </c>
      <c r="Z410" s="1">
        <v>45474</v>
      </c>
      <c r="AA410" t="s">
        <v>82</v>
      </c>
      <c r="AD410" t="s">
        <v>94</v>
      </c>
      <c r="AE410" t="s">
        <v>83</v>
      </c>
      <c r="AG410" t="s">
        <v>48</v>
      </c>
    </row>
    <row r="411" spans="1:33" x14ac:dyDescent="0.3">
      <c r="A411">
        <v>803</v>
      </c>
      <c r="B411" t="s">
        <v>2782</v>
      </c>
      <c r="C411" t="str">
        <f>"1100003957734"</f>
        <v>1100003957734</v>
      </c>
      <c r="D411" t="str">
        <f>"330110800"</f>
        <v>330110800</v>
      </c>
      <c r="E411" s="1">
        <v>31624</v>
      </c>
      <c r="F411" t="s">
        <v>2783</v>
      </c>
      <c r="G411" t="e">
        <f>INDEX(#REF!,MATCH(P411,#REF!,0),1)</f>
        <v>#REF!</v>
      </c>
      <c r="H411" t="s">
        <v>2784</v>
      </c>
      <c r="J411" t="s">
        <v>2145</v>
      </c>
      <c r="K411" t="s">
        <v>2451</v>
      </c>
      <c r="L411">
        <v>20010</v>
      </c>
      <c r="M411" t="s">
        <v>2785</v>
      </c>
      <c r="N411">
        <v>60113</v>
      </c>
      <c r="O411" t="s">
        <v>2453</v>
      </c>
      <c r="P411">
        <v>60113</v>
      </c>
      <c r="Q411" t="s">
        <v>2453</v>
      </c>
      <c r="R411" t="s">
        <v>2477</v>
      </c>
      <c r="S411" t="s">
        <v>2478</v>
      </c>
      <c r="T411" t="s">
        <v>117</v>
      </c>
      <c r="U411" t="s">
        <v>118</v>
      </c>
      <c r="V411" t="s">
        <v>1824</v>
      </c>
      <c r="Y411" t="s">
        <v>1317</v>
      </c>
      <c r="Z411" s="1">
        <v>45474</v>
      </c>
      <c r="AA411" t="s">
        <v>82</v>
      </c>
      <c r="AD411" t="s">
        <v>94</v>
      </c>
      <c r="AE411" t="s">
        <v>83</v>
      </c>
      <c r="AG411" t="s">
        <v>48</v>
      </c>
    </row>
    <row r="412" spans="1:33" x14ac:dyDescent="0.3">
      <c r="A412">
        <v>805</v>
      </c>
      <c r="B412" t="s">
        <v>2786</v>
      </c>
      <c r="C412" t="str">
        <f>""</f>
        <v/>
      </c>
      <c r="D412" t="str">
        <f>"231750I00"</f>
        <v>231750I00</v>
      </c>
      <c r="E412" s="1">
        <v>41913</v>
      </c>
      <c r="F412" t="s">
        <v>2787</v>
      </c>
      <c r="G412" t="e">
        <f>INDEX(#REF!,MATCH(P412,#REF!,0),1)</f>
        <v>#REF!</v>
      </c>
      <c r="H412" t="s">
        <v>2788</v>
      </c>
      <c r="I412" t="s">
        <v>2789</v>
      </c>
      <c r="J412" t="s">
        <v>786</v>
      </c>
      <c r="K412" t="s">
        <v>65</v>
      </c>
      <c r="L412">
        <v>19114</v>
      </c>
      <c r="M412" t="s">
        <v>2790</v>
      </c>
      <c r="N412">
        <v>767149</v>
      </c>
      <c r="O412" t="s">
        <v>1953</v>
      </c>
      <c r="P412">
        <v>4330</v>
      </c>
      <c r="Q412" t="s">
        <v>1954</v>
      </c>
      <c r="R412" t="s">
        <v>266</v>
      </c>
      <c r="S412" t="s">
        <v>267</v>
      </c>
      <c r="T412" t="s">
        <v>44</v>
      </c>
      <c r="U412" t="s">
        <v>45</v>
      </c>
      <c r="AA412" t="s">
        <v>105</v>
      </c>
      <c r="AE412" t="s">
        <v>72</v>
      </c>
      <c r="AG412" t="s">
        <v>48</v>
      </c>
    </row>
    <row r="413" spans="1:33" x14ac:dyDescent="0.3">
      <c r="A413">
        <v>806</v>
      </c>
      <c r="B413" t="s">
        <v>2791</v>
      </c>
      <c r="C413" t="str">
        <f>""</f>
        <v/>
      </c>
      <c r="D413" t="str">
        <f>"140230A00"</f>
        <v>140230A00</v>
      </c>
      <c r="E413" s="1">
        <v>31873</v>
      </c>
      <c r="F413" t="s">
        <v>2792</v>
      </c>
      <c r="G413" t="e">
        <f>INDEX(#REF!,MATCH(P413,#REF!,0),1)</f>
        <v>#REF!</v>
      </c>
      <c r="H413" t="s">
        <v>2793</v>
      </c>
      <c r="J413" t="s">
        <v>2134</v>
      </c>
      <c r="K413" t="s">
        <v>2004</v>
      </c>
      <c r="L413" t="str">
        <f>"02114-3002"</f>
        <v>02114-3002</v>
      </c>
      <c r="M413" t="s">
        <v>2794</v>
      </c>
      <c r="N413">
        <v>2598</v>
      </c>
      <c r="O413" t="s">
        <v>2136</v>
      </c>
      <c r="P413">
        <v>2598</v>
      </c>
      <c r="Q413" t="s">
        <v>2136</v>
      </c>
      <c r="R413" t="s">
        <v>2492</v>
      </c>
      <c r="S413" t="s">
        <v>2493</v>
      </c>
      <c r="T413" t="s">
        <v>44</v>
      </c>
      <c r="U413" t="s">
        <v>45</v>
      </c>
      <c r="AE413" t="s">
        <v>72</v>
      </c>
      <c r="AG413" t="s">
        <v>48</v>
      </c>
    </row>
    <row r="414" spans="1:33" x14ac:dyDescent="0.3">
      <c r="A414">
        <v>807</v>
      </c>
      <c r="B414" t="s">
        <v>2795</v>
      </c>
      <c r="C414" t="str">
        <f>"1100002078003"</f>
        <v>1100002078003</v>
      </c>
      <c r="D414" t="str">
        <f>"232510D00"</f>
        <v>232510D00</v>
      </c>
      <c r="E414" s="1">
        <v>41365</v>
      </c>
      <c r="F414" t="s">
        <v>2796</v>
      </c>
      <c r="G414" t="e">
        <f>INDEX(#REF!,MATCH(P414,#REF!,0),1)</f>
        <v>#REF!</v>
      </c>
      <c r="H414" t="s">
        <v>2797</v>
      </c>
      <c r="J414" t="s">
        <v>2798</v>
      </c>
      <c r="K414" t="s">
        <v>65</v>
      </c>
      <c r="L414">
        <v>17901</v>
      </c>
      <c r="M414" t="s">
        <v>2799</v>
      </c>
      <c r="N414">
        <v>767149</v>
      </c>
      <c r="O414" t="s">
        <v>1953</v>
      </c>
      <c r="P414">
        <v>6229940</v>
      </c>
      <c r="Q414" t="s">
        <v>2719</v>
      </c>
      <c r="R414" t="s">
        <v>266</v>
      </c>
      <c r="S414" t="s">
        <v>267</v>
      </c>
      <c r="T414" t="s">
        <v>44</v>
      </c>
      <c r="U414" t="s">
        <v>45</v>
      </c>
      <c r="AA414" t="s">
        <v>105</v>
      </c>
      <c r="AE414" t="s">
        <v>72</v>
      </c>
      <c r="AG414" t="s">
        <v>48</v>
      </c>
    </row>
    <row r="415" spans="1:33" x14ac:dyDescent="0.3">
      <c r="A415">
        <v>809</v>
      </c>
      <c r="B415" t="s">
        <v>2800</v>
      </c>
      <c r="C415" t="str">
        <f>"1100003788239"</f>
        <v>1100003788239</v>
      </c>
      <c r="D415" t="str">
        <f>"380330H00"</f>
        <v>380330H00</v>
      </c>
      <c r="E415" s="1">
        <v>41091</v>
      </c>
      <c r="F415" t="s">
        <v>2801</v>
      </c>
      <c r="G415" t="e">
        <f>INDEX(#REF!,MATCH(P415,#REF!,0),1)</f>
        <v>#REF!</v>
      </c>
      <c r="H415" t="s">
        <v>2802</v>
      </c>
      <c r="J415" t="s">
        <v>1510</v>
      </c>
      <c r="K415" t="s">
        <v>99</v>
      </c>
      <c r="L415" t="s">
        <v>2803</v>
      </c>
      <c r="M415" t="s">
        <v>2804</v>
      </c>
      <c r="N415">
        <v>792325</v>
      </c>
      <c r="O415" t="s">
        <v>2805</v>
      </c>
      <c r="P415">
        <v>792325</v>
      </c>
      <c r="Q415" t="s">
        <v>2805</v>
      </c>
      <c r="R415" t="s">
        <v>2806</v>
      </c>
      <c r="S415" t="s">
        <v>2807</v>
      </c>
      <c r="T415" t="s">
        <v>44</v>
      </c>
      <c r="U415" t="s">
        <v>288</v>
      </c>
      <c r="X415" t="s">
        <v>289</v>
      </c>
      <c r="AA415" t="s">
        <v>290</v>
      </c>
      <c r="AD415" t="s">
        <v>94</v>
      </c>
      <c r="AE415" t="s">
        <v>72</v>
      </c>
      <c r="AG415" t="s">
        <v>48</v>
      </c>
    </row>
    <row r="416" spans="1:33" x14ac:dyDescent="0.3">
      <c r="A416">
        <v>811</v>
      </c>
      <c r="B416" t="s">
        <v>2808</v>
      </c>
      <c r="C416" t="str">
        <f>"1100005902473"</f>
        <v>1100005902473</v>
      </c>
      <c r="D416" t="str">
        <f>""</f>
        <v/>
      </c>
      <c r="E416" s="1">
        <v>42583</v>
      </c>
      <c r="F416" t="s">
        <v>2809</v>
      </c>
      <c r="G416" t="e">
        <f>INDEX(#REF!,MATCH(P416,#REF!,0),1)</f>
        <v>#REF!</v>
      </c>
      <c r="H416" t="s">
        <v>2810</v>
      </c>
      <c r="J416" t="s">
        <v>2811</v>
      </c>
      <c r="K416" t="s">
        <v>99</v>
      </c>
      <c r="L416">
        <v>30635</v>
      </c>
      <c r="M416" t="s">
        <v>2812</v>
      </c>
      <c r="N416">
        <v>811</v>
      </c>
      <c r="O416" t="s">
        <v>2809</v>
      </c>
      <c r="P416">
        <v>811</v>
      </c>
      <c r="Q416" t="s">
        <v>2809</v>
      </c>
      <c r="R416" t="s">
        <v>365</v>
      </c>
      <c r="S416" t="s">
        <v>366</v>
      </c>
      <c r="T416" t="s">
        <v>44</v>
      </c>
      <c r="U416" t="s">
        <v>45</v>
      </c>
    </row>
    <row r="417" spans="1:33" x14ac:dyDescent="0.3">
      <c r="A417">
        <v>812</v>
      </c>
      <c r="B417" t="s">
        <v>2813</v>
      </c>
      <c r="C417" t="str">
        <f>"1100094244850"</f>
        <v>1100094244850</v>
      </c>
      <c r="D417" t="str">
        <f>"GBKD7GB00"</f>
        <v>GBKD7GB00</v>
      </c>
      <c r="E417" s="1">
        <v>31924</v>
      </c>
      <c r="F417" t="s">
        <v>2814</v>
      </c>
      <c r="G417" t="e">
        <f>INDEX(#REF!,MATCH(P417,#REF!,0),1)</f>
        <v>#REF!</v>
      </c>
      <c r="H417" t="s">
        <v>2815</v>
      </c>
      <c r="J417" t="s">
        <v>2816</v>
      </c>
      <c r="K417" t="s">
        <v>88</v>
      </c>
      <c r="L417">
        <v>93105</v>
      </c>
      <c r="M417" t="s">
        <v>2817</v>
      </c>
      <c r="N417">
        <v>812</v>
      </c>
      <c r="O417" t="s">
        <v>2814</v>
      </c>
      <c r="P417">
        <v>812</v>
      </c>
      <c r="Q417" t="s">
        <v>2814</v>
      </c>
      <c r="R417" t="s">
        <v>1571</v>
      </c>
      <c r="S417" t="s">
        <v>1572</v>
      </c>
      <c r="T417" t="s">
        <v>44</v>
      </c>
      <c r="U417" t="s">
        <v>81</v>
      </c>
      <c r="AA417" t="s">
        <v>1032</v>
      </c>
      <c r="AD417" t="s">
        <v>94</v>
      </c>
      <c r="AE417" t="s">
        <v>1033</v>
      </c>
    </row>
    <row r="418" spans="1:33" x14ac:dyDescent="0.3">
      <c r="A418">
        <v>816</v>
      </c>
      <c r="B418" t="s">
        <v>2818</v>
      </c>
      <c r="C418" t="str">
        <f>""</f>
        <v/>
      </c>
      <c r="D418" t="str">
        <f>"9IOLITB00"</f>
        <v>9IOLITB00</v>
      </c>
      <c r="E418" s="1">
        <v>43009</v>
      </c>
      <c r="F418" t="s">
        <v>2819</v>
      </c>
      <c r="G418" t="e">
        <f>INDEX(#REF!,MATCH(P418,#REF!,0),1)</f>
        <v>#REF!</v>
      </c>
      <c r="H418" t="s">
        <v>2820</v>
      </c>
      <c r="J418" t="s">
        <v>2821</v>
      </c>
      <c r="K418" t="s">
        <v>982</v>
      </c>
      <c r="L418" t="s">
        <v>2822</v>
      </c>
      <c r="M418" t="s">
        <v>2823</v>
      </c>
      <c r="N418">
        <v>767189</v>
      </c>
      <c r="O418" t="s">
        <v>985</v>
      </c>
      <c r="P418">
        <v>767189</v>
      </c>
      <c r="Q418" t="s">
        <v>985</v>
      </c>
      <c r="R418" t="s">
        <v>986</v>
      </c>
      <c r="S418" t="s">
        <v>987</v>
      </c>
      <c r="T418" t="s">
        <v>44</v>
      </c>
      <c r="U418" t="s">
        <v>81</v>
      </c>
      <c r="Y418" t="s">
        <v>46</v>
      </c>
      <c r="Z418" s="1">
        <v>44805</v>
      </c>
      <c r="AA418" t="s">
        <v>219</v>
      </c>
      <c r="AB418" t="s">
        <v>93</v>
      </c>
      <c r="AE418" t="s">
        <v>220</v>
      </c>
      <c r="AG418" t="s">
        <v>48</v>
      </c>
    </row>
    <row r="419" spans="1:33" x14ac:dyDescent="0.3">
      <c r="A419">
        <v>817</v>
      </c>
      <c r="B419" t="s">
        <v>2824</v>
      </c>
      <c r="C419" t="str">
        <f>"1100004413895"</f>
        <v>1100004413895</v>
      </c>
      <c r="D419" t="str">
        <f>"D2ERRV600"</f>
        <v>D2ERRV600</v>
      </c>
      <c r="E419" s="1">
        <v>42795</v>
      </c>
      <c r="F419" t="s">
        <v>2825</v>
      </c>
      <c r="G419" t="e">
        <f>INDEX(#REF!,MATCH(P419,#REF!,0),1)</f>
        <v>#REF!</v>
      </c>
      <c r="H419" t="s">
        <v>2820</v>
      </c>
      <c r="J419" t="s">
        <v>2821</v>
      </c>
      <c r="K419" t="s">
        <v>982</v>
      </c>
      <c r="L419" t="s">
        <v>2822</v>
      </c>
      <c r="M419" t="s">
        <v>2823</v>
      </c>
      <c r="N419">
        <v>767189</v>
      </c>
      <c r="O419" t="s">
        <v>985</v>
      </c>
      <c r="P419">
        <v>767189</v>
      </c>
      <c r="Q419" t="s">
        <v>985</v>
      </c>
      <c r="R419" t="s">
        <v>986</v>
      </c>
      <c r="S419" t="s">
        <v>987</v>
      </c>
      <c r="T419" t="s">
        <v>44</v>
      </c>
      <c r="U419" t="s">
        <v>45</v>
      </c>
      <c r="Y419" t="s">
        <v>46</v>
      </c>
      <c r="Z419" s="1">
        <v>44805</v>
      </c>
      <c r="AA419" t="s">
        <v>219</v>
      </c>
      <c r="AB419" t="s">
        <v>93</v>
      </c>
      <c r="AE419" t="s">
        <v>220</v>
      </c>
      <c r="AG419" t="s">
        <v>48</v>
      </c>
    </row>
    <row r="420" spans="1:33" x14ac:dyDescent="0.3">
      <c r="A420">
        <v>818</v>
      </c>
      <c r="B420" t="s">
        <v>2826</v>
      </c>
      <c r="C420" t="str">
        <f>"1100002346980"</f>
        <v>1100002346980</v>
      </c>
      <c r="D420" t="str">
        <f>"141470H00"</f>
        <v>141470H00</v>
      </c>
      <c r="E420" s="1">
        <v>42558</v>
      </c>
      <c r="F420" t="s">
        <v>2827</v>
      </c>
      <c r="G420" t="e">
        <f>INDEX(#REF!,MATCH(P420,#REF!,0),1)</f>
        <v>#REF!</v>
      </c>
      <c r="H420" t="s">
        <v>2828</v>
      </c>
      <c r="J420" t="s">
        <v>2829</v>
      </c>
      <c r="K420" t="s">
        <v>2004</v>
      </c>
      <c r="L420" t="str">
        <f>"01550-4047"</f>
        <v>01550-4047</v>
      </c>
      <c r="M420" t="s">
        <v>2830</v>
      </c>
      <c r="N420">
        <v>40134</v>
      </c>
      <c r="O420" t="s">
        <v>2185</v>
      </c>
      <c r="P420">
        <v>40134</v>
      </c>
      <c r="Q420" t="s">
        <v>2185</v>
      </c>
      <c r="R420" t="s">
        <v>277</v>
      </c>
      <c r="S420" t="s">
        <v>278</v>
      </c>
      <c r="T420" t="s">
        <v>44</v>
      </c>
      <c r="U420" t="s">
        <v>45</v>
      </c>
      <c r="AA420" t="s">
        <v>58</v>
      </c>
      <c r="AE420" t="s">
        <v>60</v>
      </c>
      <c r="AG420" t="s">
        <v>48</v>
      </c>
    </row>
    <row r="421" spans="1:33" x14ac:dyDescent="0.3">
      <c r="A421">
        <v>819</v>
      </c>
      <c r="B421" t="s">
        <v>2831</v>
      </c>
      <c r="C421" t="str">
        <f>""</f>
        <v/>
      </c>
      <c r="D421" t="str">
        <f>"361530I00"</f>
        <v>361530I00</v>
      </c>
      <c r="E421" s="1">
        <v>31924</v>
      </c>
      <c r="F421" t="s">
        <v>2832</v>
      </c>
      <c r="G421" t="e">
        <f>INDEX(#REF!,MATCH(P421,#REF!,0),1)</f>
        <v>#REF!</v>
      </c>
      <c r="H421" t="s">
        <v>2833</v>
      </c>
      <c r="J421" t="s">
        <v>525</v>
      </c>
      <c r="K421" t="s">
        <v>384</v>
      </c>
      <c r="L421">
        <v>27360</v>
      </c>
      <c r="M421" t="s">
        <v>2834</v>
      </c>
      <c r="N421">
        <v>665</v>
      </c>
      <c r="O421" t="s">
        <v>387</v>
      </c>
      <c r="P421">
        <v>665</v>
      </c>
      <c r="Q421" t="s">
        <v>387</v>
      </c>
      <c r="R421" t="s">
        <v>388</v>
      </c>
      <c r="S421" t="s">
        <v>389</v>
      </c>
      <c r="T421" t="s">
        <v>44</v>
      </c>
      <c r="U421" t="s">
        <v>45</v>
      </c>
      <c r="AA421" t="s">
        <v>82</v>
      </c>
      <c r="AE421" t="s">
        <v>83</v>
      </c>
    </row>
    <row r="422" spans="1:33" x14ac:dyDescent="0.3">
      <c r="A422">
        <v>820</v>
      </c>
      <c r="B422" t="s">
        <v>2835</v>
      </c>
      <c r="C422" t="str">
        <f>""</f>
        <v/>
      </c>
      <c r="D422" t="str">
        <f>"220990M00"</f>
        <v>220990M00</v>
      </c>
      <c r="E422" s="1">
        <v>39448</v>
      </c>
      <c r="F422" t="s">
        <v>2836</v>
      </c>
      <c r="G422" t="e">
        <f>INDEX(#REF!,MATCH(P422,#REF!,0),1)</f>
        <v>#REF!</v>
      </c>
      <c r="H422" t="s">
        <v>2837</v>
      </c>
      <c r="J422" t="s">
        <v>1546</v>
      </c>
      <c r="K422" t="s">
        <v>251</v>
      </c>
      <c r="L422" t="str">
        <f>"08240-9102"</f>
        <v>08240-9102</v>
      </c>
      <c r="M422" t="s">
        <v>2838</v>
      </c>
      <c r="N422">
        <v>86914</v>
      </c>
      <c r="O422" t="s">
        <v>2165</v>
      </c>
      <c r="P422">
        <v>86914</v>
      </c>
      <c r="Q422" t="s">
        <v>2165</v>
      </c>
      <c r="R422" t="s">
        <v>1753</v>
      </c>
      <c r="S422" t="s">
        <v>1754</v>
      </c>
      <c r="T422" t="s">
        <v>44</v>
      </c>
      <c r="U422" t="s">
        <v>45</v>
      </c>
      <c r="AE422" t="s">
        <v>564</v>
      </c>
      <c r="AG422" t="s">
        <v>48</v>
      </c>
    </row>
    <row r="423" spans="1:33" x14ac:dyDescent="0.3">
      <c r="A423">
        <v>822</v>
      </c>
      <c r="B423" t="s">
        <v>2839</v>
      </c>
      <c r="C423" t="str">
        <f>"1100002229382"</f>
        <v>1100002229382</v>
      </c>
      <c r="D423" t="str">
        <f>"410900E00"</f>
        <v>410900E00</v>
      </c>
      <c r="E423" s="1">
        <v>31964</v>
      </c>
      <c r="F423" t="s">
        <v>2840</v>
      </c>
      <c r="G423" t="e">
        <f>INDEX(#REF!,MATCH(P423,#REF!,0),1)</f>
        <v>#REF!</v>
      </c>
      <c r="H423" t="s">
        <v>2841</v>
      </c>
      <c r="J423" t="s">
        <v>446</v>
      </c>
      <c r="K423" t="s">
        <v>37</v>
      </c>
      <c r="L423">
        <v>43214</v>
      </c>
      <c r="M423" t="s">
        <v>2842</v>
      </c>
      <c r="N423">
        <v>210</v>
      </c>
      <c r="O423" t="s">
        <v>840</v>
      </c>
      <c r="P423">
        <v>210</v>
      </c>
      <c r="Q423" t="s">
        <v>840</v>
      </c>
      <c r="R423" t="s">
        <v>844</v>
      </c>
      <c r="S423" t="s">
        <v>845</v>
      </c>
      <c r="T423" t="s">
        <v>44</v>
      </c>
      <c r="U423" t="s">
        <v>45</v>
      </c>
      <c r="Y423" t="s">
        <v>46</v>
      </c>
      <c r="Z423" s="1">
        <v>42370</v>
      </c>
      <c r="AE423" t="s">
        <v>47</v>
      </c>
    </row>
    <row r="424" spans="1:33" x14ac:dyDescent="0.3">
      <c r="A424">
        <v>823</v>
      </c>
      <c r="B424" t="s">
        <v>2843</v>
      </c>
      <c r="C424" t="str">
        <f>""</f>
        <v/>
      </c>
      <c r="D424" t="str">
        <f>"411930I00"</f>
        <v>411930I00</v>
      </c>
      <c r="E424" s="1">
        <v>44562</v>
      </c>
      <c r="F424" t="s">
        <v>2844</v>
      </c>
      <c r="G424" t="e">
        <f>INDEX(#REF!,MATCH(P424,#REF!,0),1)</f>
        <v>#REF!</v>
      </c>
      <c r="H424" t="s">
        <v>2845</v>
      </c>
      <c r="J424" t="s">
        <v>1340</v>
      </c>
      <c r="K424" t="s">
        <v>37</v>
      </c>
      <c r="L424">
        <v>45662</v>
      </c>
      <c r="M424" t="s">
        <v>2846</v>
      </c>
      <c r="N424">
        <v>210</v>
      </c>
      <c r="O424" t="s">
        <v>840</v>
      </c>
      <c r="P424">
        <v>210</v>
      </c>
      <c r="Q424" t="s">
        <v>840</v>
      </c>
      <c r="R424" t="s">
        <v>844</v>
      </c>
      <c r="S424" t="s">
        <v>845</v>
      </c>
      <c r="T424" t="s">
        <v>117</v>
      </c>
      <c r="U424" t="s">
        <v>2479</v>
      </c>
      <c r="Y424" t="s">
        <v>46</v>
      </c>
      <c r="Z424" s="1">
        <v>44562</v>
      </c>
    </row>
    <row r="425" spans="1:33" x14ac:dyDescent="0.3">
      <c r="A425">
        <v>825</v>
      </c>
      <c r="B425" t="s">
        <v>2847</v>
      </c>
      <c r="C425" t="str">
        <f>""</f>
        <v/>
      </c>
      <c r="D425" t="str">
        <f>"621190J00"</f>
        <v>621190J00</v>
      </c>
      <c r="E425" s="1">
        <v>31964</v>
      </c>
      <c r="F425" t="s">
        <v>2848</v>
      </c>
      <c r="G425" t="e">
        <f>INDEX(#REF!,MATCH(P425,#REF!,0),1)</f>
        <v>#REF!</v>
      </c>
      <c r="H425" t="s">
        <v>2849</v>
      </c>
      <c r="J425" t="s">
        <v>2850</v>
      </c>
      <c r="K425" t="s">
        <v>1603</v>
      </c>
      <c r="L425">
        <v>51566</v>
      </c>
      <c r="M425" t="s">
        <v>2851</v>
      </c>
      <c r="N425">
        <v>908</v>
      </c>
      <c r="O425" t="s">
        <v>730</v>
      </c>
      <c r="P425">
        <v>908</v>
      </c>
      <c r="Q425" t="s">
        <v>730</v>
      </c>
      <c r="R425" t="s">
        <v>1046</v>
      </c>
      <c r="S425" t="s">
        <v>1047</v>
      </c>
      <c r="T425" t="s">
        <v>44</v>
      </c>
      <c r="U425" t="s">
        <v>45</v>
      </c>
      <c r="AA425" t="s">
        <v>327</v>
      </c>
      <c r="AD425" t="s">
        <v>94</v>
      </c>
      <c r="AE425" t="s">
        <v>1522</v>
      </c>
    </row>
    <row r="426" spans="1:33" x14ac:dyDescent="0.3">
      <c r="A426">
        <v>826</v>
      </c>
      <c r="B426" t="s">
        <v>2852</v>
      </c>
      <c r="C426" t="str">
        <f>"1100003848735"</f>
        <v>1100003848735</v>
      </c>
      <c r="D426" t="str">
        <f>"411540F00"</f>
        <v>411540F00</v>
      </c>
      <c r="E426" s="1">
        <v>31964</v>
      </c>
      <c r="F426" t="s">
        <v>2853</v>
      </c>
      <c r="G426" t="e">
        <f>INDEX(#REF!,MATCH(P426,#REF!,0),1)</f>
        <v>#REF!</v>
      </c>
      <c r="H426" t="s">
        <v>2854</v>
      </c>
      <c r="I426" t="s">
        <v>259</v>
      </c>
      <c r="J426" t="s">
        <v>1700</v>
      </c>
      <c r="K426" t="s">
        <v>37</v>
      </c>
      <c r="L426" t="s">
        <v>2855</v>
      </c>
      <c r="M426" t="s">
        <v>2856</v>
      </c>
      <c r="N426">
        <v>210</v>
      </c>
      <c r="O426" t="s">
        <v>840</v>
      </c>
      <c r="P426">
        <v>210</v>
      </c>
      <c r="Q426" t="s">
        <v>840</v>
      </c>
      <c r="R426" t="s">
        <v>844</v>
      </c>
      <c r="S426" t="s">
        <v>845</v>
      </c>
      <c r="T426" t="s">
        <v>44</v>
      </c>
      <c r="U426" t="s">
        <v>45</v>
      </c>
      <c r="Y426" t="s">
        <v>46</v>
      </c>
      <c r="Z426" s="1">
        <v>42370</v>
      </c>
      <c r="AE426" t="s">
        <v>47</v>
      </c>
    </row>
    <row r="427" spans="1:33" x14ac:dyDescent="0.3">
      <c r="A427">
        <v>828</v>
      </c>
      <c r="B427" t="s">
        <v>2857</v>
      </c>
      <c r="C427" t="str">
        <f>"1100003307775"</f>
        <v>1100003307775</v>
      </c>
      <c r="D427" t="str">
        <f>"361710I00"</f>
        <v>361710I00</v>
      </c>
      <c r="E427" s="1">
        <v>31964</v>
      </c>
      <c r="F427" t="s">
        <v>2858</v>
      </c>
      <c r="G427" t="e">
        <f>INDEX(#REF!,MATCH(P427,#REF!,0),1)</f>
        <v>#REF!</v>
      </c>
      <c r="H427" t="s">
        <v>2859</v>
      </c>
      <c r="J427" t="s">
        <v>383</v>
      </c>
      <c r="K427" t="s">
        <v>384</v>
      </c>
      <c r="L427">
        <v>27103</v>
      </c>
      <c r="M427" t="s">
        <v>2860</v>
      </c>
      <c r="N427">
        <v>665</v>
      </c>
      <c r="O427" t="s">
        <v>387</v>
      </c>
      <c r="P427">
        <v>665</v>
      </c>
      <c r="Q427" t="s">
        <v>387</v>
      </c>
      <c r="R427" t="s">
        <v>388</v>
      </c>
      <c r="S427" t="s">
        <v>389</v>
      </c>
      <c r="T427" t="s">
        <v>44</v>
      </c>
      <c r="U427" t="s">
        <v>45</v>
      </c>
      <c r="AA427" t="s">
        <v>82</v>
      </c>
      <c r="AE427" t="s">
        <v>83</v>
      </c>
    </row>
    <row r="428" spans="1:33" x14ac:dyDescent="0.3">
      <c r="A428">
        <v>831</v>
      </c>
      <c r="B428" t="s">
        <v>2861</v>
      </c>
      <c r="C428" t="str">
        <f>""</f>
        <v/>
      </c>
      <c r="D428" t="str">
        <f>"150160D00"</f>
        <v>150160D00</v>
      </c>
      <c r="E428" s="1">
        <v>31964</v>
      </c>
      <c r="F428" t="s">
        <v>2862</v>
      </c>
      <c r="G428" t="e">
        <f>INDEX(#REF!,MATCH(P428,#REF!,0),1)</f>
        <v>#REF!</v>
      </c>
      <c r="H428" t="s">
        <v>2863</v>
      </c>
      <c r="J428" t="s">
        <v>1465</v>
      </c>
      <c r="K428" t="s">
        <v>2507</v>
      </c>
      <c r="L428" t="str">
        <f>"02905"</f>
        <v>02905</v>
      </c>
      <c r="M428" t="s">
        <v>2864</v>
      </c>
      <c r="N428">
        <v>81773</v>
      </c>
      <c r="O428" t="s">
        <v>2865</v>
      </c>
      <c r="P428">
        <v>81773</v>
      </c>
      <c r="Q428" t="s">
        <v>2865</v>
      </c>
      <c r="R428" t="s">
        <v>658</v>
      </c>
      <c r="S428" t="s">
        <v>659</v>
      </c>
      <c r="T428" t="s">
        <v>44</v>
      </c>
      <c r="U428" t="s">
        <v>45</v>
      </c>
      <c r="AA428" t="s">
        <v>119</v>
      </c>
      <c r="AE428" t="s">
        <v>60</v>
      </c>
      <c r="AG428" t="s">
        <v>48</v>
      </c>
    </row>
    <row r="429" spans="1:33" x14ac:dyDescent="0.3">
      <c r="A429">
        <v>833</v>
      </c>
      <c r="B429" t="s">
        <v>2866</v>
      </c>
      <c r="C429" t="str">
        <f>""</f>
        <v/>
      </c>
      <c r="D429" t="str">
        <f>"150170E00"</f>
        <v>150170E00</v>
      </c>
      <c r="E429" s="1">
        <v>31964</v>
      </c>
      <c r="F429" t="s">
        <v>2867</v>
      </c>
      <c r="G429" t="e">
        <f>INDEX(#REF!,MATCH(P429,#REF!,0),1)</f>
        <v>#REF!</v>
      </c>
      <c r="H429" t="s">
        <v>2868</v>
      </c>
      <c r="J429" t="s">
        <v>2869</v>
      </c>
      <c r="K429" t="s">
        <v>2507</v>
      </c>
      <c r="L429" t="str">
        <f>"02915-5061"</f>
        <v>02915-5061</v>
      </c>
      <c r="M429" t="s">
        <v>2870</v>
      </c>
      <c r="N429">
        <v>30853</v>
      </c>
      <c r="O429" t="s">
        <v>2509</v>
      </c>
      <c r="P429">
        <v>30853</v>
      </c>
      <c r="Q429" t="s">
        <v>2509</v>
      </c>
      <c r="R429" t="s">
        <v>658</v>
      </c>
      <c r="S429" t="s">
        <v>659</v>
      </c>
      <c r="T429" t="s">
        <v>44</v>
      </c>
      <c r="U429" t="s">
        <v>288</v>
      </c>
      <c r="AA429" t="s">
        <v>119</v>
      </c>
      <c r="AE429" t="s">
        <v>60</v>
      </c>
      <c r="AG429" t="s">
        <v>48</v>
      </c>
    </row>
    <row r="430" spans="1:33" x14ac:dyDescent="0.3">
      <c r="A430">
        <v>834</v>
      </c>
      <c r="B430" t="s">
        <v>2871</v>
      </c>
      <c r="C430" t="str">
        <f>""</f>
        <v/>
      </c>
      <c r="D430" t="str">
        <f>"934540P00"</f>
        <v>934540P00</v>
      </c>
      <c r="E430" s="1">
        <v>30635</v>
      </c>
      <c r="F430" t="s">
        <v>2872</v>
      </c>
      <c r="G430" t="e">
        <f>INDEX(#REF!,MATCH(P430,#REF!,0),1)</f>
        <v>#REF!</v>
      </c>
      <c r="H430" t="s">
        <v>2873</v>
      </c>
      <c r="J430" t="s">
        <v>969</v>
      </c>
      <c r="K430" t="s">
        <v>88</v>
      </c>
      <c r="L430" t="s">
        <v>2874</v>
      </c>
      <c r="M430" t="s">
        <v>2875</v>
      </c>
      <c r="N430">
        <v>251</v>
      </c>
      <c r="O430" t="s">
        <v>90</v>
      </c>
      <c r="P430">
        <v>251</v>
      </c>
      <c r="Q430" t="s">
        <v>90</v>
      </c>
      <c r="R430" t="s">
        <v>91</v>
      </c>
      <c r="S430" t="s">
        <v>92</v>
      </c>
      <c r="T430" t="s">
        <v>44</v>
      </c>
      <c r="U430" t="s">
        <v>45</v>
      </c>
      <c r="AA430" t="s">
        <v>93</v>
      </c>
      <c r="AC430" t="s">
        <v>90</v>
      </c>
      <c r="AD430" t="s">
        <v>94</v>
      </c>
      <c r="AE430" t="s">
        <v>72</v>
      </c>
      <c r="AG430" t="s">
        <v>48</v>
      </c>
    </row>
    <row r="431" spans="1:33" x14ac:dyDescent="0.3">
      <c r="A431">
        <v>840</v>
      </c>
      <c r="B431" t="s">
        <v>2876</v>
      </c>
      <c r="C431" t="str">
        <f>""</f>
        <v/>
      </c>
      <c r="D431" t="str">
        <f>"230660H00"</f>
        <v>230660H00</v>
      </c>
      <c r="E431" s="1">
        <v>32024</v>
      </c>
      <c r="F431" t="s">
        <v>2877</v>
      </c>
      <c r="G431" t="e">
        <f>INDEX(#REF!,MATCH(P431,#REF!,0),1)</f>
        <v>#REF!</v>
      </c>
      <c r="H431" t="s">
        <v>2878</v>
      </c>
      <c r="J431" t="s">
        <v>2879</v>
      </c>
      <c r="K431" t="s">
        <v>65</v>
      </c>
      <c r="L431">
        <v>19026</v>
      </c>
      <c r="M431" t="s">
        <v>2880</v>
      </c>
      <c r="N431">
        <v>2623550</v>
      </c>
      <c r="O431" t="s">
        <v>1767</v>
      </c>
      <c r="P431">
        <v>1202</v>
      </c>
      <c r="Q431" t="s">
        <v>1768</v>
      </c>
      <c r="R431" t="s">
        <v>1549</v>
      </c>
      <c r="S431" t="s">
        <v>1550</v>
      </c>
      <c r="T431" t="s">
        <v>44</v>
      </c>
      <c r="U431" t="s">
        <v>45</v>
      </c>
      <c r="AE431" t="s">
        <v>564</v>
      </c>
    </row>
    <row r="432" spans="1:33" x14ac:dyDescent="0.3">
      <c r="A432">
        <v>842</v>
      </c>
      <c r="B432" t="s">
        <v>2881</v>
      </c>
      <c r="C432" t="str">
        <f>"1100002467746"</f>
        <v>1100002467746</v>
      </c>
      <c r="D432" t="str">
        <f>"5DH91KT00"</f>
        <v>5DH91KT00</v>
      </c>
      <c r="E432" s="1">
        <v>32024</v>
      </c>
      <c r="F432" t="s">
        <v>2882</v>
      </c>
      <c r="G432" t="e">
        <f>INDEX(#REF!,MATCH(P432,#REF!,0),1)</f>
        <v>#REF!</v>
      </c>
      <c r="H432" t="s">
        <v>2883</v>
      </c>
      <c r="J432" t="s">
        <v>2884</v>
      </c>
      <c r="K432" t="s">
        <v>77</v>
      </c>
      <c r="L432" t="s">
        <v>2885</v>
      </c>
      <c r="M432" t="s">
        <v>2886</v>
      </c>
      <c r="N432">
        <v>9</v>
      </c>
      <c r="O432" t="s">
        <v>74</v>
      </c>
      <c r="P432">
        <v>9</v>
      </c>
      <c r="Q432" t="s">
        <v>74</v>
      </c>
      <c r="R432" t="s">
        <v>79</v>
      </c>
      <c r="S432" t="s">
        <v>80</v>
      </c>
      <c r="T432" t="s">
        <v>44</v>
      </c>
      <c r="U432" t="s">
        <v>45</v>
      </c>
      <c r="AA432" t="s">
        <v>82</v>
      </c>
      <c r="AE432" t="s">
        <v>83</v>
      </c>
      <c r="AG432" t="s">
        <v>48</v>
      </c>
    </row>
    <row r="433" spans="1:33" x14ac:dyDescent="0.3">
      <c r="A433">
        <v>846</v>
      </c>
      <c r="B433" t="s">
        <v>2887</v>
      </c>
      <c r="C433" t="str">
        <f>"1100003270611"</f>
        <v>1100003270611</v>
      </c>
      <c r="D433" t="str">
        <f>"610250E00"</f>
        <v>610250E00</v>
      </c>
      <c r="E433" s="1">
        <v>32024</v>
      </c>
      <c r="F433" t="s">
        <v>2888</v>
      </c>
      <c r="G433" t="e">
        <f>INDEX(#REF!,MATCH(P433,#REF!,0),1)</f>
        <v>#REF!</v>
      </c>
      <c r="H433" t="s">
        <v>2889</v>
      </c>
      <c r="J433" t="s">
        <v>1328</v>
      </c>
      <c r="K433" t="s">
        <v>283</v>
      </c>
      <c r="L433" t="s">
        <v>2890</v>
      </c>
      <c r="M433" t="s">
        <v>2891</v>
      </c>
      <c r="N433">
        <v>559</v>
      </c>
      <c r="O433" t="s">
        <v>2041</v>
      </c>
      <c r="P433">
        <v>559</v>
      </c>
      <c r="Q433" t="s">
        <v>2041</v>
      </c>
      <c r="R433" t="s">
        <v>611</v>
      </c>
      <c r="S433" t="s">
        <v>612</v>
      </c>
      <c r="T433" t="s">
        <v>44</v>
      </c>
      <c r="U433" t="s">
        <v>45</v>
      </c>
      <c r="AD433" t="s">
        <v>94</v>
      </c>
      <c r="AE433" t="s">
        <v>120</v>
      </c>
    </row>
    <row r="434" spans="1:33" x14ac:dyDescent="0.3">
      <c r="A434">
        <v>849</v>
      </c>
      <c r="B434" t="s">
        <v>2892</v>
      </c>
      <c r="C434" t="str">
        <f>"1100003659713"</f>
        <v>1100003659713</v>
      </c>
      <c r="D434" t="str">
        <f>"120100400"</f>
        <v>120100400</v>
      </c>
      <c r="E434" s="1">
        <v>42583</v>
      </c>
      <c r="F434" t="s">
        <v>2893</v>
      </c>
      <c r="G434" t="e">
        <f>INDEX(#REF!,MATCH(P434,#REF!,0),1)</f>
        <v>#REF!</v>
      </c>
      <c r="H434" t="s">
        <v>2894</v>
      </c>
      <c r="J434" t="s">
        <v>2895</v>
      </c>
      <c r="K434" t="s">
        <v>53</v>
      </c>
      <c r="L434" t="str">
        <f>"03833"</f>
        <v>03833</v>
      </c>
      <c r="M434" t="s">
        <v>2896</v>
      </c>
      <c r="N434">
        <v>849</v>
      </c>
      <c r="O434" t="s">
        <v>2893</v>
      </c>
      <c r="P434">
        <v>849</v>
      </c>
      <c r="Q434" t="s">
        <v>2893</v>
      </c>
      <c r="R434" t="s">
        <v>1301</v>
      </c>
      <c r="S434" t="s">
        <v>1302</v>
      </c>
      <c r="T434" t="s">
        <v>44</v>
      </c>
      <c r="U434" t="s">
        <v>45</v>
      </c>
    </row>
    <row r="435" spans="1:33" x14ac:dyDescent="0.3">
      <c r="A435">
        <v>853</v>
      </c>
      <c r="B435" t="s">
        <v>2897</v>
      </c>
      <c r="C435" t="str">
        <f>"1100094128433"</f>
        <v>1100094128433</v>
      </c>
      <c r="D435" t="str">
        <f>"150060C00"</f>
        <v>150060C00</v>
      </c>
      <c r="E435" s="1">
        <v>32024</v>
      </c>
      <c r="F435" t="s">
        <v>2898</v>
      </c>
      <c r="G435" t="e">
        <f>INDEX(#REF!,MATCH(P435,#REF!,0),1)</f>
        <v>#REF!</v>
      </c>
      <c r="H435" t="s">
        <v>2899</v>
      </c>
      <c r="J435" t="s">
        <v>2900</v>
      </c>
      <c r="K435" t="s">
        <v>2507</v>
      </c>
      <c r="L435" t="str">
        <f>"02840-2299"</f>
        <v>02840-2299</v>
      </c>
      <c r="M435" t="s">
        <v>2901</v>
      </c>
      <c r="N435">
        <v>30853</v>
      </c>
      <c r="O435" t="s">
        <v>2509</v>
      </c>
      <c r="P435">
        <v>30853</v>
      </c>
      <c r="Q435" t="s">
        <v>2509</v>
      </c>
      <c r="R435" t="s">
        <v>658</v>
      </c>
      <c r="S435" t="s">
        <v>659</v>
      </c>
      <c r="T435" t="s">
        <v>44</v>
      </c>
      <c r="U435" t="s">
        <v>45</v>
      </c>
      <c r="AA435" t="s">
        <v>119</v>
      </c>
      <c r="AE435" t="s">
        <v>60</v>
      </c>
      <c r="AG435" t="s">
        <v>48</v>
      </c>
    </row>
    <row r="436" spans="1:33" x14ac:dyDescent="0.3">
      <c r="A436">
        <v>855</v>
      </c>
      <c r="B436" t="s">
        <v>2902</v>
      </c>
      <c r="C436" t="str">
        <f>"1100007284096"</f>
        <v>1100007284096</v>
      </c>
      <c r="D436" t="str">
        <f>"530390K00"</f>
        <v>530390K00</v>
      </c>
      <c r="E436" s="1">
        <v>32024</v>
      </c>
      <c r="F436" t="s">
        <v>2903</v>
      </c>
      <c r="G436" t="e">
        <f>INDEX(#REF!,MATCH(P436,#REF!,0),1)</f>
        <v>#REF!</v>
      </c>
      <c r="H436" t="s">
        <v>2904</v>
      </c>
      <c r="J436" t="s">
        <v>2905</v>
      </c>
      <c r="K436" t="s">
        <v>125</v>
      </c>
      <c r="L436" t="s">
        <v>2906</v>
      </c>
      <c r="M436" t="s">
        <v>2907</v>
      </c>
      <c r="N436">
        <v>855</v>
      </c>
      <c r="O436" t="s">
        <v>2903</v>
      </c>
      <c r="P436">
        <v>855</v>
      </c>
      <c r="Q436" t="s">
        <v>2903</v>
      </c>
      <c r="R436" t="s">
        <v>365</v>
      </c>
      <c r="S436" t="s">
        <v>366</v>
      </c>
      <c r="T436" t="s">
        <v>44</v>
      </c>
      <c r="U436" t="s">
        <v>45</v>
      </c>
      <c r="AA436" t="s">
        <v>93</v>
      </c>
      <c r="AC436" t="s">
        <v>2908</v>
      </c>
    </row>
    <row r="437" spans="1:33" x14ac:dyDescent="0.3">
      <c r="A437">
        <v>856</v>
      </c>
      <c r="B437" t="s">
        <v>2909</v>
      </c>
      <c r="C437" t="str">
        <f>""</f>
        <v/>
      </c>
      <c r="D437" t="str">
        <f>"2BT7MFE00"</f>
        <v>2BT7MFE00</v>
      </c>
      <c r="E437" s="1">
        <v>40817</v>
      </c>
      <c r="F437" t="s">
        <v>2910</v>
      </c>
      <c r="G437" t="e">
        <f>INDEX(#REF!,MATCH(P437,#REF!,0),1)</f>
        <v>#REF!</v>
      </c>
      <c r="H437" t="s">
        <v>2911</v>
      </c>
      <c r="I437" t="s">
        <v>2912</v>
      </c>
      <c r="J437" t="s">
        <v>2913</v>
      </c>
      <c r="K437" t="s">
        <v>208</v>
      </c>
      <c r="L437" t="s">
        <v>2914</v>
      </c>
      <c r="M437" t="s">
        <v>2915</v>
      </c>
      <c r="N437">
        <v>856</v>
      </c>
      <c r="O437" t="s">
        <v>2910</v>
      </c>
      <c r="P437">
        <v>856</v>
      </c>
      <c r="Q437" t="s">
        <v>2910</v>
      </c>
      <c r="R437" t="s">
        <v>2212</v>
      </c>
      <c r="S437" t="s">
        <v>2213</v>
      </c>
      <c r="T437" t="s">
        <v>2214</v>
      </c>
      <c r="U437" t="s">
        <v>2214</v>
      </c>
      <c r="V437" t="s">
        <v>2215</v>
      </c>
    </row>
    <row r="438" spans="1:33" x14ac:dyDescent="0.3">
      <c r="A438">
        <v>858</v>
      </c>
      <c r="B438" t="s">
        <v>2916</v>
      </c>
      <c r="C438" t="str">
        <f>""</f>
        <v/>
      </c>
      <c r="D438" t="str">
        <f>"263UR9500"</f>
        <v>263UR9500</v>
      </c>
      <c r="E438" s="1">
        <v>32057</v>
      </c>
      <c r="F438" t="s">
        <v>2917</v>
      </c>
      <c r="G438" t="e">
        <f>INDEX(#REF!,MATCH(P438,#REF!,0),1)</f>
        <v>#REF!</v>
      </c>
      <c r="H438" t="s">
        <v>2918</v>
      </c>
      <c r="J438" t="s">
        <v>881</v>
      </c>
      <c r="K438" t="s">
        <v>37</v>
      </c>
      <c r="L438" t="s">
        <v>2919</v>
      </c>
      <c r="M438" t="s">
        <v>2920</v>
      </c>
      <c r="N438">
        <v>707715</v>
      </c>
      <c r="O438" t="s">
        <v>635</v>
      </c>
      <c r="P438">
        <v>111100</v>
      </c>
      <c r="Q438" t="s">
        <v>2921</v>
      </c>
      <c r="R438" t="s">
        <v>520</v>
      </c>
      <c r="S438" t="s">
        <v>521</v>
      </c>
      <c r="T438" t="s">
        <v>44</v>
      </c>
      <c r="U438" t="s">
        <v>45</v>
      </c>
      <c r="AA438" t="s">
        <v>58</v>
      </c>
      <c r="AC438" t="s">
        <v>635</v>
      </c>
      <c r="AE438" t="s">
        <v>269</v>
      </c>
      <c r="AG438" t="s">
        <v>48</v>
      </c>
    </row>
    <row r="439" spans="1:33" x14ac:dyDescent="0.3">
      <c r="A439">
        <v>862</v>
      </c>
      <c r="B439" t="s">
        <v>2922</v>
      </c>
      <c r="C439" t="str">
        <f>"1100094277216"</f>
        <v>1100094277216</v>
      </c>
      <c r="D439" t="str">
        <f>"141030900"</f>
        <v>141030900</v>
      </c>
      <c r="E439" s="1">
        <v>32057</v>
      </c>
      <c r="F439" t="s">
        <v>2923</v>
      </c>
      <c r="G439" t="e">
        <f>INDEX(#REF!,MATCH(P439,#REF!,0),1)</f>
        <v>#REF!</v>
      </c>
      <c r="H439" t="s">
        <v>2924</v>
      </c>
      <c r="J439" t="s">
        <v>2925</v>
      </c>
      <c r="K439" t="s">
        <v>2004</v>
      </c>
      <c r="L439" t="str">
        <f>"02176-3298"</f>
        <v>02176-3298</v>
      </c>
      <c r="M439" t="s">
        <v>2926</v>
      </c>
      <c r="N439">
        <v>53914</v>
      </c>
      <c r="O439" t="s">
        <v>2020</v>
      </c>
      <c r="P439">
        <v>50414</v>
      </c>
      <c r="Q439" t="s">
        <v>2021</v>
      </c>
      <c r="R439" t="s">
        <v>1301</v>
      </c>
      <c r="S439" t="s">
        <v>1302</v>
      </c>
      <c r="T439" t="s">
        <v>44</v>
      </c>
      <c r="U439" t="s">
        <v>45</v>
      </c>
    </row>
    <row r="440" spans="1:33" x14ac:dyDescent="0.3">
      <c r="A440">
        <v>863</v>
      </c>
      <c r="B440" t="s">
        <v>2927</v>
      </c>
      <c r="C440" t="str">
        <f>""</f>
        <v/>
      </c>
      <c r="D440" t="str">
        <f>"1JM3TEG00"</f>
        <v>1JM3TEG00</v>
      </c>
      <c r="E440" s="1">
        <v>32057</v>
      </c>
      <c r="F440" t="s">
        <v>2928</v>
      </c>
      <c r="G440" t="e">
        <f>INDEX(#REF!,MATCH(P440,#REF!,0),1)</f>
        <v>#REF!</v>
      </c>
      <c r="H440" t="s">
        <v>1817</v>
      </c>
      <c r="J440" t="s">
        <v>1818</v>
      </c>
      <c r="K440" t="s">
        <v>251</v>
      </c>
      <c r="L440" t="str">
        <f>"08302-2123"</f>
        <v>08302-2123</v>
      </c>
      <c r="M440" t="s">
        <v>1819</v>
      </c>
      <c r="N440">
        <v>1247</v>
      </c>
      <c r="O440" t="s">
        <v>1820</v>
      </c>
      <c r="P440">
        <v>1247</v>
      </c>
      <c r="Q440" t="s">
        <v>1820</v>
      </c>
      <c r="R440" t="s">
        <v>254</v>
      </c>
      <c r="S440" t="s">
        <v>255</v>
      </c>
      <c r="T440" t="s">
        <v>44</v>
      </c>
      <c r="U440" t="s">
        <v>81</v>
      </c>
    </row>
    <row r="441" spans="1:33" x14ac:dyDescent="0.3">
      <c r="A441">
        <v>866</v>
      </c>
      <c r="B441" t="s">
        <v>2929</v>
      </c>
      <c r="C441" t="str">
        <f>"1100004422804"</f>
        <v>1100004422804</v>
      </c>
      <c r="D441" t="str">
        <f>"141680K00"</f>
        <v>141680K00</v>
      </c>
      <c r="E441" s="1">
        <v>42583</v>
      </c>
      <c r="F441" t="s">
        <v>2930</v>
      </c>
      <c r="G441" t="e">
        <f>INDEX(#REF!,MATCH(P441,#REF!,0),1)</f>
        <v>#REF!</v>
      </c>
      <c r="H441" t="s">
        <v>2931</v>
      </c>
      <c r="J441" t="s">
        <v>2932</v>
      </c>
      <c r="K441" t="s">
        <v>2004</v>
      </c>
      <c r="L441" t="str">
        <f>"01082"</f>
        <v>01082</v>
      </c>
      <c r="M441" t="s">
        <v>2933</v>
      </c>
      <c r="N441">
        <v>33556</v>
      </c>
      <c r="O441" t="s">
        <v>2934</v>
      </c>
      <c r="P441">
        <v>33556</v>
      </c>
      <c r="Q441" t="s">
        <v>2934</v>
      </c>
      <c r="R441" t="s">
        <v>1301</v>
      </c>
      <c r="S441" t="s">
        <v>1302</v>
      </c>
      <c r="T441" t="s">
        <v>44</v>
      </c>
      <c r="U441" t="s">
        <v>45</v>
      </c>
      <c r="AG441" t="s">
        <v>48</v>
      </c>
    </row>
    <row r="442" spans="1:33" x14ac:dyDescent="0.3">
      <c r="A442">
        <v>871</v>
      </c>
      <c r="B442" t="s">
        <v>2935</v>
      </c>
      <c r="C442" t="str">
        <f>"1100004802378"</f>
        <v>1100004802378</v>
      </c>
      <c r="D442" t="str">
        <f>"082NPN900"</f>
        <v>082NPN900</v>
      </c>
      <c r="E442" s="1">
        <v>32097</v>
      </c>
      <c r="F442" t="s">
        <v>1871</v>
      </c>
      <c r="G442" t="e">
        <f>INDEX(#REF!,MATCH(P442,#REF!,0),1)</f>
        <v>#REF!</v>
      </c>
      <c r="H442" t="s">
        <v>2936</v>
      </c>
      <c r="J442" t="s">
        <v>2754</v>
      </c>
      <c r="K442" t="s">
        <v>835</v>
      </c>
      <c r="L442" t="s">
        <v>2937</v>
      </c>
      <c r="M442" t="s">
        <v>2938</v>
      </c>
      <c r="N442">
        <v>2599</v>
      </c>
      <c r="O442" t="s">
        <v>1870</v>
      </c>
      <c r="P442">
        <v>2599</v>
      </c>
      <c r="Q442" t="s">
        <v>1870</v>
      </c>
      <c r="R442" t="s">
        <v>649</v>
      </c>
      <c r="S442" t="s">
        <v>650</v>
      </c>
      <c r="T442" t="s">
        <v>44</v>
      </c>
      <c r="U442" t="s">
        <v>81</v>
      </c>
      <c r="AD442" t="s">
        <v>94</v>
      </c>
      <c r="AE442" t="s">
        <v>1522</v>
      </c>
    </row>
    <row r="443" spans="1:33" x14ac:dyDescent="0.3">
      <c r="A443">
        <v>874</v>
      </c>
      <c r="B443" t="s">
        <v>2939</v>
      </c>
      <c r="C443" t="str">
        <f>""</f>
        <v/>
      </c>
      <c r="D443" t="str">
        <f>"TV21GT000"</f>
        <v>TV21GT000</v>
      </c>
      <c r="E443" s="1">
        <v>42493</v>
      </c>
      <c r="F443" t="s">
        <v>2940</v>
      </c>
      <c r="G443" t="e">
        <f>INDEX(#REF!,MATCH(P443,#REF!,0),1)</f>
        <v>#REF!</v>
      </c>
      <c r="H443" t="s">
        <v>2941</v>
      </c>
      <c r="J443" t="s">
        <v>2942</v>
      </c>
      <c r="K443" t="s">
        <v>835</v>
      </c>
      <c r="L443">
        <v>67601</v>
      </c>
      <c r="M443" t="s">
        <v>2943</v>
      </c>
      <c r="N443">
        <v>874</v>
      </c>
      <c r="O443" t="s">
        <v>2940</v>
      </c>
      <c r="P443">
        <v>874</v>
      </c>
      <c r="Q443" t="s">
        <v>2940</v>
      </c>
      <c r="R443" t="s">
        <v>228</v>
      </c>
      <c r="S443" t="s">
        <v>229</v>
      </c>
      <c r="T443" t="s">
        <v>44</v>
      </c>
      <c r="U443" t="s">
        <v>45</v>
      </c>
      <c r="AA443" t="s">
        <v>119</v>
      </c>
      <c r="AE443" t="s">
        <v>120</v>
      </c>
      <c r="AG443" t="s">
        <v>48</v>
      </c>
    </row>
    <row r="444" spans="1:33" x14ac:dyDescent="0.3">
      <c r="A444">
        <v>876</v>
      </c>
      <c r="B444" t="s">
        <v>2944</v>
      </c>
      <c r="C444" t="str">
        <f>""</f>
        <v/>
      </c>
      <c r="D444" t="str">
        <f>"670880T00"</f>
        <v>670880T00</v>
      </c>
      <c r="E444" s="1">
        <v>34943</v>
      </c>
      <c r="F444" t="s">
        <v>2945</v>
      </c>
      <c r="G444" t="e">
        <f>INDEX(#REF!,MATCH(P444,#REF!,0),1)</f>
        <v>#REF!</v>
      </c>
      <c r="H444" t="s">
        <v>2946</v>
      </c>
      <c r="J444" t="s">
        <v>2947</v>
      </c>
      <c r="K444" t="s">
        <v>835</v>
      </c>
      <c r="L444" t="s">
        <v>2948</v>
      </c>
      <c r="M444" t="s">
        <v>2949</v>
      </c>
      <c r="N444">
        <v>2599</v>
      </c>
      <c r="O444" t="s">
        <v>1870</v>
      </c>
      <c r="P444">
        <v>2599</v>
      </c>
      <c r="Q444" t="s">
        <v>1870</v>
      </c>
      <c r="R444" t="s">
        <v>649</v>
      </c>
      <c r="S444" t="s">
        <v>650</v>
      </c>
      <c r="T444" t="s">
        <v>44</v>
      </c>
      <c r="U444" t="s">
        <v>45</v>
      </c>
      <c r="AA444" t="s">
        <v>327</v>
      </c>
      <c r="AD444" t="s">
        <v>94</v>
      </c>
      <c r="AE444" t="s">
        <v>348</v>
      </c>
    </row>
    <row r="445" spans="1:33" x14ac:dyDescent="0.3">
      <c r="A445">
        <v>877</v>
      </c>
      <c r="B445" t="s">
        <v>2950</v>
      </c>
      <c r="C445" t="str">
        <f>""</f>
        <v/>
      </c>
      <c r="D445" t="str">
        <f>"670070K00"</f>
        <v>670070K00</v>
      </c>
      <c r="E445" s="1">
        <v>42826</v>
      </c>
      <c r="F445" t="s">
        <v>2951</v>
      </c>
      <c r="G445" t="e">
        <f>INDEX(#REF!,MATCH(P445,#REF!,0),1)</f>
        <v>#REF!</v>
      </c>
      <c r="H445" t="s">
        <v>2952</v>
      </c>
      <c r="J445" t="s">
        <v>2953</v>
      </c>
      <c r="K445" t="s">
        <v>835</v>
      </c>
      <c r="L445" t="s">
        <v>2954</v>
      </c>
      <c r="M445" t="s">
        <v>2955</v>
      </c>
      <c r="N445">
        <v>877</v>
      </c>
      <c r="O445" t="s">
        <v>2951</v>
      </c>
      <c r="P445">
        <v>877</v>
      </c>
      <c r="Q445" t="s">
        <v>2951</v>
      </c>
      <c r="R445" t="s">
        <v>245</v>
      </c>
      <c r="S445" t="s">
        <v>246</v>
      </c>
      <c r="T445" t="s">
        <v>44</v>
      </c>
      <c r="U445" t="s">
        <v>45</v>
      </c>
      <c r="AC445" t="s">
        <v>2956</v>
      </c>
    </row>
    <row r="446" spans="1:33" x14ac:dyDescent="0.3">
      <c r="A446">
        <v>879</v>
      </c>
      <c r="B446" t="s">
        <v>2957</v>
      </c>
      <c r="C446" t="str">
        <f>""</f>
        <v/>
      </c>
      <c r="D446" t="str">
        <f>"670980U00"</f>
        <v>670980U00</v>
      </c>
      <c r="E446" s="1">
        <v>32097</v>
      </c>
      <c r="F446" t="s">
        <v>2958</v>
      </c>
      <c r="G446" t="e">
        <f>INDEX(#REF!,MATCH(P446,#REF!,0),1)</f>
        <v>#REF!</v>
      </c>
      <c r="H446" t="s">
        <v>2959</v>
      </c>
      <c r="J446" t="s">
        <v>2960</v>
      </c>
      <c r="K446" t="s">
        <v>835</v>
      </c>
      <c r="L446" t="s">
        <v>2961</v>
      </c>
      <c r="M446" t="s">
        <v>2962</v>
      </c>
      <c r="N446">
        <v>2599</v>
      </c>
      <c r="O446" t="s">
        <v>1870</v>
      </c>
      <c r="P446">
        <v>871</v>
      </c>
      <c r="Q446" t="s">
        <v>1871</v>
      </c>
      <c r="R446" t="s">
        <v>649</v>
      </c>
      <c r="S446" t="s">
        <v>650</v>
      </c>
      <c r="T446" t="s">
        <v>44</v>
      </c>
      <c r="U446" t="s">
        <v>45</v>
      </c>
      <c r="AA446" t="s">
        <v>327</v>
      </c>
      <c r="AD446" t="s">
        <v>94</v>
      </c>
      <c r="AE446" t="s">
        <v>1522</v>
      </c>
    </row>
    <row r="447" spans="1:33" x14ac:dyDescent="0.3">
      <c r="A447">
        <v>880</v>
      </c>
      <c r="B447" t="s">
        <v>2963</v>
      </c>
      <c r="C447" t="str">
        <f>""</f>
        <v/>
      </c>
      <c r="D447" t="str">
        <f>"210630C00"</f>
        <v>210630C00</v>
      </c>
      <c r="E447" s="1">
        <v>42683</v>
      </c>
      <c r="F447" t="s">
        <v>2964</v>
      </c>
      <c r="G447" t="e">
        <f>INDEX(#REF!,MATCH(P447,#REF!,0),1)</f>
        <v>#REF!</v>
      </c>
      <c r="H447" t="s">
        <v>2965</v>
      </c>
      <c r="J447" t="s">
        <v>2966</v>
      </c>
      <c r="K447" t="s">
        <v>2244</v>
      </c>
      <c r="L447">
        <v>11220</v>
      </c>
      <c r="M447" t="s">
        <v>2967</v>
      </c>
      <c r="N447">
        <v>1259</v>
      </c>
      <c r="O447" t="s">
        <v>2968</v>
      </c>
      <c r="P447">
        <v>1259</v>
      </c>
      <c r="Q447" t="s">
        <v>2968</v>
      </c>
      <c r="R447" t="s">
        <v>1301</v>
      </c>
      <c r="S447" t="s">
        <v>1302</v>
      </c>
      <c r="T447" t="s">
        <v>44</v>
      </c>
      <c r="U447" t="s">
        <v>45</v>
      </c>
      <c r="AG447" t="s">
        <v>48</v>
      </c>
    </row>
    <row r="448" spans="1:33" x14ac:dyDescent="0.3">
      <c r="A448">
        <v>881</v>
      </c>
      <c r="B448" t="s">
        <v>2969</v>
      </c>
      <c r="C448" t="str">
        <f>"1100004094834"</f>
        <v>1100004094834</v>
      </c>
      <c r="D448" t="str">
        <f>"670850Q00"</f>
        <v>670850Q00</v>
      </c>
      <c r="E448" s="1">
        <v>42583</v>
      </c>
      <c r="F448" t="s">
        <v>2970</v>
      </c>
      <c r="G448" t="e">
        <f>INDEX(#REF!,MATCH(P448,#REF!,0),1)</f>
        <v>#REF!</v>
      </c>
      <c r="H448" t="s">
        <v>2971</v>
      </c>
      <c r="J448" t="s">
        <v>2972</v>
      </c>
      <c r="K448" t="s">
        <v>835</v>
      </c>
      <c r="L448" t="s">
        <v>2973</v>
      </c>
      <c r="M448" t="s">
        <v>2974</v>
      </c>
      <c r="N448">
        <v>30537</v>
      </c>
      <c r="O448" t="s">
        <v>838</v>
      </c>
      <c r="P448">
        <v>30537</v>
      </c>
      <c r="Q448" t="s">
        <v>838</v>
      </c>
      <c r="R448" t="s">
        <v>2975</v>
      </c>
      <c r="S448" t="s">
        <v>2976</v>
      </c>
      <c r="T448" t="s">
        <v>44</v>
      </c>
      <c r="U448" t="s">
        <v>45</v>
      </c>
      <c r="AA448" t="s">
        <v>119</v>
      </c>
    </row>
    <row r="449" spans="1:33" x14ac:dyDescent="0.3">
      <c r="A449">
        <v>882</v>
      </c>
      <c r="B449" t="s">
        <v>2977</v>
      </c>
      <c r="C449" t="str">
        <f>""</f>
        <v/>
      </c>
      <c r="D449" t="str">
        <f>"670870S00"</f>
        <v>670870S00</v>
      </c>
      <c r="E449" s="1">
        <v>32097</v>
      </c>
      <c r="F449" t="s">
        <v>2978</v>
      </c>
      <c r="G449" t="e">
        <f>INDEX(#REF!,MATCH(P449,#REF!,0),1)</f>
        <v>#REF!</v>
      </c>
      <c r="H449" t="s">
        <v>2979</v>
      </c>
      <c r="J449" t="s">
        <v>1615</v>
      </c>
      <c r="K449" t="s">
        <v>835</v>
      </c>
      <c r="L449" t="s">
        <v>2980</v>
      </c>
      <c r="M449" t="s">
        <v>2981</v>
      </c>
      <c r="N449">
        <v>2599</v>
      </c>
      <c r="O449" t="s">
        <v>1870</v>
      </c>
      <c r="P449">
        <v>2599</v>
      </c>
      <c r="Q449" t="s">
        <v>1870</v>
      </c>
      <c r="R449" t="s">
        <v>1895</v>
      </c>
      <c r="S449" t="s">
        <v>1896</v>
      </c>
      <c r="T449" t="s">
        <v>44</v>
      </c>
      <c r="U449" t="s">
        <v>45</v>
      </c>
      <c r="AA449" t="s">
        <v>327</v>
      </c>
      <c r="AD449" t="s">
        <v>94</v>
      </c>
      <c r="AE449" t="s">
        <v>1522</v>
      </c>
    </row>
    <row r="450" spans="1:33" x14ac:dyDescent="0.3">
      <c r="A450">
        <v>883</v>
      </c>
      <c r="B450" t="s">
        <v>2982</v>
      </c>
      <c r="C450" t="str">
        <f>""</f>
        <v/>
      </c>
      <c r="D450" t="str">
        <f>"671000E00"</f>
        <v>671000E00</v>
      </c>
      <c r="E450" s="1">
        <v>32097</v>
      </c>
      <c r="F450" t="s">
        <v>2983</v>
      </c>
      <c r="G450" t="e">
        <f>INDEX(#REF!,MATCH(P450,#REF!,0),1)</f>
        <v>#REF!</v>
      </c>
      <c r="H450" t="s">
        <v>2984</v>
      </c>
      <c r="J450" t="s">
        <v>2985</v>
      </c>
      <c r="K450" t="s">
        <v>835</v>
      </c>
      <c r="L450" t="s">
        <v>2986</v>
      </c>
      <c r="M450" t="s">
        <v>2987</v>
      </c>
      <c r="N450">
        <v>2599</v>
      </c>
      <c r="O450" t="s">
        <v>1870</v>
      </c>
      <c r="P450">
        <v>2599</v>
      </c>
      <c r="Q450" t="s">
        <v>1870</v>
      </c>
      <c r="R450" t="s">
        <v>1895</v>
      </c>
      <c r="S450" t="s">
        <v>1896</v>
      </c>
      <c r="T450" t="s">
        <v>44</v>
      </c>
      <c r="U450" t="s">
        <v>45</v>
      </c>
      <c r="AA450" t="s">
        <v>327</v>
      </c>
      <c r="AD450" t="s">
        <v>94</v>
      </c>
      <c r="AE450" t="s">
        <v>1522</v>
      </c>
    </row>
    <row r="451" spans="1:33" x14ac:dyDescent="0.3">
      <c r="A451">
        <v>884</v>
      </c>
      <c r="B451" t="s">
        <v>2988</v>
      </c>
      <c r="C451" t="str">
        <f>""</f>
        <v/>
      </c>
      <c r="D451" t="str">
        <f>"671290P00"</f>
        <v>671290P00</v>
      </c>
      <c r="E451" s="1">
        <v>32097</v>
      </c>
      <c r="F451" t="s">
        <v>2989</v>
      </c>
      <c r="G451" t="e">
        <f>INDEX(#REF!,MATCH(P451,#REF!,0),1)</f>
        <v>#REF!</v>
      </c>
      <c r="H451" t="s">
        <v>2990</v>
      </c>
      <c r="J451" t="s">
        <v>2991</v>
      </c>
      <c r="K451" t="s">
        <v>835</v>
      </c>
      <c r="L451" t="s">
        <v>2992</v>
      </c>
      <c r="M451" t="s">
        <v>2993</v>
      </c>
      <c r="N451">
        <v>2599</v>
      </c>
      <c r="O451" t="s">
        <v>1870</v>
      </c>
      <c r="P451">
        <v>871</v>
      </c>
      <c r="Q451" t="s">
        <v>1871</v>
      </c>
      <c r="R451" t="s">
        <v>649</v>
      </c>
      <c r="S451" t="s">
        <v>650</v>
      </c>
      <c r="T451" t="s">
        <v>44</v>
      </c>
      <c r="U451" t="s">
        <v>45</v>
      </c>
      <c r="AA451" t="s">
        <v>327</v>
      </c>
      <c r="AD451" t="s">
        <v>94</v>
      </c>
      <c r="AE451" t="s">
        <v>1522</v>
      </c>
    </row>
    <row r="452" spans="1:33" x14ac:dyDescent="0.3">
      <c r="A452">
        <v>885</v>
      </c>
      <c r="B452" t="s">
        <v>2994</v>
      </c>
      <c r="C452" t="str">
        <f>""</f>
        <v/>
      </c>
      <c r="D452" t="str">
        <f>"671240K00"</f>
        <v>671240K00</v>
      </c>
      <c r="E452" s="1">
        <v>42790</v>
      </c>
      <c r="F452" t="s">
        <v>2995</v>
      </c>
      <c r="G452" t="e">
        <f>INDEX(#REF!,MATCH(P452,#REF!,0),1)</f>
        <v>#REF!</v>
      </c>
      <c r="H452" t="s">
        <v>2996</v>
      </c>
      <c r="J452" t="s">
        <v>2754</v>
      </c>
      <c r="K452" t="s">
        <v>835</v>
      </c>
      <c r="L452" t="s">
        <v>2997</v>
      </c>
      <c r="M452" t="s">
        <v>2998</v>
      </c>
      <c r="N452">
        <v>30537</v>
      </c>
      <c r="O452" t="s">
        <v>838</v>
      </c>
      <c r="P452">
        <v>30537</v>
      </c>
      <c r="Q452" t="s">
        <v>838</v>
      </c>
      <c r="R452" t="s">
        <v>228</v>
      </c>
      <c r="S452" t="s">
        <v>229</v>
      </c>
      <c r="T452" t="s">
        <v>44</v>
      </c>
      <c r="U452" t="s">
        <v>45</v>
      </c>
      <c r="AA452" t="s">
        <v>119</v>
      </c>
      <c r="AE452" t="s">
        <v>120</v>
      </c>
    </row>
    <row r="453" spans="1:33" x14ac:dyDescent="0.3">
      <c r="A453">
        <v>887</v>
      </c>
      <c r="B453" t="s">
        <v>2999</v>
      </c>
      <c r="C453" t="str">
        <f>"1100003893827"</f>
        <v>1100003893827</v>
      </c>
      <c r="D453" t="str">
        <f>"670990V00"</f>
        <v>670990V00</v>
      </c>
      <c r="E453" s="1">
        <v>32097</v>
      </c>
      <c r="F453" t="s">
        <v>3000</v>
      </c>
      <c r="G453" t="e">
        <f>INDEX(#REF!,MATCH(P453,#REF!,0),1)</f>
        <v>#REF!</v>
      </c>
      <c r="H453" t="s">
        <v>3001</v>
      </c>
      <c r="J453" t="s">
        <v>282</v>
      </c>
      <c r="K453" t="s">
        <v>835</v>
      </c>
      <c r="L453" t="s">
        <v>3002</v>
      </c>
      <c r="M453" t="s">
        <v>3003</v>
      </c>
      <c r="N453">
        <v>2599</v>
      </c>
      <c r="O453" t="s">
        <v>1870</v>
      </c>
      <c r="P453">
        <v>871</v>
      </c>
      <c r="Q453" t="s">
        <v>1871</v>
      </c>
      <c r="R453" t="s">
        <v>649</v>
      </c>
      <c r="S453" t="s">
        <v>650</v>
      </c>
      <c r="T453" t="s">
        <v>44</v>
      </c>
      <c r="U453" t="s">
        <v>45</v>
      </c>
      <c r="AA453" t="s">
        <v>327</v>
      </c>
      <c r="AD453" t="s">
        <v>94</v>
      </c>
      <c r="AE453" t="s">
        <v>1522</v>
      </c>
    </row>
    <row r="454" spans="1:33" x14ac:dyDescent="0.3">
      <c r="A454">
        <v>891</v>
      </c>
      <c r="B454" t="s">
        <v>3004</v>
      </c>
      <c r="C454" t="str">
        <f>""</f>
        <v/>
      </c>
      <c r="D454" t="str">
        <f>"150200800"</f>
        <v>150200800</v>
      </c>
      <c r="E454" s="1">
        <v>32098</v>
      </c>
      <c r="F454" t="s">
        <v>3005</v>
      </c>
      <c r="G454" t="e">
        <f>INDEX(#REF!,MATCH(P454,#REF!,0),1)</f>
        <v>#REF!</v>
      </c>
      <c r="H454" t="s">
        <v>3006</v>
      </c>
      <c r="J454" t="s">
        <v>3007</v>
      </c>
      <c r="K454" t="s">
        <v>2507</v>
      </c>
      <c r="L454" t="str">
        <f>"02886"</f>
        <v>02886</v>
      </c>
      <c r="M454" t="s">
        <v>3008</v>
      </c>
      <c r="N454">
        <v>81773</v>
      </c>
      <c r="O454" t="s">
        <v>2865</v>
      </c>
      <c r="P454">
        <v>81773</v>
      </c>
      <c r="Q454" t="s">
        <v>2865</v>
      </c>
      <c r="R454" t="s">
        <v>658</v>
      </c>
      <c r="S454" t="s">
        <v>659</v>
      </c>
      <c r="T454" t="s">
        <v>44</v>
      </c>
      <c r="U454" t="s">
        <v>45</v>
      </c>
      <c r="AA454" t="s">
        <v>119</v>
      </c>
      <c r="AE454" t="s">
        <v>60</v>
      </c>
      <c r="AG454" t="s">
        <v>48</v>
      </c>
    </row>
    <row r="455" spans="1:33" x14ac:dyDescent="0.3">
      <c r="A455">
        <v>892</v>
      </c>
      <c r="B455" t="s">
        <v>3009</v>
      </c>
      <c r="C455" t="str">
        <f>""</f>
        <v/>
      </c>
      <c r="D455" t="str">
        <f>"670250K00"</f>
        <v>670250K00</v>
      </c>
      <c r="E455" s="1">
        <v>32097</v>
      </c>
      <c r="F455" t="s">
        <v>3010</v>
      </c>
      <c r="G455" t="e">
        <f>INDEX(#REF!,MATCH(P455,#REF!,0),1)</f>
        <v>#REF!</v>
      </c>
      <c r="H455" t="s">
        <v>3011</v>
      </c>
      <c r="J455" t="s">
        <v>3012</v>
      </c>
      <c r="K455" t="s">
        <v>835</v>
      </c>
      <c r="L455">
        <v>67839</v>
      </c>
      <c r="M455" t="s">
        <v>3013</v>
      </c>
      <c r="N455">
        <v>2599</v>
      </c>
      <c r="O455" t="s">
        <v>1870</v>
      </c>
      <c r="P455">
        <v>871</v>
      </c>
      <c r="Q455" t="s">
        <v>1871</v>
      </c>
      <c r="R455" t="s">
        <v>649</v>
      </c>
      <c r="S455" t="s">
        <v>650</v>
      </c>
      <c r="T455" t="s">
        <v>44</v>
      </c>
      <c r="U455" t="s">
        <v>45</v>
      </c>
      <c r="AA455" t="s">
        <v>327</v>
      </c>
      <c r="AD455" t="s">
        <v>94</v>
      </c>
      <c r="AE455" t="s">
        <v>1522</v>
      </c>
    </row>
    <row r="456" spans="1:33" x14ac:dyDescent="0.3">
      <c r="A456">
        <v>893</v>
      </c>
      <c r="B456" t="s">
        <v>3014</v>
      </c>
      <c r="C456" t="str">
        <f>""</f>
        <v/>
      </c>
      <c r="D456" t="str">
        <f>"671550O00"</f>
        <v>671550O00</v>
      </c>
      <c r="E456" s="1">
        <v>45642</v>
      </c>
      <c r="F456" t="s">
        <v>3015</v>
      </c>
      <c r="G456" t="e">
        <f>INDEX(#REF!,MATCH(P456,#REF!,0),1)</f>
        <v>#REF!</v>
      </c>
      <c r="H456" t="s">
        <v>3016</v>
      </c>
      <c r="J456" t="s">
        <v>3017</v>
      </c>
      <c r="K456" t="s">
        <v>835</v>
      </c>
      <c r="L456" t="s">
        <v>3018</v>
      </c>
      <c r="M456" t="s">
        <v>3019</v>
      </c>
      <c r="N456">
        <v>3420970</v>
      </c>
      <c r="O456" t="s">
        <v>1181</v>
      </c>
      <c r="P456">
        <v>3420970</v>
      </c>
      <c r="Q456" t="s">
        <v>1181</v>
      </c>
      <c r="R456" t="s">
        <v>245</v>
      </c>
      <c r="S456" t="s">
        <v>246</v>
      </c>
      <c r="T456" t="s">
        <v>44</v>
      </c>
      <c r="U456" t="s">
        <v>45</v>
      </c>
    </row>
    <row r="457" spans="1:33" x14ac:dyDescent="0.3">
      <c r="A457">
        <v>894</v>
      </c>
      <c r="B457" t="s">
        <v>3020</v>
      </c>
      <c r="C457" t="str">
        <f>"1100004270153"</f>
        <v>1100004270153</v>
      </c>
      <c r="D457" t="str">
        <f>"660040G00"</f>
        <v>660040G00</v>
      </c>
      <c r="E457" s="1">
        <v>32097</v>
      </c>
      <c r="F457" t="s">
        <v>3021</v>
      </c>
      <c r="G457" t="e">
        <f>INDEX(#REF!,MATCH(P457,#REF!,0),1)</f>
        <v>#REF!</v>
      </c>
      <c r="H457" t="s">
        <v>3022</v>
      </c>
      <c r="J457" t="s">
        <v>3023</v>
      </c>
      <c r="K457" t="s">
        <v>727</v>
      </c>
      <c r="L457" t="s">
        <v>3024</v>
      </c>
      <c r="M457" t="s">
        <v>3025</v>
      </c>
      <c r="N457">
        <v>2599</v>
      </c>
      <c r="O457" t="s">
        <v>1870</v>
      </c>
      <c r="P457">
        <v>871</v>
      </c>
      <c r="Q457" t="s">
        <v>1871</v>
      </c>
      <c r="R457" t="s">
        <v>649</v>
      </c>
      <c r="S457" t="s">
        <v>650</v>
      </c>
      <c r="T457" t="s">
        <v>44</v>
      </c>
      <c r="U457" t="s">
        <v>45</v>
      </c>
      <c r="AA457" t="s">
        <v>327</v>
      </c>
      <c r="AD457" t="s">
        <v>94</v>
      </c>
      <c r="AE457" t="s">
        <v>1522</v>
      </c>
    </row>
    <row r="458" spans="1:33" x14ac:dyDescent="0.3">
      <c r="A458">
        <v>896</v>
      </c>
      <c r="B458" t="s">
        <v>3026</v>
      </c>
      <c r="C458" t="str">
        <f>""</f>
        <v/>
      </c>
      <c r="D458" t="str">
        <f>"670100E00"</f>
        <v>670100E00</v>
      </c>
      <c r="E458" s="1">
        <v>32097</v>
      </c>
      <c r="F458" t="s">
        <v>3027</v>
      </c>
      <c r="G458" t="e">
        <f>INDEX(#REF!,MATCH(P458,#REF!,0),1)</f>
        <v>#REF!</v>
      </c>
      <c r="H458" t="s">
        <v>3028</v>
      </c>
      <c r="J458" t="s">
        <v>408</v>
      </c>
      <c r="K458" t="s">
        <v>835</v>
      </c>
      <c r="L458" t="s">
        <v>3029</v>
      </c>
      <c r="M458" t="s">
        <v>3030</v>
      </c>
      <c r="N458">
        <v>2599</v>
      </c>
      <c r="O458" t="s">
        <v>1870</v>
      </c>
      <c r="P458">
        <v>871</v>
      </c>
      <c r="Q458" t="s">
        <v>1871</v>
      </c>
      <c r="R458" t="s">
        <v>649</v>
      </c>
      <c r="S458" t="s">
        <v>650</v>
      </c>
      <c r="T458" t="s">
        <v>44</v>
      </c>
      <c r="U458" t="s">
        <v>45</v>
      </c>
      <c r="AA458" t="s">
        <v>327</v>
      </c>
      <c r="AD458" t="s">
        <v>94</v>
      </c>
      <c r="AE458" t="s">
        <v>1522</v>
      </c>
    </row>
    <row r="459" spans="1:33" x14ac:dyDescent="0.3">
      <c r="A459">
        <v>897</v>
      </c>
      <c r="B459" t="s">
        <v>3031</v>
      </c>
      <c r="C459" t="str">
        <f>""</f>
        <v/>
      </c>
      <c r="D459" t="str">
        <f>"671350M00"</f>
        <v>671350M00</v>
      </c>
      <c r="E459" s="1">
        <v>32097</v>
      </c>
      <c r="F459" t="s">
        <v>3032</v>
      </c>
      <c r="G459" t="e">
        <f>INDEX(#REF!,MATCH(P459,#REF!,0),1)</f>
        <v>#REF!</v>
      </c>
      <c r="H459" t="s">
        <v>3033</v>
      </c>
      <c r="J459" t="s">
        <v>3034</v>
      </c>
      <c r="K459" t="s">
        <v>835</v>
      </c>
      <c r="L459" t="s">
        <v>3035</v>
      </c>
      <c r="M459" t="s">
        <v>3036</v>
      </c>
      <c r="N459">
        <v>2599</v>
      </c>
      <c r="O459" t="s">
        <v>1870</v>
      </c>
      <c r="P459">
        <v>871</v>
      </c>
      <c r="Q459" t="s">
        <v>1871</v>
      </c>
      <c r="R459" t="s">
        <v>649</v>
      </c>
      <c r="S459" t="s">
        <v>650</v>
      </c>
      <c r="T459" t="s">
        <v>44</v>
      </c>
      <c r="U459" t="s">
        <v>45</v>
      </c>
      <c r="AA459" t="s">
        <v>327</v>
      </c>
      <c r="AD459" t="s">
        <v>94</v>
      </c>
      <c r="AE459" t="s">
        <v>1522</v>
      </c>
    </row>
    <row r="460" spans="1:33" x14ac:dyDescent="0.3">
      <c r="A460">
        <v>899</v>
      </c>
      <c r="B460" t="s">
        <v>3037</v>
      </c>
      <c r="C460" t="str">
        <f>""</f>
        <v/>
      </c>
      <c r="D460" t="str">
        <f>"37RFQ7D00"</f>
        <v>37RFQ7D00</v>
      </c>
      <c r="E460" s="1">
        <v>39846</v>
      </c>
      <c r="F460" t="s">
        <v>3038</v>
      </c>
      <c r="G460" t="e">
        <f>INDEX(#REF!,MATCH(P460,#REF!,0),1)</f>
        <v>#REF!</v>
      </c>
      <c r="H460" t="s">
        <v>3039</v>
      </c>
      <c r="J460" t="s">
        <v>3040</v>
      </c>
      <c r="K460" t="s">
        <v>384</v>
      </c>
      <c r="L460">
        <v>28078</v>
      </c>
      <c r="M460" t="s">
        <v>3041</v>
      </c>
      <c r="N460">
        <v>5949</v>
      </c>
      <c r="O460" t="s">
        <v>2330</v>
      </c>
      <c r="P460">
        <v>5949</v>
      </c>
      <c r="Q460" t="s">
        <v>2330</v>
      </c>
      <c r="R460" t="s">
        <v>2331</v>
      </c>
      <c r="S460" t="s">
        <v>2332</v>
      </c>
      <c r="T460" t="s">
        <v>2214</v>
      </c>
      <c r="U460" t="s">
        <v>2214</v>
      </c>
      <c r="V460" t="s">
        <v>2215</v>
      </c>
      <c r="AC460" t="s">
        <v>2333</v>
      </c>
    </row>
    <row r="461" spans="1:33" x14ac:dyDescent="0.3">
      <c r="A461">
        <v>904</v>
      </c>
      <c r="B461" t="s">
        <v>3042</v>
      </c>
      <c r="C461" t="str">
        <f>"1100003325953"</f>
        <v>1100003325953</v>
      </c>
      <c r="D461" t="str">
        <f>"610260F00"</f>
        <v>610260F00</v>
      </c>
      <c r="E461" s="1">
        <v>32128</v>
      </c>
      <c r="F461" t="s">
        <v>3043</v>
      </c>
      <c r="G461" t="e">
        <f>INDEX(#REF!,MATCH(P461,#REF!,0),1)</f>
        <v>#REF!</v>
      </c>
      <c r="H461" t="s">
        <v>3044</v>
      </c>
      <c r="J461" t="s">
        <v>3045</v>
      </c>
      <c r="K461" t="s">
        <v>283</v>
      </c>
      <c r="L461" t="s">
        <v>3046</v>
      </c>
      <c r="M461" t="s">
        <v>3047</v>
      </c>
      <c r="N461">
        <v>871561</v>
      </c>
      <c r="O461" t="s">
        <v>194</v>
      </c>
      <c r="P461">
        <v>102627</v>
      </c>
      <c r="Q461" t="s">
        <v>3048</v>
      </c>
      <c r="R461" t="s">
        <v>196</v>
      </c>
      <c r="S461" t="s">
        <v>197</v>
      </c>
      <c r="T461" t="s">
        <v>44</v>
      </c>
      <c r="U461" t="s">
        <v>45</v>
      </c>
      <c r="AA461" t="s">
        <v>119</v>
      </c>
      <c r="AE461" t="s">
        <v>120</v>
      </c>
      <c r="AG461" t="s">
        <v>48</v>
      </c>
    </row>
    <row r="462" spans="1:33" x14ac:dyDescent="0.3">
      <c r="A462">
        <v>905</v>
      </c>
      <c r="B462" t="s">
        <v>3049</v>
      </c>
      <c r="C462" t="str">
        <f>"1100004978301"</f>
        <v>1100004978301</v>
      </c>
      <c r="D462" t="str">
        <f>"360290K00"</f>
        <v>360290K00</v>
      </c>
      <c r="E462" s="1">
        <v>42583</v>
      </c>
      <c r="F462" t="s">
        <v>3050</v>
      </c>
      <c r="G462" t="e">
        <f>INDEX(#REF!,MATCH(P462,#REF!,0),1)</f>
        <v>#REF!</v>
      </c>
      <c r="H462" t="s">
        <v>3051</v>
      </c>
      <c r="J462" t="s">
        <v>2328</v>
      </c>
      <c r="K462" t="s">
        <v>384</v>
      </c>
      <c r="L462">
        <v>28203</v>
      </c>
      <c r="M462" t="s">
        <v>3052</v>
      </c>
      <c r="N462">
        <v>5949</v>
      </c>
      <c r="O462" t="s">
        <v>2330</v>
      </c>
      <c r="P462">
        <v>5949</v>
      </c>
      <c r="Q462" t="s">
        <v>2330</v>
      </c>
      <c r="R462" t="s">
        <v>2331</v>
      </c>
      <c r="S462" t="s">
        <v>2332</v>
      </c>
      <c r="T462" t="s">
        <v>44</v>
      </c>
      <c r="U462" t="s">
        <v>717</v>
      </c>
      <c r="AC462" t="s">
        <v>2333</v>
      </c>
    </row>
    <row r="463" spans="1:33" x14ac:dyDescent="0.3">
      <c r="A463">
        <v>907</v>
      </c>
      <c r="B463" t="s">
        <v>3053</v>
      </c>
      <c r="C463" t="str">
        <f>"1100005840843"</f>
        <v>1100005840843</v>
      </c>
      <c r="D463" t="str">
        <f>"360380K00"</f>
        <v>360380K00</v>
      </c>
      <c r="E463" s="1">
        <v>42583</v>
      </c>
      <c r="F463" t="s">
        <v>3054</v>
      </c>
      <c r="G463" t="e">
        <f>INDEX(#REF!,MATCH(P463,#REF!,0),1)</f>
        <v>#REF!</v>
      </c>
      <c r="H463" t="s">
        <v>3055</v>
      </c>
      <c r="J463" t="s">
        <v>2328</v>
      </c>
      <c r="K463" t="s">
        <v>384</v>
      </c>
      <c r="L463">
        <v>28262</v>
      </c>
      <c r="M463" t="s">
        <v>3056</v>
      </c>
      <c r="N463">
        <v>5949</v>
      </c>
      <c r="O463" t="s">
        <v>2330</v>
      </c>
      <c r="P463">
        <v>5949</v>
      </c>
      <c r="Q463" t="s">
        <v>2330</v>
      </c>
      <c r="R463" t="s">
        <v>2331</v>
      </c>
      <c r="S463" t="s">
        <v>2332</v>
      </c>
      <c r="T463" t="s">
        <v>44</v>
      </c>
      <c r="U463" t="s">
        <v>45</v>
      </c>
      <c r="AC463" t="s">
        <v>2333</v>
      </c>
    </row>
    <row r="464" spans="1:33" x14ac:dyDescent="0.3">
      <c r="A464">
        <v>908</v>
      </c>
      <c r="B464" t="s">
        <v>3057</v>
      </c>
      <c r="C464" t="str">
        <f>"1100096942402"</f>
        <v>1100096942402</v>
      </c>
      <c r="D464" t="str">
        <f>"147NUNG00"</f>
        <v>147NUNG00</v>
      </c>
      <c r="E464" s="1">
        <v>30490</v>
      </c>
      <c r="F464" t="s">
        <v>730</v>
      </c>
      <c r="G464" t="e">
        <f>INDEX(#REF!,MATCH(P464,#REF!,0),1)</f>
        <v>#REF!</v>
      </c>
      <c r="H464" t="s">
        <v>3058</v>
      </c>
      <c r="J464" t="s">
        <v>726</v>
      </c>
      <c r="K464" t="s">
        <v>727</v>
      </c>
      <c r="L464" t="s">
        <v>3059</v>
      </c>
      <c r="M464" t="s">
        <v>3060</v>
      </c>
      <c r="N464">
        <v>908</v>
      </c>
      <c r="O464" t="s">
        <v>730</v>
      </c>
      <c r="P464">
        <v>908</v>
      </c>
      <c r="Q464" t="s">
        <v>730</v>
      </c>
      <c r="R464" t="s">
        <v>346</v>
      </c>
      <c r="S464" t="s">
        <v>347</v>
      </c>
      <c r="T464" t="s">
        <v>44</v>
      </c>
      <c r="U464" t="s">
        <v>81</v>
      </c>
      <c r="AA464" t="s">
        <v>327</v>
      </c>
      <c r="AD464" t="s">
        <v>94</v>
      </c>
    </row>
    <row r="465" spans="1:33" x14ac:dyDescent="0.3">
      <c r="A465">
        <v>909</v>
      </c>
      <c r="B465" t="s">
        <v>3061</v>
      </c>
      <c r="C465" t="str">
        <f>""</f>
        <v/>
      </c>
      <c r="D465" t="str">
        <f>"450600FF2"</f>
        <v>450600FF2</v>
      </c>
      <c r="E465" s="1">
        <v>32078</v>
      </c>
      <c r="F465" t="s">
        <v>2199</v>
      </c>
      <c r="G465" t="e">
        <f>INDEX(#REF!,MATCH(P465,#REF!,0),1)</f>
        <v>#REF!</v>
      </c>
      <c r="H465" t="s">
        <v>3062</v>
      </c>
      <c r="J465" t="s">
        <v>2195</v>
      </c>
      <c r="K465" t="s">
        <v>208</v>
      </c>
      <c r="L465" t="s">
        <v>3063</v>
      </c>
      <c r="M465" t="s">
        <v>3064</v>
      </c>
      <c r="N465">
        <v>4214155</v>
      </c>
      <c r="O465" t="s">
        <v>2198</v>
      </c>
      <c r="P465">
        <v>43194</v>
      </c>
      <c r="Q465" t="s">
        <v>3065</v>
      </c>
      <c r="R465" t="s">
        <v>419</v>
      </c>
      <c r="S465" t="s">
        <v>420</v>
      </c>
      <c r="T465" t="s">
        <v>44</v>
      </c>
      <c r="U465" t="s">
        <v>3066</v>
      </c>
      <c r="AA465" t="s">
        <v>119</v>
      </c>
      <c r="AE465" t="s">
        <v>120</v>
      </c>
    </row>
    <row r="466" spans="1:33" x14ac:dyDescent="0.3">
      <c r="A466">
        <v>910</v>
      </c>
      <c r="B466" t="s">
        <v>3067</v>
      </c>
      <c r="C466" t="str">
        <f>"1100003881053"</f>
        <v>1100003881053</v>
      </c>
      <c r="D466" t="str">
        <f>"450160G00"</f>
        <v>450160G00</v>
      </c>
      <c r="E466" s="1">
        <v>32129</v>
      </c>
      <c r="F466" t="s">
        <v>3068</v>
      </c>
      <c r="G466" t="e">
        <f>INDEX(#REF!,MATCH(P466,#REF!,0),1)</f>
        <v>#REF!</v>
      </c>
      <c r="H466" t="s">
        <v>3069</v>
      </c>
      <c r="J466" t="s">
        <v>3070</v>
      </c>
      <c r="K466" t="s">
        <v>208</v>
      </c>
      <c r="L466">
        <v>54724</v>
      </c>
      <c r="M466" t="s">
        <v>3071</v>
      </c>
      <c r="N466">
        <v>75245</v>
      </c>
      <c r="O466" t="s">
        <v>1020</v>
      </c>
      <c r="P466">
        <v>75245</v>
      </c>
      <c r="Q466" t="s">
        <v>1020</v>
      </c>
      <c r="R466" t="s">
        <v>1021</v>
      </c>
      <c r="S466" t="s">
        <v>1022</v>
      </c>
      <c r="T466" t="s">
        <v>44</v>
      </c>
      <c r="U466" t="s">
        <v>45</v>
      </c>
      <c r="AA466" t="s">
        <v>119</v>
      </c>
      <c r="AE466" t="s">
        <v>120</v>
      </c>
      <c r="AG466" t="s">
        <v>48</v>
      </c>
    </row>
    <row r="467" spans="1:33" x14ac:dyDescent="0.3">
      <c r="A467">
        <v>911</v>
      </c>
      <c r="B467" t="s">
        <v>3072</v>
      </c>
      <c r="C467" t="str">
        <f>"1100005824836"</f>
        <v>1100005824836</v>
      </c>
      <c r="D467" t="str">
        <f>"451180J00"</f>
        <v>451180J00</v>
      </c>
      <c r="E467" s="1">
        <v>32129</v>
      </c>
      <c r="F467" t="s">
        <v>3073</v>
      </c>
      <c r="G467" t="e">
        <f>INDEX(#REF!,MATCH(P467,#REF!,0),1)</f>
        <v>#REF!</v>
      </c>
      <c r="H467" t="s">
        <v>3074</v>
      </c>
      <c r="J467" t="s">
        <v>3075</v>
      </c>
      <c r="K467" t="s">
        <v>208</v>
      </c>
      <c r="L467" t="s">
        <v>3076</v>
      </c>
      <c r="M467" t="s">
        <v>3077</v>
      </c>
      <c r="N467">
        <v>75245</v>
      </c>
      <c r="O467" t="s">
        <v>1020</v>
      </c>
      <c r="P467">
        <v>75245</v>
      </c>
      <c r="Q467" t="s">
        <v>1020</v>
      </c>
      <c r="R467" t="s">
        <v>1021</v>
      </c>
      <c r="S467" t="s">
        <v>1022</v>
      </c>
      <c r="T467" t="s">
        <v>44</v>
      </c>
      <c r="U467" t="s">
        <v>45</v>
      </c>
      <c r="AA467" t="s">
        <v>119</v>
      </c>
      <c r="AE467" t="s">
        <v>120</v>
      </c>
      <c r="AG467" t="s">
        <v>48</v>
      </c>
    </row>
    <row r="468" spans="1:33" x14ac:dyDescent="0.3">
      <c r="A468">
        <v>913</v>
      </c>
      <c r="B468" t="s">
        <v>3078</v>
      </c>
      <c r="C468" t="str">
        <f>"1100005974234"</f>
        <v>1100005974234</v>
      </c>
      <c r="D468" t="str">
        <f>"450320E00"</f>
        <v>450320E00</v>
      </c>
      <c r="E468" s="1">
        <v>32129</v>
      </c>
      <c r="F468" t="s">
        <v>3079</v>
      </c>
      <c r="G468" t="e">
        <f>INDEX(#REF!,MATCH(P468,#REF!,0),1)</f>
        <v>#REF!</v>
      </c>
      <c r="H468" t="s">
        <v>3080</v>
      </c>
      <c r="J468" t="s">
        <v>3081</v>
      </c>
      <c r="K468" t="s">
        <v>208</v>
      </c>
      <c r="L468" t="s">
        <v>3082</v>
      </c>
      <c r="M468" t="s">
        <v>3083</v>
      </c>
      <c r="N468">
        <v>75245</v>
      </c>
      <c r="O468" t="s">
        <v>1020</v>
      </c>
      <c r="P468">
        <v>75245</v>
      </c>
      <c r="Q468" t="s">
        <v>1020</v>
      </c>
      <c r="R468" t="s">
        <v>1021</v>
      </c>
      <c r="S468" t="s">
        <v>1022</v>
      </c>
      <c r="T468" t="s">
        <v>44</v>
      </c>
      <c r="U468" t="s">
        <v>45</v>
      </c>
      <c r="AA468" t="s">
        <v>119</v>
      </c>
      <c r="AE468" t="s">
        <v>120</v>
      </c>
      <c r="AG468" t="s">
        <v>48</v>
      </c>
    </row>
    <row r="469" spans="1:33" x14ac:dyDescent="0.3">
      <c r="A469">
        <v>919</v>
      </c>
      <c r="B469" t="s">
        <v>3084</v>
      </c>
      <c r="C469" t="str">
        <f>"1100002791636"</f>
        <v>1100002791636</v>
      </c>
      <c r="D469" t="str">
        <f>"212530D00"</f>
        <v>212530D00</v>
      </c>
      <c r="E469" s="1">
        <v>42311</v>
      </c>
      <c r="F469" t="s">
        <v>3085</v>
      </c>
      <c r="G469" t="e">
        <f>INDEX(#REF!,MATCH(P469,#REF!,0),1)</f>
        <v>#REF!</v>
      </c>
      <c r="H469" t="s">
        <v>3086</v>
      </c>
      <c r="J469" t="s">
        <v>3087</v>
      </c>
      <c r="K469" t="s">
        <v>2244</v>
      </c>
      <c r="L469" t="s">
        <v>3088</v>
      </c>
      <c r="M469" t="s">
        <v>3089</v>
      </c>
      <c r="N469">
        <v>2108</v>
      </c>
      <c r="O469" t="s">
        <v>1282</v>
      </c>
      <c r="P469">
        <v>2108</v>
      </c>
      <c r="Q469" t="s">
        <v>1282</v>
      </c>
      <c r="R469" t="s">
        <v>1283</v>
      </c>
      <c r="S469" t="s">
        <v>1284</v>
      </c>
      <c r="T469" t="s">
        <v>44</v>
      </c>
      <c r="U469" t="s">
        <v>45</v>
      </c>
      <c r="AA469" t="s">
        <v>58</v>
      </c>
      <c r="AE469" t="s">
        <v>60</v>
      </c>
      <c r="AG469" t="s">
        <v>48</v>
      </c>
    </row>
    <row r="470" spans="1:33" x14ac:dyDescent="0.3">
      <c r="A470">
        <v>934</v>
      </c>
      <c r="B470" t="s">
        <v>3090</v>
      </c>
      <c r="C470" t="str">
        <f>""</f>
        <v/>
      </c>
      <c r="D470" t="str">
        <f>""</f>
        <v/>
      </c>
      <c r="E470" s="1">
        <v>42583</v>
      </c>
      <c r="F470" t="s">
        <v>3091</v>
      </c>
      <c r="G470" t="e">
        <f>INDEX(#REF!,MATCH(P470,#REF!,0),1)</f>
        <v>#REF!</v>
      </c>
      <c r="H470" t="s">
        <v>3092</v>
      </c>
      <c r="J470" t="s">
        <v>3093</v>
      </c>
      <c r="K470" t="s">
        <v>77</v>
      </c>
      <c r="L470">
        <v>24614</v>
      </c>
      <c r="M470" t="s">
        <v>3094</v>
      </c>
      <c r="N470">
        <v>934</v>
      </c>
      <c r="O470" t="s">
        <v>3091</v>
      </c>
      <c r="P470">
        <v>934</v>
      </c>
      <c r="Q470" t="s">
        <v>3091</v>
      </c>
      <c r="R470" t="s">
        <v>1193</v>
      </c>
      <c r="S470" t="s">
        <v>1194</v>
      </c>
      <c r="T470" t="s">
        <v>44</v>
      </c>
      <c r="U470" t="s">
        <v>45</v>
      </c>
    </row>
    <row r="471" spans="1:33" x14ac:dyDescent="0.3">
      <c r="A471">
        <v>947</v>
      </c>
      <c r="B471" t="s">
        <v>3095</v>
      </c>
      <c r="C471" t="str">
        <f>"1100005320222"</f>
        <v>1100005320222</v>
      </c>
      <c r="D471" t="str">
        <f>""</f>
        <v/>
      </c>
      <c r="E471" s="1">
        <v>39870</v>
      </c>
      <c r="F471" t="s">
        <v>3096</v>
      </c>
      <c r="G471" t="e">
        <f>INDEX(#REF!,MATCH(P471,#REF!,0),1)</f>
        <v>#REF!</v>
      </c>
      <c r="H471" t="s">
        <v>3097</v>
      </c>
      <c r="J471" t="s">
        <v>3098</v>
      </c>
      <c r="K471" t="s">
        <v>99</v>
      </c>
      <c r="L471" t="s">
        <v>3099</v>
      </c>
      <c r="M471" t="s">
        <v>3100</v>
      </c>
      <c r="N471">
        <v>947</v>
      </c>
      <c r="O471" t="s">
        <v>3096</v>
      </c>
      <c r="P471">
        <v>947</v>
      </c>
      <c r="Q471" t="s">
        <v>3096</v>
      </c>
      <c r="R471" t="s">
        <v>3101</v>
      </c>
      <c r="S471" t="s">
        <v>3102</v>
      </c>
      <c r="T471" t="s">
        <v>2277</v>
      </c>
      <c r="U471" t="s">
        <v>3103</v>
      </c>
      <c r="V471" t="s">
        <v>2215</v>
      </c>
    </row>
    <row r="472" spans="1:33" x14ac:dyDescent="0.3">
      <c r="A472">
        <v>950</v>
      </c>
      <c r="B472" t="s">
        <v>3104</v>
      </c>
      <c r="C472" t="str">
        <f>"1100005809994"</f>
        <v>1100005809994</v>
      </c>
      <c r="D472" t="str">
        <f>"160360G00"</f>
        <v>160360G00</v>
      </c>
      <c r="E472" s="1">
        <v>30530</v>
      </c>
      <c r="F472" t="s">
        <v>3105</v>
      </c>
      <c r="G472" t="e">
        <f>INDEX(#REF!,MATCH(P472,#REF!,0),1)</f>
        <v>#REF!</v>
      </c>
      <c r="H472" t="s">
        <v>1107</v>
      </c>
      <c r="J472" t="s">
        <v>1108</v>
      </c>
      <c r="K472" t="s">
        <v>1109</v>
      </c>
      <c r="L472" t="str">
        <f>"06510-3220"</f>
        <v>06510-3220</v>
      </c>
      <c r="M472" t="s">
        <v>3106</v>
      </c>
      <c r="N472">
        <v>286</v>
      </c>
      <c r="O472" t="s">
        <v>1106</v>
      </c>
      <c r="P472">
        <v>286</v>
      </c>
      <c r="Q472" t="s">
        <v>1106</v>
      </c>
      <c r="R472" t="s">
        <v>56</v>
      </c>
      <c r="S472" t="s">
        <v>57</v>
      </c>
      <c r="T472" t="s">
        <v>44</v>
      </c>
      <c r="U472" t="s">
        <v>45</v>
      </c>
      <c r="AA472" t="s">
        <v>58</v>
      </c>
      <c r="AE472" t="s">
        <v>60</v>
      </c>
      <c r="AG472" t="s">
        <v>48</v>
      </c>
    </row>
    <row r="473" spans="1:33" x14ac:dyDescent="0.3">
      <c r="A473">
        <v>963</v>
      </c>
      <c r="B473" t="s">
        <v>3107</v>
      </c>
      <c r="C473" t="str">
        <f>"1100002144432"</f>
        <v>1100002144432</v>
      </c>
      <c r="D473" t="str">
        <f>"120180C00"</f>
        <v>120180C00</v>
      </c>
      <c r="E473" s="1">
        <v>33971</v>
      </c>
      <c r="F473" t="s">
        <v>3108</v>
      </c>
      <c r="G473" t="e">
        <f>INDEX(#REF!,MATCH(P473,#REF!,0),1)</f>
        <v>#REF!</v>
      </c>
      <c r="H473" t="s">
        <v>3109</v>
      </c>
      <c r="J473" t="s">
        <v>3110</v>
      </c>
      <c r="K473" t="s">
        <v>53</v>
      </c>
      <c r="L473" t="str">
        <f>"03431-1729"</f>
        <v>03431-1729</v>
      </c>
      <c r="M473" t="s">
        <v>3111</v>
      </c>
      <c r="N473">
        <v>155</v>
      </c>
      <c r="O473" t="s">
        <v>55</v>
      </c>
      <c r="P473">
        <v>155</v>
      </c>
      <c r="Q473" t="s">
        <v>55</v>
      </c>
      <c r="R473" t="s">
        <v>56</v>
      </c>
      <c r="S473" t="s">
        <v>57</v>
      </c>
      <c r="T473" t="s">
        <v>44</v>
      </c>
      <c r="U473" t="s">
        <v>45</v>
      </c>
      <c r="AA473" t="s">
        <v>58</v>
      </c>
      <c r="AE473" t="s">
        <v>60</v>
      </c>
    </row>
    <row r="474" spans="1:33" x14ac:dyDescent="0.3">
      <c r="A474">
        <v>966</v>
      </c>
      <c r="B474" t="s">
        <v>3112</v>
      </c>
      <c r="C474" t="str">
        <f>""</f>
        <v/>
      </c>
      <c r="D474" t="str">
        <f>"350700F00"</f>
        <v>350700F00</v>
      </c>
      <c r="E474" s="1">
        <v>33970</v>
      </c>
      <c r="F474" t="s">
        <v>3113</v>
      </c>
      <c r="G474" t="e">
        <f>INDEX(#REF!,MATCH(P474,#REF!,0),1)</f>
        <v>#REF!</v>
      </c>
      <c r="H474" t="s">
        <v>3114</v>
      </c>
      <c r="J474" t="s">
        <v>3115</v>
      </c>
      <c r="K474" t="s">
        <v>235</v>
      </c>
      <c r="L474" t="s">
        <v>3116</v>
      </c>
      <c r="M474" t="s">
        <v>3117</v>
      </c>
      <c r="N474">
        <v>966</v>
      </c>
      <c r="O474" t="s">
        <v>3113</v>
      </c>
      <c r="P474">
        <v>966</v>
      </c>
      <c r="Q474" t="s">
        <v>3113</v>
      </c>
      <c r="R474" t="s">
        <v>237</v>
      </c>
      <c r="S474" t="s">
        <v>238</v>
      </c>
      <c r="T474" t="s">
        <v>44</v>
      </c>
      <c r="U474" t="s">
        <v>45</v>
      </c>
      <c r="AC474" t="s">
        <v>547</v>
      </c>
    </row>
    <row r="475" spans="1:33" x14ac:dyDescent="0.3">
      <c r="A475">
        <v>970</v>
      </c>
      <c r="B475" t="s">
        <v>3118</v>
      </c>
      <c r="C475" t="str">
        <f>"1100005236424"</f>
        <v>1100005236424</v>
      </c>
      <c r="D475" t="str">
        <f>"381360L00"</f>
        <v>381360L00</v>
      </c>
      <c r="E475" s="1">
        <v>34001</v>
      </c>
      <c r="F475" t="s">
        <v>3119</v>
      </c>
      <c r="G475" t="e">
        <f>INDEX(#REF!,MATCH(P475,#REF!,0),1)</f>
        <v>#REF!</v>
      </c>
      <c r="H475" t="s">
        <v>3120</v>
      </c>
      <c r="J475" t="s">
        <v>568</v>
      </c>
      <c r="K475" t="s">
        <v>99</v>
      </c>
      <c r="L475" t="s">
        <v>3121</v>
      </c>
      <c r="M475" t="s">
        <v>916</v>
      </c>
      <c r="N475">
        <v>232</v>
      </c>
      <c r="O475" t="s">
        <v>912</v>
      </c>
      <c r="P475">
        <v>232</v>
      </c>
      <c r="Q475" t="s">
        <v>912</v>
      </c>
      <c r="R475" t="s">
        <v>917</v>
      </c>
      <c r="S475" t="s">
        <v>918</v>
      </c>
      <c r="T475" t="s">
        <v>44</v>
      </c>
      <c r="U475" t="s">
        <v>45</v>
      </c>
      <c r="AA475" t="s">
        <v>105</v>
      </c>
      <c r="AE475" t="s">
        <v>106</v>
      </c>
    </row>
    <row r="476" spans="1:33" x14ac:dyDescent="0.3">
      <c r="A476">
        <v>971</v>
      </c>
      <c r="B476" t="s">
        <v>3122</v>
      </c>
      <c r="C476" t="str">
        <f>""</f>
        <v/>
      </c>
      <c r="D476" t="str">
        <f>"932190O00"</f>
        <v>932190O00</v>
      </c>
      <c r="E476" s="1">
        <v>34001</v>
      </c>
      <c r="F476" t="s">
        <v>3123</v>
      </c>
      <c r="G476" t="e">
        <f>INDEX(#REF!,MATCH(P476,#REF!,0),1)</f>
        <v>#REF!</v>
      </c>
      <c r="H476" t="s">
        <v>3124</v>
      </c>
      <c r="J476" t="s">
        <v>3125</v>
      </c>
      <c r="K476" t="s">
        <v>88</v>
      </c>
      <c r="L476" t="s">
        <v>3126</v>
      </c>
      <c r="M476" t="s">
        <v>3127</v>
      </c>
      <c r="N476">
        <v>251</v>
      </c>
      <c r="O476" t="s">
        <v>90</v>
      </c>
      <c r="P476">
        <v>251</v>
      </c>
      <c r="Q476" t="s">
        <v>90</v>
      </c>
      <c r="R476" t="s">
        <v>91</v>
      </c>
      <c r="S476" t="s">
        <v>92</v>
      </c>
      <c r="T476" t="s">
        <v>44</v>
      </c>
      <c r="U476" t="s">
        <v>45</v>
      </c>
      <c r="AA476" t="s">
        <v>93</v>
      </c>
      <c r="AC476" t="s">
        <v>90</v>
      </c>
      <c r="AD476" t="s">
        <v>94</v>
      </c>
      <c r="AE476" t="s">
        <v>72</v>
      </c>
      <c r="AG476" t="s">
        <v>48</v>
      </c>
    </row>
    <row r="477" spans="1:33" x14ac:dyDescent="0.3">
      <c r="A477">
        <v>982</v>
      </c>
      <c r="B477" t="s">
        <v>3128</v>
      </c>
      <c r="C477" t="str">
        <f>""</f>
        <v/>
      </c>
      <c r="D477" t="str">
        <f>"330090F00"</f>
        <v>330090F00</v>
      </c>
      <c r="E477" s="1">
        <v>42583</v>
      </c>
      <c r="F477" t="s">
        <v>3129</v>
      </c>
      <c r="G477" t="e">
        <f>INDEX(#REF!,MATCH(P477,#REF!,0),1)</f>
        <v>#REF!</v>
      </c>
      <c r="H477" t="s">
        <v>3130</v>
      </c>
      <c r="J477" t="s">
        <v>2145</v>
      </c>
      <c r="K477" t="s">
        <v>2451</v>
      </c>
      <c r="L477">
        <v>20017</v>
      </c>
      <c r="M477" t="s">
        <v>3131</v>
      </c>
      <c r="N477">
        <v>2433</v>
      </c>
      <c r="O477" t="s">
        <v>3132</v>
      </c>
      <c r="P477">
        <v>2433</v>
      </c>
      <c r="Q477" t="s">
        <v>3132</v>
      </c>
      <c r="R477" t="s">
        <v>3133</v>
      </c>
      <c r="S477" t="s">
        <v>3134</v>
      </c>
      <c r="T477" t="s">
        <v>44</v>
      </c>
      <c r="U477" t="s">
        <v>45</v>
      </c>
      <c r="X477" t="s">
        <v>289</v>
      </c>
      <c r="AA477" t="s">
        <v>119</v>
      </c>
      <c r="AB477" t="s">
        <v>290</v>
      </c>
      <c r="AG477" t="s">
        <v>48</v>
      </c>
    </row>
    <row r="478" spans="1:33" x14ac:dyDescent="0.3">
      <c r="A478">
        <v>990</v>
      </c>
      <c r="B478" t="s">
        <v>3135</v>
      </c>
      <c r="C478" t="str">
        <f>"1100002895037"</f>
        <v>1100002895037</v>
      </c>
      <c r="D478" t="str">
        <f>"DTNK19N00"</f>
        <v>DTNK19N00</v>
      </c>
      <c r="E478" s="1">
        <v>36312</v>
      </c>
      <c r="F478" t="s">
        <v>3136</v>
      </c>
      <c r="G478" t="e">
        <f>INDEX(#REF!,MATCH(P478,#REF!,0),1)</f>
        <v>#REF!</v>
      </c>
      <c r="H478" t="s">
        <v>725</v>
      </c>
      <c r="J478" t="s">
        <v>726</v>
      </c>
      <c r="K478" t="s">
        <v>727</v>
      </c>
      <c r="L478" t="s">
        <v>3137</v>
      </c>
      <c r="M478" t="s">
        <v>3138</v>
      </c>
      <c r="N478">
        <v>908</v>
      </c>
      <c r="O478" t="s">
        <v>730</v>
      </c>
      <c r="P478">
        <v>908</v>
      </c>
      <c r="Q478" t="s">
        <v>730</v>
      </c>
      <c r="R478" t="s">
        <v>3139</v>
      </c>
      <c r="S478" t="s">
        <v>3140</v>
      </c>
      <c r="T478" t="s">
        <v>3141</v>
      </c>
      <c r="U478" t="s">
        <v>3142</v>
      </c>
      <c r="V478" t="s">
        <v>1824</v>
      </c>
      <c r="AA478" t="s">
        <v>327</v>
      </c>
      <c r="AD478" t="s">
        <v>94</v>
      </c>
      <c r="AE478" t="s">
        <v>348</v>
      </c>
    </row>
    <row r="479" spans="1:33" x14ac:dyDescent="0.3">
      <c r="A479">
        <v>1020</v>
      </c>
      <c r="B479" t="s">
        <v>3143</v>
      </c>
      <c r="C479" t="str">
        <f>"1100003421273"</f>
        <v>1100003421273</v>
      </c>
      <c r="D479" t="str">
        <f>"610750J00"</f>
        <v>610750J00</v>
      </c>
      <c r="E479" s="1">
        <v>34394</v>
      </c>
      <c r="F479" t="s">
        <v>3144</v>
      </c>
      <c r="G479" t="e">
        <f>INDEX(#REF!,MATCH(P479,#REF!,0),1)</f>
        <v>#REF!</v>
      </c>
      <c r="H479" t="s">
        <v>3145</v>
      </c>
      <c r="J479" t="s">
        <v>3146</v>
      </c>
      <c r="K479" t="s">
        <v>283</v>
      </c>
      <c r="L479" t="s">
        <v>3147</v>
      </c>
      <c r="M479" t="s">
        <v>3148</v>
      </c>
      <c r="N479">
        <v>871561</v>
      </c>
      <c r="O479" t="s">
        <v>194</v>
      </c>
      <c r="P479">
        <v>102627</v>
      </c>
      <c r="Q479" t="s">
        <v>3048</v>
      </c>
      <c r="R479" t="s">
        <v>196</v>
      </c>
      <c r="S479" t="s">
        <v>197</v>
      </c>
      <c r="T479" t="s">
        <v>44</v>
      </c>
      <c r="U479" t="s">
        <v>45</v>
      </c>
      <c r="AA479" t="s">
        <v>119</v>
      </c>
      <c r="AE479" t="s">
        <v>120</v>
      </c>
      <c r="AG479" t="s">
        <v>48</v>
      </c>
    </row>
    <row r="480" spans="1:33" x14ac:dyDescent="0.3">
      <c r="A480">
        <v>1044</v>
      </c>
      <c r="B480" t="s">
        <v>3149</v>
      </c>
      <c r="C480" t="str">
        <f>"1100003456695"</f>
        <v>1100003456695</v>
      </c>
      <c r="D480" t="str">
        <f>"630650KF2"</f>
        <v>630650KF2</v>
      </c>
      <c r="E480" s="1">
        <v>34282</v>
      </c>
      <c r="F480" t="s">
        <v>3150</v>
      </c>
      <c r="G480" t="e">
        <f>INDEX(#REF!,MATCH(P480,#REF!,0),1)</f>
        <v>#REF!</v>
      </c>
      <c r="H480" t="s">
        <v>1853</v>
      </c>
      <c r="J480" t="s">
        <v>1854</v>
      </c>
      <c r="K480" t="s">
        <v>177</v>
      </c>
      <c r="L480" t="s">
        <v>1855</v>
      </c>
      <c r="M480" t="s">
        <v>3151</v>
      </c>
      <c r="N480">
        <v>3602</v>
      </c>
      <c r="O480" t="s">
        <v>1857</v>
      </c>
      <c r="P480">
        <v>501</v>
      </c>
      <c r="Q480" t="s">
        <v>1852</v>
      </c>
      <c r="R480" t="s">
        <v>3152</v>
      </c>
      <c r="S480" t="s">
        <v>3153</v>
      </c>
      <c r="T480" t="s">
        <v>2140</v>
      </c>
      <c r="U480" t="s">
        <v>2141</v>
      </c>
      <c r="V480" t="s">
        <v>1824</v>
      </c>
      <c r="AA480" t="s">
        <v>119</v>
      </c>
      <c r="AE480" t="s">
        <v>348</v>
      </c>
    </row>
    <row r="481" spans="1:33" x14ac:dyDescent="0.3">
      <c r="A481">
        <v>1045</v>
      </c>
      <c r="B481" t="s">
        <v>3154</v>
      </c>
      <c r="C481" t="str">
        <f>""</f>
        <v/>
      </c>
      <c r="D481" t="str">
        <f>"0F7TDKC00"</f>
        <v>0F7TDKC00</v>
      </c>
      <c r="E481" s="1">
        <v>34213</v>
      </c>
      <c r="F481" t="s">
        <v>3155</v>
      </c>
      <c r="G481" t="e">
        <f>INDEX(#REF!,MATCH(P481,#REF!,0),1)</f>
        <v>#REF!</v>
      </c>
      <c r="H481" t="s">
        <v>3156</v>
      </c>
      <c r="J481" t="s">
        <v>862</v>
      </c>
      <c r="K481" t="s">
        <v>261</v>
      </c>
      <c r="L481" t="s">
        <v>3157</v>
      </c>
      <c r="M481" t="s">
        <v>3158</v>
      </c>
      <c r="N481">
        <v>46431</v>
      </c>
      <c r="O481" t="s">
        <v>865</v>
      </c>
      <c r="P481">
        <v>217</v>
      </c>
      <c r="Q481" t="s">
        <v>860</v>
      </c>
      <c r="R481" t="s">
        <v>3159</v>
      </c>
      <c r="S481" t="s">
        <v>3160</v>
      </c>
      <c r="T481" t="s">
        <v>117</v>
      </c>
      <c r="U481" t="s">
        <v>2479</v>
      </c>
      <c r="V481" t="s">
        <v>1824</v>
      </c>
      <c r="AA481" t="s">
        <v>119</v>
      </c>
      <c r="AE481" t="s">
        <v>120</v>
      </c>
    </row>
    <row r="482" spans="1:33" x14ac:dyDescent="0.3">
      <c r="A482">
        <v>1099</v>
      </c>
      <c r="B482" t="s">
        <v>3161</v>
      </c>
      <c r="C482" t="str">
        <f>"1100005978003"</f>
        <v>1100005978003</v>
      </c>
      <c r="D482" t="str">
        <f>"432400D00"</f>
        <v>432400D00</v>
      </c>
      <c r="E482" s="1">
        <v>43040</v>
      </c>
      <c r="F482" t="s">
        <v>3162</v>
      </c>
      <c r="G482" t="e">
        <f>INDEX(#REF!,MATCH(P482,#REF!,0),1)</f>
        <v>#REF!</v>
      </c>
      <c r="H482" t="s">
        <v>3163</v>
      </c>
      <c r="J482" t="s">
        <v>3164</v>
      </c>
      <c r="K482" t="s">
        <v>342</v>
      </c>
      <c r="L482">
        <v>61201</v>
      </c>
      <c r="M482" t="s">
        <v>3165</v>
      </c>
      <c r="N482">
        <v>1099</v>
      </c>
      <c r="O482" t="s">
        <v>3162</v>
      </c>
      <c r="P482">
        <v>1099</v>
      </c>
      <c r="Q482" t="s">
        <v>3162</v>
      </c>
      <c r="R482" t="s">
        <v>245</v>
      </c>
      <c r="S482" t="s">
        <v>246</v>
      </c>
      <c r="T482" t="s">
        <v>44</v>
      </c>
      <c r="U482" t="s">
        <v>45</v>
      </c>
    </row>
    <row r="483" spans="1:33" x14ac:dyDescent="0.3">
      <c r="A483">
        <v>1105</v>
      </c>
      <c r="B483" t="s">
        <v>3166</v>
      </c>
      <c r="C483" t="str">
        <f>""</f>
        <v/>
      </c>
      <c r="D483" t="str">
        <f>"670050I00"</f>
        <v>670050I00</v>
      </c>
      <c r="E483" s="1">
        <v>42562</v>
      </c>
      <c r="F483" t="s">
        <v>3167</v>
      </c>
      <c r="G483" t="e">
        <f>INDEX(#REF!,MATCH(P483,#REF!,0),1)</f>
        <v>#REF!</v>
      </c>
      <c r="H483" t="s">
        <v>3168</v>
      </c>
      <c r="J483" t="s">
        <v>3169</v>
      </c>
      <c r="K483" t="s">
        <v>835</v>
      </c>
      <c r="L483" t="s">
        <v>3170</v>
      </c>
      <c r="M483" t="s">
        <v>3171</v>
      </c>
      <c r="N483">
        <v>30537</v>
      </c>
      <c r="O483" t="s">
        <v>838</v>
      </c>
      <c r="P483">
        <v>30537</v>
      </c>
      <c r="Q483" t="s">
        <v>838</v>
      </c>
      <c r="R483" t="s">
        <v>228</v>
      </c>
      <c r="S483" t="s">
        <v>229</v>
      </c>
      <c r="T483" t="s">
        <v>44</v>
      </c>
      <c r="U483" t="s">
        <v>45</v>
      </c>
      <c r="AA483" t="s">
        <v>119</v>
      </c>
      <c r="AE483" t="s">
        <v>120</v>
      </c>
    </row>
    <row r="484" spans="1:33" x14ac:dyDescent="0.3">
      <c r="A484">
        <v>1108</v>
      </c>
      <c r="B484" t="s">
        <v>3172</v>
      </c>
      <c r="C484" t="str">
        <f>"1100008755380"</f>
        <v>1100008755380</v>
      </c>
      <c r="D484" t="str">
        <f>"511120A00"</f>
        <v>511120A00</v>
      </c>
      <c r="E484" s="1">
        <v>34029</v>
      </c>
      <c r="F484" t="s">
        <v>3173</v>
      </c>
      <c r="G484" t="e">
        <f>INDEX(#REF!,MATCH(P484,#REF!,0),1)</f>
        <v>#REF!</v>
      </c>
      <c r="H484" t="s">
        <v>3174</v>
      </c>
      <c r="J484" t="s">
        <v>3175</v>
      </c>
      <c r="K484" t="s">
        <v>1407</v>
      </c>
      <c r="L484" t="s">
        <v>3176</v>
      </c>
      <c r="M484" t="s">
        <v>3177</v>
      </c>
      <c r="N484">
        <v>3368764</v>
      </c>
      <c r="O484" t="s">
        <v>3178</v>
      </c>
      <c r="P484">
        <v>3368764</v>
      </c>
      <c r="Q484" t="s">
        <v>3178</v>
      </c>
      <c r="R484" t="s">
        <v>520</v>
      </c>
      <c r="S484" t="s">
        <v>521</v>
      </c>
      <c r="T484" t="s">
        <v>44</v>
      </c>
      <c r="U484" t="s">
        <v>45</v>
      </c>
      <c r="AA484" t="s">
        <v>105</v>
      </c>
      <c r="AE484" t="s">
        <v>72</v>
      </c>
    </row>
    <row r="485" spans="1:33" x14ac:dyDescent="0.3">
      <c r="A485">
        <v>1110</v>
      </c>
      <c r="B485" t="s">
        <v>3179</v>
      </c>
      <c r="C485" t="str">
        <f>"1100005489820"</f>
        <v>1100005489820</v>
      </c>
      <c r="D485" t="str">
        <f>"421480J00"</f>
        <v>421480J00</v>
      </c>
      <c r="E485" s="1">
        <v>42583</v>
      </c>
      <c r="F485" t="s">
        <v>3180</v>
      </c>
      <c r="G485" t="e">
        <f>INDEX(#REF!,MATCH(P485,#REF!,0),1)</f>
        <v>#REF!</v>
      </c>
      <c r="H485" t="s">
        <v>3181</v>
      </c>
      <c r="J485" t="s">
        <v>3182</v>
      </c>
      <c r="K485" t="s">
        <v>307</v>
      </c>
      <c r="L485">
        <v>46580</v>
      </c>
      <c r="M485" t="s">
        <v>3183</v>
      </c>
      <c r="N485">
        <v>897152</v>
      </c>
      <c r="O485" t="s">
        <v>3184</v>
      </c>
      <c r="P485">
        <v>897152</v>
      </c>
      <c r="Q485" t="s">
        <v>3184</v>
      </c>
      <c r="R485" t="s">
        <v>492</v>
      </c>
      <c r="S485" t="s">
        <v>493</v>
      </c>
      <c r="T485" t="s">
        <v>44</v>
      </c>
      <c r="U485" t="s">
        <v>45</v>
      </c>
    </row>
    <row r="486" spans="1:33" x14ac:dyDescent="0.3">
      <c r="A486">
        <v>1111</v>
      </c>
      <c r="B486" t="s">
        <v>3185</v>
      </c>
      <c r="C486" t="str">
        <f>""</f>
        <v/>
      </c>
      <c r="D486" t="str">
        <f>"630700G00"</f>
        <v>630700G00</v>
      </c>
      <c r="E486" s="1">
        <v>34029</v>
      </c>
      <c r="F486" t="s">
        <v>3186</v>
      </c>
      <c r="G486" t="e">
        <f>INDEX(#REF!,MATCH(P486,#REF!,0),1)</f>
        <v>#REF!</v>
      </c>
      <c r="H486" t="s">
        <v>3187</v>
      </c>
      <c r="J486" t="s">
        <v>951</v>
      </c>
      <c r="K486" t="s">
        <v>177</v>
      </c>
      <c r="L486" t="s">
        <v>3188</v>
      </c>
      <c r="M486" t="s">
        <v>3189</v>
      </c>
      <c r="N486">
        <v>6104582</v>
      </c>
      <c r="O486" t="s">
        <v>180</v>
      </c>
      <c r="P486">
        <v>244</v>
      </c>
      <c r="Q486" t="s">
        <v>949</v>
      </c>
      <c r="R486" t="s">
        <v>182</v>
      </c>
      <c r="S486" t="s">
        <v>183</v>
      </c>
      <c r="T486" t="s">
        <v>44</v>
      </c>
      <c r="U486" t="s">
        <v>1823</v>
      </c>
      <c r="AD486" t="s">
        <v>94</v>
      </c>
      <c r="AE486" t="s">
        <v>186</v>
      </c>
    </row>
    <row r="487" spans="1:33" x14ac:dyDescent="0.3">
      <c r="A487">
        <v>1112</v>
      </c>
      <c r="B487" t="s">
        <v>3190</v>
      </c>
      <c r="C487" t="str">
        <f>""</f>
        <v/>
      </c>
      <c r="D487" t="str">
        <f>"93F2BHL00"</f>
        <v>93F2BHL00</v>
      </c>
      <c r="E487" s="1">
        <v>34029</v>
      </c>
      <c r="F487" t="s">
        <v>3191</v>
      </c>
      <c r="G487" t="e">
        <f>INDEX(#REF!,MATCH(P487,#REF!,0),1)</f>
        <v>#REF!</v>
      </c>
      <c r="H487" t="s">
        <v>3192</v>
      </c>
      <c r="J487" t="s">
        <v>969</v>
      </c>
      <c r="K487" t="s">
        <v>88</v>
      </c>
      <c r="L487">
        <v>95826</v>
      </c>
      <c r="M487" t="s">
        <v>3193</v>
      </c>
      <c r="N487">
        <v>251</v>
      </c>
      <c r="O487" t="s">
        <v>90</v>
      </c>
      <c r="P487">
        <v>251</v>
      </c>
      <c r="Q487" t="s">
        <v>90</v>
      </c>
      <c r="R487" t="s">
        <v>91</v>
      </c>
      <c r="S487" t="s">
        <v>92</v>
      </c>
      <c r="T487" t="s">
        <v>44</v>
      </c>
      <c r="U487" t="s">
        <v>1823</v>
      </c>
      <c r="AA487" t="s">
        <v>93</v>
      </c>
      <c r="AC487" t="s">
        <v>90</v>
      </c>
      <c r="AD487" t="s">
        <v>94</v>
      </c>
      <c r="AE487" t="s">
        <v>72</v>
      </c>
      <c r="AG487" t="s">
        <v>48</v>
      </c>
    </row>
    <row r="488" spans="1:33" x14ac:dyDescent="0.3">
      <c r="A488">
        <v>1129</v>
      </c>
      <c r="B488" t="s">
        <v>3194</v>
      </c>
      <c r="C488" t="str">
        <f>""</f>
        <v/>
      </c>
      <c r="D488" t="str">
        <f>"HDD3Q6600"</f>
        <v>HDD3Q6600</v>
      </c>
      <c r="E488" s="1">
        <v>41978</v>
      </c>
      <c r="F488" t="s">
        <v>3195</v>
      </c>
      <c r="G488" t="e">
        <f>INDEX(#REF!,MATCH(P488,#REF!,0),1)</f>
        <v>#REF!</v>
      </c>
      <c r="H488" t="s">
        <v>3196</v>
      </c>
      <c r="J488" t="s">
        <v>3197</v>
      </c>
      <c r="K488" t="s">
        <v>307</v>
      </c>
      <c r="L488">
        <v>46992</v>
      </c>
      <c r="M488" t="s">
        <v>2583</v>
      </c>
      <c r="N488">
        <v>3087</v>
      </c>
      <c r="O488" t="s">
        <v>491</v>
      </c>
      <c r="P488">
        <v>3087</v>
      </c>
      <c r="Q488" t="s">
        <v>491</v>
      </c>
      <c r="R488" t="s">
        <v>335</v>
      </c>
      <c r="S488" t="s">
        <v>336</v>
      </c>
      <c r="T488" t="s">
        <v>44</v>
      </c>
      <c r="U488" t="s">
        <v>45</v>
      </c>
      <c r="AA488" t="s">
        <v>328</v>
      </c>
      <c r="AE488" t="s">
        <v>269</v>
      </c>
    </row>
    <row r="489" spans="1:33" x14ac:dyDescent="0.3">
      <c r="A489">
        <v>1131</v>
      </c>
      <c r="B489" t="s">
        <v>3198</v>
      </c>
      <c r="C489" t="str">
        <f>""</f>
        <v/>
      </c>
      <c r="D489" t="str">
        <f>"6C64DRW00"</f>
        <v>6C64DRW00</v>
      </c>
      <c r="E489" s="1">
        <v>30911</v>
      </c>
      <c r="F489" t="s">
        <v>625</v>
      </c>
      <c r="G489" t="e">
        <f>INDEX(#REF!,MATCH(P489,#REF!,0),1)</f>
        <v>#REF!</v>
      </c>
      <c r="H489" t="s">
        <v>3199</v>
      </c>
      <c r="J489" t="s">
        <v>622</v>
      </c>
      <c r="K489" t="s">
        <v>77</v>
      </c>
      <c r="L489" t="s">
        <v>3200</v>
      </c>
      <c r="M489" t="s">
        <v>3201</v>
      </c>
      <c r="N489">
        <v>1131</v>
      </c>
      <c r="O489" t="s">
        <v>625</v>
      </c>
      <c r="P489">
        <v>1131</v>
      </c>
      <c r="Q489" t="s">
        <v>625</v>
      </c>
      <c r="R489" t="s">
        <v>171</v>
      </c>
      <c r="S489" t="s">
        <v>172</v>
      </c>
      <c r="T489" t="s">
        <v>44</v>
      </c>
      <c r="U489" t="s">
        <v>81</v>
      </c>
      <c r="AC489" t="s">
        <v>590</v>
      </c>
      <c r="AD489" t="s">
        <v>94</v>
      </c>
      <c r="AE489" t="s">
        <v>591</v>
      </c>
    </row>
    <row r="490" spans="1:33" x14ac:dyDescent="0.3">
      <c r="A490">
        <v>1133</v>
      </c>
      <c r="B490" t="s">
        <v>3202</v>
      </c>
      <c r="C490" t="str">
        <f>"1100003726538"</f>
        <v>1100003726538</v>
      </c>
      <c r="D490" t="str">
        <f>""</f>
        <v/>
      </c>
      <c r="E490" s="1">
        <v>28417</v>
      </c>
      <c r="F490" t="s">
        <v>3203</v>
      </c>
      <c r="G490" t="e">
        <f>INDEX(#REF!,MATCH(P490,#REF!,0),1)</f>
        <v>#REF!</v>
      </c>
      <c r="H490" t="s">
        <v>3204</v>
      </c>
      <c r="J490" t="s">
        <v>775</v>
      </c>
      <c r="K490" t="s">
        <v>353</v>
      </c>
      <c r="L490" t="s">
        <v>776</v>
      </c>
      <c r="M490" t="s">
        <v>3205</v>
      </c>
      <c r="N490">
        <v>2623348</v>
      </c>
      <c r="O490" t="s">
        <v>773</v>
      </c>
      <c r="P490">
        <v>193</v>
      </c>
      <c r="Q490" t="s">
        <v>773</v>
      </c>
      <c r="R490" t="s">
        <v>171</v>
      </c>
      <c r="S490" t="s">
        <v>172</v>
      </c>
      <c r="T490" t="s">
        <v>44</v>
      </c>
      <c r="U490" t="s">
        <v>45</v>
      </c>
      <c r="AA490" t="s">
        <v>93</v>
      </c>
      <c r="AE490" t="s">
        <v>220</v>
      </c>
      <c r="AG490" t="s">
        <v>48</v>
      </c>
    </row>
    <row r="491" spans="1:33" x14ac:dyDescent="0.3">
      <c r="A491">
        <v>1139</v>
      </c>
      <c r="B491" t="s">
        <v>3206</v>
      </c>
      <c r="C491" t="str">
        <f>""</f>
        <v/>
      </c>
      <c r="D491" t="str">
        <f>"G7K5BK700"</f>
        <v>G7K5BK700</v>
      </c>
      <c r="E491" s="1">
        <v>38732</v>
      </c>
      <c r="F491" t="s">
        <v>3207</v>
      </c>
      <c r="G491" t="e">
        <f>INDEX(#REF!,MATCH(P491,#REF!,0),1)</f>
        <v>#REF!</v>
      </c>
      <c r="H491" t="s">
        <v>3208</v>
      </c>
      <c r="J491" t="s">
        <v>1688</v>
      </c>
      <c r="K491" t="s">
        <v>283</v>
      </c>
      <c r="L491" t="s">
        <v>3209</v>
      </c>
      <c r="M491" t="s">
        <v>3210</v>
      </c>
      <c r="N491">
        <v>111033</v>
      </c>
      <c r="O491" t="s">
        <v>3211</v>
      </c>
      <c r="P491">
        <v>113665</v>
      </c>
      <c r="Q491" t="s">
        <v>3212</v>
      </c>
      <c r="R491" t="s">
        <v>611</v>
      </c>
      <c r="S491" t="s">
        <v>612</v>
      </c>
      <c r="T491" t="s">
        <v>44</v>
      </c>
      <c r="U491" t="s">
        <v>45</v>
      </c>
      <c r="AD491" t="s">
        <v>94</v>
      </c>
    </row>
    <row r="492" spans="1:33" x14ac:dyDescent="0.3">
      <c r="A492">
        <v>1141</v>
      </c>
      <c r="B492" t="s">
        <v>3213</v>
      </c>
      <c r="C492" t="str">
        <f>"1100003495229"</f>
        <v>1100003495229</v>
      </c>
      <c r="D492" t="str">
        <f>"WAOX3SM00"</f>
        <v>WAOX3SM00</v>
      </c>
      <c r="E492" s="1">
        <v>36678</v>
      </c>
      <c r="F492" t="s">
        <v>3214</v>
      </c>
      <c r="G492" t="e">
        <f>INDEX(#REF!,MATCH(P492,#REF!,0),1)</f>
        <v>#REF!</v>
      </c>
      <c r="H492" t="s">
        <v>3215</v>
      </c>
      <c r="J492" t="s">
        <v>2298</v>
      </c>
      <c r="K492" t="s">
        <v>283</v>
      </c>
      <c r="L492" t="s">
        <v>3216</v>
      </c>
      <c r="M492" t="s">
        <v>3217</v>
      </c>
      <c r="N492">
        <v>75245</v>
      </c>
      <c r="O492" t="s">
        <v>1020</v>
      </c>
      <c r="P492">
        <v>75245</v>
      </c>
      <c r="Q492" t="s">
        <v>1020</v>
      </c>
      <c r="R492" t="s">
        <v>1021</v>
      </c>
      <c r="S492" t="s">
        <v>1022</v>
      </c>
      <c r="T492" t="s">
        <v>44</v>
      </c>
      <c r="U492" t="s">
        <v>45</v>
      </c>
      <c r="AA492" t="s">
        <v>119</v>
      </c>
      <c r="AE492" t="s">
        <v>120</v>
      </c>
      <c r="AG492" t="s">
        <v>48</v>
      </c>
    </row>
    <row r="493" spans="1:33" x14ac:dyDescent="0.3">
      <c r="A493">
        <v>1142</v>
      </c>
      <c r="B493" t="s">
        <v>3218</v>
      </c>
      <c r="C493" t="str">
        <f>"1100003364709"</f>
        <v>1100003364709</v>
      </c>
      <c r="D493" t="str">
        <f>"631570M00"</f>
        <v>631570M00</v>
      </c>
      <c r="E493" s="1">
        <v>34318</v>
      </c>
      <c r="F493" t="s">
        <v>3219</v>
      </c>
      <c r="G493" t="e">
        <f>INDEX(#REF!,MATCH(P493,#REF!,0),1)</f>
        <v>#REF!</v>
      </c>
      <c r="H493" t="s">
        <v>3220</v>
      </c>
      <c r="J493" t="s">
        <v>176</v>
      </c>
      <c r="K493" t="s">
        <v>177</v>
      </c>
      <c r="L493">
        <v>63136</v>
      </c>
      <c r="M493" t="s">
        <v>3221</v>
      </c>
      <c r="N493">
        <v>6104582</v>
      </c>
      <c r="O493" t="s">
        <v>180</v>
      </c>
      <c r="P493">
        <v>1351</v>
      </c>
      <c r="Q493" t="s">
        <v>181</v>
      </c>
      <c r="R493" t="s">
        <v>182</v>
      </c>
      <c r="S493" t="s">
        <v>183</v>
      </c>
      <c r="T493" t="s">
        <v>44</v>
      </c>
      <c r="U493" t="s">
        <v>45</v>
      </c>
      <c r="AA493" t="s">
        <v>185</v>
      </c>
      <c r="AE493" t="s">
        <v>186</v>
      </c>
    </row>
    <row r="494" spans="1:33" x14ac:dyDescent="0.3">
      <c r="A494">
        <v>1143</v>
      </c>
      <c r="B494" t="s">
        <v>3222</v>
      </c>
      <c r="C494" t="str">
        <f>"1100005234222"</f>
        <v>1100005234222</v>
      </c>
      <c r="D494" t="str">
        <f>"1BRQPN500"</f>
        <v>1BRQPN500</v>
      </c>
      <c r="E494" s="1">
        <v>44287</v>
      </c>
      <c r="F494" t="s">
        <v>3223</v>
      </c>
      <c r="G494" t="e">
        <f>INDEX(#REF!,MATCH(P494,#REF!,0),1)</f>
        <v>#REF!</v>
      </c>
      <c r="H494" t="s">
        <v>3224</v>
      </c>
      <c r="J494" t="s">
        <v>684</v>
      </c>
      <c r="K494" t="s">
        <v>177</v>
      </c>
      <c r="L494" t="s">
        <v>3225</v>
      </c>
      <c r="M494" t="s">
        <v>3226</v>
      </c>
      <c r="N494">
        <v>1143</v>
      </c>
      <c r="O494" t="s">
        <v>3223</v>
      </c>
      <c r="P494">
        <v>1143</v>
      </c>
      <c r="Q494" t="s">
        <v>3223</v>
      </c>
      <c r="R494" t="s">
        <v>228</v>
      </c>
      <c r="S494" t="s">
        <v>229</v>
      </c>
      <c r="T494" t="s">
        <v>44</v>
      </c>
      <c r="U494" t="s">
        <v>81</v>
      </c>
      <c r="AA494" t="s">
        <v>119</v>
      </c>
      <c r="AE494" t="s">
        <v>120</v>
      </c>
    </row>
    <row r="495" spans="1:33" x14ac:dyDescent="0.3">
      <c r="A495">
        <v>1146</v>
      </c>
      <c r="B495" t="s">
        <v>3227</v>
      </c>
      <c r="C495" t="str">
        <f>""</f>
        <v/>
      </c>
      <c r="D495" t="str">
        <f>"18J99LV00"</f>
        <v>18J99LV00</v>
      </c>
      <c r="E495" s="1">
        <v>31320</v>
      </c>
      <c r="F495" t="s">
        <v>1814</v>
      </c>
      <c r="G495" t="e">
        <f>INDEX(#REF!,MATCH(P495,#REF!,0),1)</f>
        <v>#REF!</v>
      </c>
      <c r="H495" t="s">
        <v>1810</v>
      </c>
      <c r="J495" t="s">
        <v>1811</v>
      </c>
      <c r="K495" t="s">
        <v>167</v>
      </c>
      <c r="L495">
        <v>34994</v>
      </c>
      <c r="M495" t="s">
        <v>1813</v>
      </c>
      <c r="N495">
        <v>770471</v>
      </c>
      <c r="O495" t="s">
        <v>40</v>
      </c>
      <c r="P495">
        <v>770471</v>
      </c>
      <c r="Q495" t="s">
        <v>40</v>
      </c>
      <c r="R495" t="s">
        <v>42</v>
      </c>
      <c r="S495" t="s">
        <v>43</v>
      </c>
      <c r="T495" t="s">
        <v>44</v>
      </c>
      <c r="U495" t="s">
        <v>81</v>
      </c>
      <c r="Y495" t="s">
        <v>46</v>
      </c>
      <c r="Z495" s="1">
        <v>43466</v>
      </c>
      <c r="AE495" t="s">
        <v>47</v>
      </c>
      <c r="AG495" t="s">
        <v>48</v>
      </c>
    </row>
    <row r="496" spans="1:33" x14ac:dyDescent="0.3">
      <c r="A496">
        <v>1158</v>
      </c>
      <c r="B496" t="s">
        <v>3228</v>
      </c>
      <c r="C496" t="str">
        <f>"1100004394736"</f>
        <v>1100004394736</v>
      </c>
      <c r="D496" t="str">
        <f>"340360G00"</f>
        <v>340360G00</v>
      </c>
      <c r="E496" s="1">
        <v>42583</v>
      </c>
      <c r="F496" t="s">
        <v>3229</v>
      </c>
      <c r="G496" t="e">
        <f>INDEX(#REF!,MATCH(P496,#REF!,0),1)</f>
        <v>#REF!</v>
      </c>
      <c r="H496" t="s">
        <v>3230</v>
      </c>
      <c r="J496" t="s">
        <v>3231</v>
      </c>
      <c r="K496" t="s">
        <v>77</v>
      </c>
      <c r="L496">
        <v>22046</v>
      </c>
      <c r="M496" t="s">
        <v>3232</v>
      </c>
      <c r="N496">
        <v>1961</v>
      </c>
      <c r="O496" t="s">
        <v>1207</v>
      </c>
      <c r="P496">
        <v>1961</v>
      </c>
      <c r="Q496" t="s">
        <v>1207</v>
      </c>
      <c r="R496" t="s">
        <v>1006</v>
      </c>
      <c r="S496" t="s">
        <v>1007</v>
      </c>
      <c r="T496" t="s">
        <v>44</v>
      </c>
      <c r="U496" t="s">
        <v>45</v>
      </c>
      <c r="AE496" t="s">
        <v>591</v>
      </c>
      <c r="AG496" t="s">
        <v>48</v>
      </c>
    </row>
    <row r="497" spans="1:33" x14ac:dyDescent="0.3">
      <c r="A497">
        <v>1173</v>
      </c>
      <c r="B497" t="s">
        <v>3233</v>
      </c>
      <c r="C497" t="str">
        <f>"1100003235573"</f>
        <v>1100003235573</v>
      </c>
      <c r="D497" t="str">
        <f>"934560R00"</f>
        <v>934560R00</v>
      </c>
      <c r="E497" s="1">
        <v>31778</v>
      </c>
      <c r="F497" t="s">
        <v>3234</v>
      </c>
      <c r="G497" t="e">
        <f>INDEX(#REF!,MATCH(P497,#REF!,0),1)</f>
        <v>#REF!</v>
      </c>
      <c r="H497" t="s">
        <v>3235</v>
      </c>
      <c r="J497" t="s">
        <v>969</v>
      </c>
      <c r="K497" t="s">
        <v>88</v>
      </c>
      <c r="L497">
        <v>95817</v>
      </c>
      <c r="M497" t="s">
        <v>3236</v>
      </c>
      <c r="N497">
        <v>2472681</v>
      </c>
      <c r="O497" t="s">
        <v>3237</v>
      </c>
      <c r="P497">
        <v>2472681</v>
      </c>
      <c r="Q497" t="s">
        <v>3237</v>
      </c>
      <c r="R497" t="s">
        <v>3238</v>
      </c>
      <c r="S497" t="s">
        <v>3239</v>
      </c>
      <c r="T497" t="s">
        <v>44</v>
      </c>
      <c r="U497" t="s">
        <v>45</v>
      </c>
      <c r="AC497" t="s">
        <v>3240</v>
      </c>
      <c r="AD497" t="s">
        <v>94</v>
      </c>
      <c r="AE497" t="s">
        <v>72</v>
      </c>
      <c r="AG497" t="s">
        <v>48</v>
      </c>
    </row>
    <row r="498" spans="1:33" x14ac:dyDescent="0.3">
      <c r="A498">
        <v>1177</v>
      </c>
      <c r="B498" t="s">
        <v>3241</v>
      </c>
      <c r="C498" t="str">
        <f>""</f>
        <v/>
      </c>
      <c r="D498" t="str">
        <f>"231840I00"</f>
        <v>231840I00</v>
      </c>
      <c r="E498" s="1">
        <v>35370</v>
      </c>
      <c r="F498" t="s">
        <v>3242</v>
      </c>
      <c r="G498" t="e">
        <f>INDEX(#REF!,MATCH(P498,#REF!,0),1)</f>
        <v>#REF!</v>
      </c>
      <c r="H498" t="s">
        <v>3243</v>
      </c>
      <c r="J498" t="s">
        <v>786</v>
      </c>
      <c r="K498" t="s">
        <v>65</v>
      </c>
      <c r="L498">
        <v>19104</v>
      </c>
      <c r="M498" t="s">
        <v>3244</v>
      </c>
      <c r="N498">
        <v>4007</v>
      </c>
      <c r="O498" t="s">
        <v>276</v>
      </c>
      <c r="P498">
        <v>4007</v>
      </c>
      <c r="Q498" t="s">
        <v>276</v>
      </c>
      <c r="R498" t="s">
        <v>277</v>
      </c>
      <c r="S498" t="s">
        <v>278</v>
      </c>
      <c r="T498" t="s">
        <v>44</v>
      </c>
      <c r="U498" t="s">
        <v>45</v>
      </c>
      <c r="AG498" t="s">
        <v>48</v>
      </c>
    </row>
    <row r="499" spans="1:33" x14ac:dyDescent="0.3">
      <c r="A499">
        <v>1186</v>
      </c>
      <c r="B499" t="s">
        <v>3245</v>
      </c>
      <c r="C499" t="str">
        <f>"1100003734465"</f>
        <v>1100003734465</v>
      </c>
      <c r="D499" t="str">
        <f>"631790Q00"</f>
        <v>631790Q00</v>
      </c>
      <c r="E499" s="1">
        <v>32197</v>
      </c>
      <c r="F499" t="s">
        <v>3246</v>
      </c>
      <c r="G499" t="e">
        <f>INDEX(#REF!,MATCH(P499,#REF!,0),1)</f>
        <v>#REF!</v>
      </c>
      <c r="H499" t="s">
        <v>3247</v>
      </c>
      <c r="J499" t="s">
        <v>3248</v>
      </c>
      <c r="K499" t="s">
        <v>177</v>
      </c>
      <c r="L499" t="s">
        <v>3249</v>
      </c>
      <c r="M499" t="s">
        <v>3250</v>
      </c>
      <c r="N499">
        <v>6104582</v>
      </c>
      <c r="O499" t="s">
        <v>180</v>
      </c>
      <c r="P499">
        <v>1351</v>
      </c>
      <c r="Q499" t="s">
        <v>181</v>
      </c>
      <c r="R499" t="s">
        <v>182</v>
      </c>
      <c r="S499" t="s">
        <v>183</v>
      </c>
      <c r="T499" t="s">
        <v>44</v>
      </c>
      <c r="U499" t="s">
        <v>45</v>
      </c>
      <c r="AA499" t="s">
        <v>185</v>
      </c>
      <c r="AE499" t="s">
        <v>186</v>
      </c>
    </row>
    <row r="500" spans="1:33" x14ac:dyDescent="0.3">
      <c r="A500">
        <v>1191</v>
      </c>
      <c r="B500" t="s">
        <v>3251</v>
      </c>
      <c r="C500" t="str">
        <f>"1100002399368"</f>
        <v>1100002399368</v>
      </c>
      <c r="D500" t="str">
        <f>"432540I00"</f>
        <v>432540I00</v>
      </c>
      <c r="E500" s="1">
        <v>39792</v>
      </c>
      <c r="F500" t="s">
        <v>3252</v>
      </c>
      <c r="G500" t="e">
        <f>INDEX(#REF!,MATCH(P500,#REF!,0),1)</f>
        <v>#REF!</v>
      </c>
      <c r="H500" t="s">
        <v>3253</v>
      </c>
      <c r="J500" t="s">
        <v>3254</v>
      </c>
      <c r="K500" t="s">
        <v>342</v>
      </c>
      <c r="L500" t="s">
        <v>3255</v>
      </c>
      <c r="M500" t="s">
        <v>3256</v>
      </c>
      <c r="N500">
        <v>90</v>
      </c>
      <c r="O500" t="s">
        <v>391</v>
      </c>
      <c r="P500">
        <v>4168342</v>
      </c>
      <c r="Q500" t="s">
        <v>442</v>
      </c>
      <c r="R500" t="s">
        <v>396</v>
      </c>
      <c r="S500" t="s">
        <v>397</v>
      </c>
      <c r="T500" t="s">
        <v>44</v>
      </c>
      <c r="U500" t="s">
        <v>45</v>
      </c>
      <c r="AA500" t="s">
        <v>119</v>
      </c>
      <c r="AE500" t="s">
        <v>120</v>
      </c>
    </row>
    <row r="501" spans="1:33" x14ac:dyDescent="0.3">
      <c r="A501">
        <v>1196</v>
      </c>
      <c r="B501" t="s">
        <v>3257</v>
      </c>
      <c r="C501" t="str">
        <f>"1100005541702"</f>
        <v>1100005541702</v>
      </c>
      <c r="D501" t="str">
        <f>"232830I00"</f>
        <v>232830I00</v>
      </c>
      <c r="E501" s="1">
        <v>42583</v>
      </c>
      <c r="F501" t="s">
        <v>3258</v>
      </c>
      <c r="G501" t="e">
        <f>INDEX(#REF!,MATCH(P501,#REF!,0),1)</f>
        <v>#REF!</v>
      </c>
      <c r="H501" t="s">
        <v>3259</v>
      </c>
      <c r="J501" t="s">
        <v>3260</v>
      </c>
      <c r="K501" t="s">
        <v>65</v>
      </c>
      <c r="L501" t="s">
        <v>3261</v>
      </c>
      <c r="M501" t="s">
        <v>3262</v>
      </c>
      <c r="N501">
        <v>1196</v>
      </c>
      <c r="O501" t="s">
        <v>3258</v>
      </c>
      <c r="P501">
        <v>1196</v>
      </c>
      <c r="Q501" t="s">
        <v>3258</v>
      </c>
      <c r="R501" t="s">
        <v>940</v>
      </c>
      <c r="S501" t="s">
        <v>941</v>
      </c>
      <c r="T501" t="s">
        <v>44</v>
      </c>
      <c r="U501" t="s">
        <v>45</v>
      </c>
    </row>
    <row r="502" spans="1:33" x14ac:dyDescent="0.3">
      <c r="A502">
        <v>1199</v>
      </c>
      <c r="B502" t="s">
        <v>3263</v>
      </c>
      <c r="C502" t="str">
        <f>""</f>
        <v/>
      </c>
      <c r="D502" t="str">
        <f>"741310G00"</f>
        <v>741310G00</v>
      </c>
      <c r="E502" s="1">
        <v>44378</v>
      </c>
      <c r="F502" t="s">
        <v>3264</v>
      </c>
      <c r="G502" t="e">
        <f>INDEX(#REF!,MATCH(P502,#REF!,0),1)</f>
        <v>#REF!</v>
      </c>
      <c r="H502" t="s">
        <v>3265</v>
      </c>
      <c r="I502" t="s">
        <v>3266</v>
      </c>
      <c r="J502" t="s">
        <v>3267</v>
      </c>
      <c r="K502" t="s">
        <v>676</v>
      </c>
      <c r="L502">
        <v>79022</v>
      </c>
      <c r="M502" t="s">
        <v>3268</v>
      </c>
      <c r="N502">
        <v>1199</v>
      </c>
      <c r="O502" t="s">
        <v>3264</v>
      </c>
      <c r="P502">
        <v>1199</v>
      </c>
      <c r="Q502" t="s">
        <v>3264</v>
      </c>
      <c r="R502" t="s">
        <v>356</v>
      </c>
      <c r="S502" t="s">
        <v>357</v>
      </c>
      <c r="T502" t="s">
        <v>44</v>
      </c>
      <c r="U502" t="s">
        <v>45</v>
      </c>
      <c r="AA502" t="s">
        <v>328</v>
      </c>
    </row>
    <row r="503" spans="1:33" x14ac:dyDescent="0.3">
      <c r="A503">
        <v>1201</v>
      </c>
      <c r="B503" t="s">
        <v>3269</v>
      </c>
      <c r="C503" t="str">
        <f>""</f>
        <v/>
      </c>
      <c r="D503" t="str">
        <f>"213560H00"</f>
        <v>213560H00</v>
      </c>
      <c r="E503" s="1">
        <v>42583</v>
      </c>
      <c r="F503" t="s">
        <v>3270</v>
      </c>
      <c r="G503" t="e">
        <f>INDEX(#REF!,MATCH(P503,#REF!,0),1)</f>
        <v>#REF!</v>
      </c>
      <c r="H503" t="s">
        <v>3271</v>
      </c>
      <c r="J503" t="s">
        <v>3272</v>
      </c>
      <c r="K503" t="s">
        <v>2244</v>
      </c>
      <c r="L503" t="s">
        <v>3273</v>
      </c>
      <c r="M503" t="s">
        <v>3274</v>
      </c>
      <c r="N503">
        <v>2902328</v>
      </c>
      <c r="O503" t="s">
        <v>3275</v>
      </c>
      <c r="P503">
        <v>2902328</v>
      </c>
      <c r="Q503" t="s">
        <v>3275</v>
      </c>
      <c r="R503" t="s">
        <v>1301</v>
      </c>
      <c r="S503" t="s">
        <v>1302</v>
      </c>
      <c r="T503" t="s">
        <v>44</v>
      </c>
      <c r="U503" t="s">
        <v>45</v>
      </c>
    </row>
    <row r="504" spans="1:33" x14ac:dyDescent="0.3">
      <c r="A504">
        <v>1202</v>
      </c>
      <c r="B504" t="s">
        <v>3276</v>
      </c>
      <c r="C504" t="str">
        <f>""</f>
        <v/>
      </c>
      <c r="D504" t="str">
        <f>"AG1NTX400"</f>
        <v>AG1NTX400</v>
      </c>
      <c r="E504" s="1">
        <v>34040</v>
      </c>
      <c r="F504" t="s">
        <v>1768</v>
      </c>
      <c r="G504" t="e">
        <f>INDEX(#REF!,MATCH(P504,#REF!,0),1)</f>
        <v>#REF!</v>
      </c>
      <c r="H504" t="s">
        <v>3277</v>
      </c>
      <c r="I504" t="s">
        <v>3278</v>
      </c>
      <c r="J504" t="s">
        <v>1248</v>
      </c>
      <c r="K504" t="s">
        <v>65</v>
      </c>
      <c r="L504" t="s">
        <v>3279</v>
      </c>
      <c r="M504" t="s">
        <v>3280</v>
      </c>
      <c r="N504">
        <v>2623550</v>
      </c>
      <c r="O504" t="s">
        <v>1767</v>
      </c>
      <c r="P504">
        <v>2623550</v>
      </c>
      <c r="Q504" t="s">
        <v>1767</v>
      </c>
      <c r="R504" t="s">
        <v>1549</v>
      </c>
      <c r="S504" t="s">
        <v>1550</v>
      </c>
      <c r="T504" t="s">
        <v>44</v>
      </c>
      <c r="U504" t="s">
        <v>81</v>
      </c>
      <c r="AE504" t="s">
        <v>564</v>
      </c>
    </row>
    <row r="505" spans="1:33" x14ac:dyDescent="0.3">
      <c r="A505">
        <v>1205</v>
      </c>
      <c r="B505" t="s">
        <v>3281</v>
      </c>
      <c r="C505" t="str">
        <f>""</f>
        <v/>
      </c>
      <c r="D505" t="str">
        <f>""</f>
        <v/>
      </c>
      <c r="E505" s="1">
        <v>42583</v>
      </c>
      <c r="F505" t="s">
        <v>3282</v>
      </c>
      <c r="G505" t="e">
        <f>INDEX(#REF!,MATCH(P505,#REF!,0),1)</f>
        <v>#REF!</v>
      </c>
      <c r="H505" t="s">
        <v>3283</v>
      </c>
      <c r="J505" t="s">
        <v>1540</v>
      </c>
      <c r="K505" t="s">
        <v>37</v>
      </c>
      <c r="L505">
        <v>43130</v>
      </c>
      <c r="M505" t="s">
        <v>3284</v>
      </c>
      <c r="N505">
        <v>1205</v>
      </c>
      <c r="O505" t="s">
        <v>3282</v>
      </c>
      <c r="P505">
        <v>1205</v>
      </c>
      <c r="Q505" t="s">
        <v>3282</v>
      </c>
      <c r="R505" t="s">
        <v>520</v>
      </c>
      <c r="S505" t="s">
        <v>521</v>
      </c>
      <c r="T505" t="s">
        <v>44</v>
      </c>
      <c r="U505" t="s">
        <v>45</v>
      </c>
      <c r="AA505" t="s">
        <v>337</v>
      </c>
      <c r="AD505" t="s">
        <v>94</v>
      </c>
      <c r="AE505" t="s">
        <v>404</v>
      </c>
    </row>
    <row r="506" spans="1:33" x14ac:dyDescent="0.3">
      <c r="A506">
        <v>1219</v>
      </c>
      <c r="B506" t="s">
        <v>3285</v>
      </c>
      <c r="C506" t="str">
        <f>""</f>
        <v/>
      </c>
      <c r="D506" t="str">
        <f>"220390G00"</f>
        <v>220390G00</v>
      </c>
      <c r="E506" s="1">
        <v>42583</v>
      </c>
      <c r="F506" t="s">
        <v>3286</v>
      </c>
      <c r="G506" t="e">
        <f>INDEX(#REF!,MATCH(P506,#REF!,0),1)</f>
        <v>#REF!</v>
      </c>
      <c r="H506" t="s">
        <v>3287</v>
      </c>
      <c r="J506" t="s">
        <v>3288</v>
      </c>
      <c r="K506" t="s">
        <v>251</v>
      </c>
      <c r="L506" t="str">
        <f>"07840"</f>
        <v>07840</v>
      </c>
      <c r="M506" t="s">
        <v>3289</v>
      </c>
      <c r="N506">
        <v>37243</v>
      </c>
      <c r="O506" t="s">
        <v>2668</v>
      </c>
      <c r="P506">
        <v>37243</v>
      </c>
      <c r="Q506" t="s">
        <v>2668</v>
      </c>
      <c r="R506" t="s">
        <v>254</v>
      </c>
      <c r="S506" t="s">
        <v>255</v>
      </c>
      <c r="T506" t="s">
        <v>44</v>
      </c>
      <c r="U506" t="s">
        <v>45</v>
      </c>
    </row>
    <row r="507" spans="1:33" x14ac:dyDescent="0.3">
      <c r="A507">
        <v>1220</v>
      </c>
      <c r="B507" t="s">
        <v>3290</v>
      </c>
      <c r="C507" t="str">
        <f>"1100004419002"</f>
        <v>1100004419002</v>
      </c>
      <c r="D507" t="str">
        <f>"221190F00"</f>
        <v>221190F00</v>
      </c>
      <c r="E507" s="1">
        <v>42583</v>
      </c>
      <c r="F507" t="s">
        <v>3291</v>
      </c>
      <c r="G507" t="e">
        <f>INDEX(#REF!,MATCH(P507,#REF!,0),1)</f>
        <v>#REF!</v>
      </c>
      <c r="H507" t="s">
        <v>3292</v>
      </c>
      <c r="J507" t="s">
        <v>3293</v>
      </c>
      <c r="K507" t="s">
        <v>251</v>
      </c>
      <c r="L507" t="str">
        <f>"07901"</f>
        <v>07901</v>
      </c>
      <c r="M507" t="s">
        <v>3294</v>
      </c>
      <c r="N507">
        <v>37243</v>
      </c>
      <c r="O507" t="s">
        <v>2668</v>
      </c>
      <c r="P507">
        <v>37243</v>
      </c>
      <c r="Q507" t="s">
        <v>2668</v>
      </c>
      <c r="R507" t="s">
        <v>254</v>
      </c>
      <c r="S507" t="s">
        <v>255</v>
      </c>
      <c r="T507" t="s">
        <v>44</v>
      </c>
      <c r="U507" t="s">
        <v>45</v>
      </c>
    </row>
    <row r="508" spans="1:33" x14ac:dyDescent="0.3">
      <c r="A508">
        <v>1222</v>
      </c>
      <c r="B508" t="s">
        <v>3295</v>
      </c>
      <c r="C508" t="str">
        <f>"1100005900790"</f>
        <v>1100005900790</v>
      </c>
      <c r="D508" t="str">
        <f>"221040900"</f>
        <v>221040900</v>
      </c>
      <c r="E508" s="1">
        <v>42583</v>
      </c>
      <c r="F508" t="s">
        <v>3296</v>
      </c>
      <c r="G508" t="e">
        <f>INDEX(#REF!,MATCH(P508,#REF!,0),1)</f>
        <v>#REF!</v>
      </c>
      <c r="H508" t="s">
        <v>3297</v>
      </c>
      <c r="J508" t="s">
        <v>3298</v>
      </c>
      <c r="K508" t="s">
        <v>251</v>
      </c>
      <c r="L508" t="str">
        <f>"07065"</f>
        <v>07065</v>
      </c>
      <c r="M508" t="s">
        <v>3299</v>
      </c>
      <c r="N508">
        <v>3209841</v>
      </c>
      <c r="O508" t="s">
        <v>410</v>
      </c>
      <c r="P508">
        <v>3209841</v>
      </c>
      <c r="Q508" t="s">
        <v>410</v>
      </c>
      <c r="R508" t="s">
        <v>411</v>
      </c>
      <c r="S508" t="s">
        <v>412</v>
      </c>
      <c r="T508" t="s">
        <v>44</v>
      </c>
      <c r="U508" t="s">
        <v>45</v>
      </c>
      <c r="Y508" t="s">
        <v>46</v>
      </c>
      <c r="Z508" s="1">
        <v>45170</v>
      </c>
      <c r="AE508" t="s">
        <v>47</v>
      </c>
      <c r="AG508" t="s">
        <v>48</v>
      </c>
    </row>
    <row r="509" spans="1:33" x14ac:dyDescent="0.3">
      <c r="A509">
        <v>1223</v>
      </c>
      <c r="B509" t="s">
        <v>3300</v>
      </c>
      <c r="C509" t="str">
        <f>""</f>
        <v/>
      </c>
      <c r="D509" t="str">
        <f>"220320900"</f>
        <v>220320900</v>
      </c>
      <c r="E509" s="1">
        <v>34121</v>
      </c>
      <c r="F509" t="s">
        <v>3301</v>
      </c>
      <c r="G509" t="e">
        <f>INDEX(#REF!,MATCH(P509,#REF!,0),1)</f>
        <v>#REF!</v>
      </c>
      <c r="H509" t="s">
        <v>3302</v>
      </c>
      <c r="J509" t="s">
        <v>3303</v>
      </c>
      <c r="K509" t="s">
        <v>251</v>
      </c>
      <c r="L509" t="str">
        <f>"08822-4604"</f>
        <v>08822-4604</v>
      </c>
      <c r="M509" t="s">
        <v>3304</v>
      </c>
      <c r="N509">
        <v>41173</v>
      </c>
      <c r="O509" t="s">
        <v>3305</v>
      </c>
      <c r="P509">
        <v>41173</v>
      </c>
      <c r="Q509" t="s">
        <v>3305</v>
      </c>
      <c r="R509" t="s">
        <v>254</v>
      </c>
      <c r="S509" t="s">
        <v>255</v>
      </c>
      <c r="T509" t="s">
        <v>44</v>
      </c>
      <c r="U509" t="s">
        <v>45</v>
      </c>
      <c r="AA509" t="s">
        <v>119</v>
      </c>
      <c r="AE509" t="s">
        <v>564</v>
      </c>
    </row>
    <row r="510" spans="1:33" x14ac:dyDescent="0.3">
      <c r="A510">
        <v>1224</v>
      </c>
      <c r="B510" t="s">
        <v>3306</v>
      </c>
      <c r="C510" t="str">
        <f>"1100004578372"</f>
        <v>1100004578372</v>
      </c>
      <c r="D510" t="str">
        <f>"220690J00"</f>
        <v>220690J00</v>
      </c>
      <c r="E510" s="1">
        <v>42583</v>
      </c>
      <c r="F510" t="s">
        <v>3307</v>
      </c>
      <c r="G510" t="e">
        <f>INDEX(#REF!,MATCH(P510,#REF!,0),1)</f>
        <v>#REF!</v>
      </c>
      <c r="H510" t="s">
        <v>3308</v>
      </c>
      <c r="J510" t="s">
        <v>3309</v>
      </c>
      <c r="K510" t="s">
        <v>251</v>
      </c>
      <c r="L510" t="str">
        <f>"07962-1956"</f>
        <v>07962-1956</v>
      </c>
      <c r="M510" t="s">
        <v>3310</v>
      </c>
      <c r="N510">
        <v>37243</v>
      </c>
      <c r="O510" t="s">
        <v>2668</v>
      </c>
      <c r="P510">
        <v>37243</v>
      </c>
      <c r="Q510" t="s">
        <v>2668</v>
      </c>
      <c r="R510" t="s">
        <v>254</v>
      </c>
      <c r="S510" t="s">
        <v>255</v>
      </c>
      <c r="T510" t="s">
        <v>44</v>
      </c>
      <c r="U510" t="s">
        <v>45</v>
      </c>
    </row>
    <row r="511" spans="1:33" x14ac:dyDescent="0.3">
      <c r="A511">
        <v>1225</v>
      </c>
      <c r="B511" t="s">
        <v>3311</v>
      </c>
      <c r="C511" t="str">
        <f>"1100005603653"</f>
        <v>1100005603653</v>
      </c>
      <c r="D511" t="str">
        <f>"731060H00"</f>
        <v>731060H00</v>
      </c>
      <c r="E511" s="1">
        <v>34090</v>
      </c>
      <c r="F511" t="s">
        <v>3312</v>
      </c>
      <c r="G511" t="e">
        <f>INDEX(#REF!,MATCH(P511,#REF!,0),1)</f>
        <v>#REF!</v>
      </c>
      <c r="H511" t="s">
        <v>3313</v>
      </c>
      <c r="J511" t="s">
        <v>762</v>
      </c>
      <c r="K511" t="s">
        <v>763</v>
      </c>
      <c r="L511" t="s">
        <v>3314</v>
      </c>
      <c r="M511" t="s">
        <v>3315</v>
      </c>
      <c r="N511">
        <v>191</v>
      </c>
      <c r="O511" t="s">
        <v>760</v>
      </c>
      <c r="P511">
        <v>191</v>
      </c>
      <c r="Q511" t="s">
        <v>760</v>
      </c>
      <c r="R511" t="s">
        <v>142</v>
      </c>
      <c r="S511" t="s">
        <v>143</v>
      </c>
      <c r="T511" t="s">
        <v>44</v>
      </c>
      <c r="U511" t="s">
        <v>45</v>
      </c>
      <c r="AA511" t="s">
        <v>119</v>
      </c>
      <c r="AE511" t="s">
        <v>766</v>
      </c>
    </row>
    <row r="512" spans="1:33" x14ac:dyDescent="0.3">
      <c r="A512">
        <v>1229</v>
      </c>
      <c r="B512" t="s">
        <v>3316</v>
      </c>
      <c r="C512" t="str">
        <f>""</f>
        <v/>
      </c>
      <c r="D512" t="str">
        <f>"220300700"</f>
        <v>220300700</v>
      </c>
      <c r="E512" s="1">
        <v>34121</v>
      </c>
      <c r="F512" t="s">
        <v>3317</v>
      </c>
      <c r="G512" t="e">
        <f>INDEX(#REF!,MATCH(P512,#REF!,0),1)</f>
        <v>#REF!</v>
      </c>
      <c r="H512" t="s">
        <v>3318</v>
      </c>
      <c r="J512" t="s">
        <v>3319</v>
      </c>
      <c r="K512" t="s">
        <v>251</v>
      </c>
      <c r="L512" t="str">
        <f>"08318-2101"</f>
        <v>08318-2101</v>
      </c>
      <c r="M512" t="s">
        <v>3320</v>
      </c>
      <c r="N512">
        <v>1247</v>
      </c>
      <c r="O512" t="s">
        <v>1820</v>
      </c>
      <c r="P512">
        <v>1247</v>
      </c>
      <c r="Q512" t="s">
        <v>1820</v>
      </c>
      <c r="R512" t="s">
        <v>254</v>
      </c>
      <c r="S512" t="s">
        <v>255</v>
      </c>
      <c r="T512" t="s">
        <v>44</v>
      </c>
      <c r="U512" t="s">
        <v>45</v>
      </c>
    </row>
    <row r="513" spans="1:33" x14ac:dyDescent="0.3">
      <c r="A513">
        <v>1247</v>
      </c>
      <c r="B513" t="s">
        <v>3321</v>
      </c>
      <c r="C513" t="str">
        <f>""</f>
        <v/>
      </c>
      <c r="D513" t="str">
        <f>"01LQ0P100"</f>
        <v>01LQ0P100</v>
      </c>
      <c r="E513" s="1">
        <v>34107</v>
      </c>
      <c r="F513" t="s">
        <v>1820</v>
      </c>
      <c r="G513" t="e">
        <f>INDEX(#REF!,MATCH(P513,#REF!,0),1)</f>
        <v>#REF!</v>
      </c>
      <c r="H513" t="s">
        <v>3322</v>
      </c>
      <c r="J513" t="s">
        <v>2169</v>
      </c>
      <c r="K513" t="s">
        <v>251</v>
      </c>
      <c r="L513" t="str">
        <f>"08062"</f>
        <v>08062</v>
      </c>
      <c r="M513" t="s">
        <v>3323</v>
      </c>
      <c r="N513">
        <v>1247</v>
      </c>
      <c r="O513" t="s">
        <v>1820</v>
      </c>
      <c r="P513">
        <v>1247</v>
      </c>
      <c r="Q513" t="s">
        <v>1820</v>
      </c>
      <c r="R513" t="s">
        <v>254</v>
      </c>
      <c r="S513" t="s">
        <v>255</v>
      </c>
      <c r="T513" t="s">
        <v>44</v>
      </c>
      <c r="U513" t="s">
        <v>81</v>
      </c>
    </row>
    <row r="514" spans="1:33" x14ac:dyDescent="0.3">
      <c r="A514">
        <v>1251</v>
      </c>
      <c r="B514" t="s">
        <v>3324</v>
      </c>
      <c r="C514" t="str">
        <f>"1100002554293"</f>
        <v>1100002554293</v>
      </c>
      <c r="D514" t="str">
        <f>"140270E00"</f>
        <v>140270E00</v>
      </c>
      <c r="E514" s="1">
        <v>44470</v>
      </c>
      <c r="F514" t="s">
        <v>3325</v>
      </c>
      <c r="G514" t="e">
        <f>INDEX(#REF!,MATCH(P514,#REF!,0),1)</f>
        <v>#REF!</v>
      </c>
      <c r="H514" t="s">
        <v>3326</v>
      </c>
      <c r="J514" t="s">
        <v>2134</v>
      </c>
      <c r="K514" t="s">
        <v>2004</v>
      </c>
      <c r="L514" t="str">
        <f>"02111-1845"</f>
        <v>02111-1845</v>
      </c>
      <c r="M514" t="s">
        <v>3327</v>
      </c>
      <c r="N514">
        <v>1251</v>
      </c>
      <c r="O514" t="s">
        <v>3325</v>
      </c>
      <c r="P514">
        <v>1251</v>
      </c>
      <c r="Q514" t="s">
        <v>3325</v>
      </c>
      <c r="R514" t="s">
        <v>1301</v>
      </c>
      <c r="S514" t="s">
        <v>1302</v>
      </c>
      <c r="T514" t="s">
        <v>44</v>
      </c>
      <c r="U514" t="s">
        <v>45</v>
      </c>
    </row>
    <row r="515" spans="1:33" x14ac:dyDescent="0.3">
      <c r="A515">
        <v>1258</v>
      </c>
      <c r="B515" t="s">
        <v>3328</v>
      </c>
      <c r="C515" t="str">
        <f>"1100003094446"</f>
        <v>1100003094446</v>
      </c>
      <c r="D515" t="str">
        <f>"610930J00"</f>
        <v>610930J00</v>
      </c>
      <c r="E515" s="1">
        <v>28417</v>
      </c>
      <c r="F515" t="s">
        <v>3329</v>
      </c>
      <c r="G515" t="e">
        <f>INDEX(#REF!,MATCH(P515,#REF!,0),1)</f>
        <v>#REF!</v>
      </c>
      <c r="H515" t="s">
        <v>3330</v>
      </c>
      <c r="J515" t="s">
        <v>282</v>
      </c>
      <c r="K515" t="s">
        <v>283</v>
      </c>
      <c r="L515" t="s">
        <v>3331</v>
      </c>
      <c r="M515" t="s">
        <v>3332</v>
      </c>
      <c r="N515">
        <v>559</v>
      </c>
      <c r="O515" t="s">
        <v>2041</v>
      </c>
      <c r="P515">
        <v>559</v>
      </c>
      <c r="Q515" t="s">
        <v>2041</v>
      </c>
      <c r="R515" t="s">
        <v>611</v>
      </c>
      <c r="S515" t="s">
        <v>612</v>
      </c>
      <c r="T515" t="s">
        <v>44</v>
      </c>
      <c r="U515" t="s">
        <v>45</v>
      </c>
      <c r="AD515" t="s">
        <v>94</v>
      </c>
      <c r="AE515" t="s">
        <v>120</v>
      </c>
      <c r="AG515" t="s">
        <v>48</v>
      </c>
    </row>
    <row r="516" spans="1:33" x14ac:dyDescent="0.3">
      <c r="A516">
        <v>1259</v>
      </c>
      <c r="B516" t="s">
        <v>3333</v>
      </c>
      <c r="C516" t="str">
        <f>"1100004402776"</f>
        <v>1100004402776</v>
      </c>
      <c r="D516" t="str">
        <f>""</f>
        <v/>
      </c>
      <c r="E516" s="1">
        <v>42685</v>
      </c>
      <c r="F516" t="s">
        <v>2968</v>
      </c>
      <c r="G516" t="e">
        <f>INDEX(#REF!,MATCH(P516,#REF!,0),1)</f>
        <v>#REF!</v>
      </c>
      <c r="H516" t="s">
        <v>3334</v>
      </c>
      <c r="I516" t="s">
        <v>259</v>
      </c>
      <c r="J516" t="s">
        <v>2556</v>
      </c>
      <c r="K516" t="s">
        <v>2244</v>
      </c>
      <c r="L516">
        <v>10016</v>
      </c>
      <c r="M516" t="s">
        <v>3335</v>
      </c>
      <c r="N516">
        <v>1259</v>
      </c>
      <c r="O516" t="s">
        <v>2968</v>
      </c>
      <c r="P516">
        <v>1259</v>
      </c>
      <c r="Q516" t="s">
        <v>2968</v>
      </c>
      <c r="R516" t="s">
        <v>1301</v>
      </c>
      <c r="S516" t="s">
        <v>1302</v>
      </c>
      <c r="T516" t="s">
        <v>44</v>
      </c>
      <c r="U516" t="s">
        <v>45</v>
      </c>
      <c r="AG516" t="s">
        <v>48</v>
      </c>
    </row>
    <row r="517" spans="1:33" x14ac:dyDescent="0.3">
      <c r="A517">
        <v>1260</v>
      </c>
      <c r="B517" t="s">
        <v>3336</v>
      </c>
      <c r="C517" t="str">
        <f>"1100004479013"</f>
        <v>1100004479013</v>
      </c>
      <c r="D517" t="str">
        <f>"743100F00"</f>
        <v>743100F00</v>
      </c>
      <c r="E517" s="1">
        <v>28417</v>
      </c>
      <c r="F517" t="s">
        <v>3337</v>
      </c>
      <c r="G517" t="e">
        <f>INDEX(#REF!,MATCH(P517,#REF!,0),1)</f>
        <v>#REF!</v>
      </c>
      <c r="H517" t="s">
        <v>3338</v>
      </c>
      <c r="J517" t="s">
        <v>675</v>
      </c>
      <c r="K517" t="s">
        <v>676</v>
      </c>
      <c r="L517" t="s">
        <v>3339</v>
      </c>
      <c r="M517" t="s">
        <v>3340</v>
      </c>
      <c r="N517">
        <v>170</v>
      </c>
      <c r="O517" t="s">
        <v>673</v>
      </c>
      <c r="P517">
        <v>170</v>
      </c>
      <c r="Q517" t="s">
        <v>673</v>
      </c>
      <c r="R517" t="s">
        <v>679</v>
      </c>
      <c r="S517" t="s">
        <v>680</v>
      </c>
      <c r="T517" t="s">
        <v>44</v>
      </c>
      <c r="U517" t="s">
        <v>45</v>
      </c>
      <c r="AA517" t="s">
        <v>105</v>
      </c>
      <c r="AE517" t="s">
        <v>106</v>
      </c>
      <c r="AG517" t="s">
        <v>48</v>
      </c>
    </row>
    <row r="518" spans="1:33" x14ac:dyDescent="0.3">
      <c r="A518">
        <v>1261</v>
      </c>
      <c r="B518" t="s">
        <v>3341</v>
      </c>
      <c r="C518" t="str">
        <f>""</f>
        <v/>
      </c>
      <c r="D518" t="str">
        <f>"430090G00"</f>
        <v>430090G00</v>
      </c>
      <c r="E518" s="1">
        <v>42558</v>
      </c>
      <c r="F518" t="s">
        <v>3342</v>
      </c>
      <c r="G518" t="e">
        <f>INDEX(#REF!,MATCH(P518,#REF!,0),1)</f>
        <v>#REF!</v>
      </c>
      <c r="H518" t="s">
        <v>3343</v>
      </c>
      <c r="J518" t="s">
        <v>3344</v>
      </c>
      <c r="K518" t="s">
        <v>342</v>
      </c>
      <c r="L518" t="s">
        <v>3345</v>
      </c>
      <c r="M518" t="s">
        <v>3346</v>
      </c>
      <c r="N518">
        <v>1063262</v>
      </c>
      <c r="O518" t="s">
        <v>2392</v>
      </c>
      <c r="P518">
        <v>1063262</v>
      </c>
      <c r="Q518" t="s">
        <v>2392</v>
      </c>
      <c r="R518" t="s">
        <v>396</v>
      </c>
      <c r="S518" t="s">
        <v>397</v>
      </c>
      <c r="T518" t="s">
        <v>44</v>
      </c>
      <c r="U518" t="s">
        <v>45</v>
      </c>
      <c r="AA518" t="s">
        <v>58</v>
      </c>
      <c r="AC518" t="s">
        <v>2393</v>
      </c>
      <c r="AE518" t="s">
        <v>60</v>
      </c>
      <c r="AG518" t="s">
        <v>48</v>
      </c>
    </row>
    <row r="519" spans="1:33" x14ac:dyDescent="0.3">
      <c r="A519">
        <v>1262</v>
      </c>
      <c r="B519" t="s">
        <v>3347</v>
      </c>
      <c r="C519" t="str">
        <f>""</f>
        <v/>
      </c>
      <c r="D519" t="str">
        <f>"8ADKWMX00"</f>
        <v>8ADKWMX00</v>
      </c>
      <c r="E519" s="1">
        <v>31763</v>
      </c>
      <c r="F519" t="s">
        <v>3348</v>
      </c>
      <c r="G519" t="e">
        <f>INDEX(#REF!,MATCH(P519,#REF!,0),1)</f>
        <v>#REF!</v>
      </c>
      <c r="H519" t="s">
        <v>2125</v>
      </c>
      <c r="I519" t="s">
        <v>3349</v>
      </c>
      <c r="J519" t="s">
        <v>2126</v>
      </c>
      <c r="K519" t="s">
        <v>2127</v>
      </c>
      <c r="L519">
        <v>98405</v>
      </c>
      <c r="M519" t="s">
        <v>2129</v>
      </c>
      <c r="N519">
        <v>41172</v>
      </c>
      <c r="O519" t="s">
        <v>2130</v>
      </c>
      <c r="P519">
        <v>3080764</v>
      </c>
      <c r="Q519" t="s">
        <v>3350</v>
      </c>
      <c r="R519" t="s">
        <v>1844</v>
      </c>
      <c r="S519" t="s">
        <v>1845</v>
      </c>
      <c r="T519" t="s">
        <v>44</v>
      </c>
      <c r="U519" t="s">
        <v>45</v>
      </c>
      <c r="AC519" t="s">
        <v>538</v>
      </c>
      <c r="AD519" t="s">
        <v>94</v>
      </c>
      <c r="AE519" t="s">
        <v>539</v>
      </c>
    </row>
    <row r="520" spans="1:33" x14ac:dyDescent="0.3">
      <c r="A520">
        <v>1264</v>
      </c>
      <c r="B520" t="s">
        <v>3351</v>
      </c>
      <c r="C520" t="str">
        <f>""</f>
        <v/>
      </c>
      <c r="D520" t="str">
        <f>"140240B00"</f>
        <v>140240B00</v>
      </c>
      <c r="E520" s="1">
        <v>31461</v>
      </c>
      <c r="F520" t="s">
        <v>2137</v>
      </c>
      <c r="G520" t="e">
        <f>INDEX(#REF!,MATCH(P520,#REF!,0),1)</f>
        <v>#REF!</v>
      </c>
      <c r="H520" t="s">
        <v>2133</v>
      </c>
      <c r="J520" t="s">
        <v>2134</v>
      </c>
      <c r="K520" t="s">
        <v>2004</v>
      </c>
      <c r="L520" t="str">
        <f>"02114"</f>
        <v>02114</v>
      </c>
      <c r="M520" t="s">
        <v>3352</v>
      </c>
      <c r="N520">
        <v>2598</v>
      </c>
      <c r="O520" t="s">
        <v>2136</v>
      </c>
      <c r="P520">
        <v>2598</v>
      </c>
      <c r="Q520" t="s">
        <v>2136</v>
      </c>
      <c r="R520" t="s">
        <v>2492</v>
      </c>
      <c r="S520" t="s">
        <v>2493</v>
      </c>
      <c r="T520" t="s">
        <v>44</v>
      </c>
      <c r="U520" t="s">
        <v>45</v>
      </c>
      <c r="AE520" t="s">
        <v>72</v>
      </c>
      <c r="AG520" t="s">
        <v>48</v>
      </c>
    </row>
    <row r="521" spans="1:33" x14ac:dyDescent="0.3">
      <c r="A521">
        <v>1265</v>
      </c>
      <c r="B521" t="s">
        <v>3353</v>
      </c>
      <c r="C521" t="str">
        <f>""</f>
        <v/>
      </c>
      <c r="D521" t="str">
        <f>"231260E00"</f>
        <v>231260E00</v>
      </c>
      <c r="E521" s="1">
        <v>44713</v>
      </c>
      <c r="F521" t="s">
        <v>3354</v>
      </c>
      <c r="G521" t="e">
        <f>INDEX(#REF!,MATCH(P521,#REF!,0),1)</f>
        <v>#REF!</v>
      </c>
      <c r="H521" t="s">
        <v>3355</v>
      </c>
      <c r="J521" t="s">
        <v>3356</v>
      </c>
      <c r="K521" t="s">
        <v>65</v>
      </c>
      <c r="L521">
        <v>17837</v>
      </c>
      <c r="M521" t="s">
        <v>3357</v>
      </c>
      <c r="N521">
        <v>1265</v>
      </c>
      <c r="O521" t="s">
        <v>3354</v>
      </c>
      <c r="P521">
        <v>1265</v>
      </c>
      <c r="Q521" t="s">
        <v>3354</v>
      </c>
      <c r="R521" t="s">
        <v>245</v>
      </c>
      <c r="S521" t="s">
        <v>246</v>
      </c>
      <c r="T521" t="s">
        <v>44</v>
      </c>
      <c r="U521" t="s">
        <v>45</v>
      </c>
      <c r="Y521" t="s">
        <v>46</v>
      </c>
      <c r="Z521" s="1">
        <v>44713</v>
      </c>
    </row>
    <row r="522" spans="1:33" x14ac:dyDescent="0.3">
      <c r="A522">
        <v>1266</v>
      </c>
      <c r="B522" t="s">
        <v>3358</v>
      </c>
      <c r="C522" t="str">
        <f>""</f>
        <v/>
      </c>
      <c r="D522" t="str">
        <f>"350130C00"</f>
        <v>350130C00</v>
      </c>
      <c r="E522" s="1">
        <v>28417</v>
      </c>
      <c r="F522" t="s">
        <v>3359</v>
      </c>
      <c r="G522" t="e">
        <f>INDEX(#REF!,MATCH(P522,#REF!,0),1)</f>
        <v>#REF!</v>
      </c>
      <c r="H522" t="s">
        <v>3360</v>
      </c>
      <c r="J522" t="s">
        <v>2367</v>
      </c>
      <c r="K522" t="s">
        <v>235</v>
      </c>
      <c r="L522">
        <v>25301</v>
      </c>
      <c r="M522" t="s">
        <v>3361</v>
      </c>
      <c r="N522">
        <v>4240221</v>
      </c>
      <c r="O522" t="s">
        <v>3362</v>
      </c>
      <c r="P522">
        <v>2623076</v>
      </c>
      <c r="Q522" t="s">
        <v>3363</v>
      </c>
      <c r="R522" t="s">
        <v>588</v>
      </c>
      <c r="S522" t="s">
        <v>589</v>
      </c>
      <c r="T522" t="s">
        <v>44</v>
      </c>
      <c r="U522" t="s">
        <v>45</v>
      </c>
      <c r="AA522" t="s">
        <v>105</v>
      </c>
      <c r="AE522" t="s">
        <v>106</v>
      </c>
      <c r="AG522" t="s">
        <v>48</v>
      </c>
    </row>
    <row r="523" spans="1:33" x14ac:dyDescent="0.3">
      <c r="A523">
        <v>1267</v>
      </c>
      <c r="B523" t="s">
        <v>3364</v>
      </c>
      <c r="C523" t="str">
        <f>""</f>
        <v/>
      </c>
      <c r="D523" t="str">
        <f>"230980M00"</f>
        <v>230980M00</v>
      </c>
      <c r="E523" s="1">
        <v>41663</v>
      </c>
      <c r="F523" t="s">
        <v>3365</v>
      </c>
      <c r="G523" t="e">
        <f>INDEX(#REF!,MATCH(P523,#REF!,0),1)</f>
        <v>#REF!</v>
      </c>
      <c r="H523" t="s">
        <v>3366</v>
      </c>
      <c r="J523" t="s">
        <v>3367</v>
      </c>
      <c r="K523" t="s">
        <v>65</v>
      </c>
      <c r="L523" t="s">
        <v>3368</v>
      </c>
      <c r="M523" t="s">
        <v>3369</v>
      </c>
      <c r="N523">
        <v>767149</v>
      </c>
      <c r="O523" t="s">
        <v>1953</v>
      </c>
      <c r="P523">
        <v>6229940</v>
      </c>
      <c r="Q523" t="s">
        <v>2719</v>
      </c>
      <c r="R523" t="s">
        <v>266</v>
      </c>
      <c r="S523" t="s">
        <v>267</v>
      </c>
      <c r="T523" t="s">
        <v>44</v>
      </c>
      <c r="U523" t="s">
        <v>45</v>
      </c>
      <c r="AA523" t="s">
        <v>105</v>
      </c>
      <c r="AE523" t="s">
        <v>72</v>
      </c>
      <c r="AG523" t="s">
        <v>48</v>
      </c>
    </row>
    <row r="524" spans="1:33" x14ac:dyDescent="0.3">
      <c r="A524">
        <v>1268</v>
      </c>
      <c r="B524" t="s">
        <v>3370</v>
      </c>
      <c r="C524" t="str">
        <f>"1100003669026"</f>
        <v>1100003669026</v>
      </c>
      <c r="D524" t="str">
        <f>"731060HF0"</f>
        <v>731060HF0</v>
      </c>
      <c r="E524" s="1">
        <v>34090</v>
      </c>
      <c r="F524" t="s">
        <v>3371</v>
      </c>
      <c r="G524" t="e">
        <f>INDEX(#REF!,MATCH(P524,#REF!,0),1)</f>
        <v>#REF!</v>
      </c>
      <c r="H524" t="s">
        <v>3313</v>
      </c>
      <c r="J524" t="s">
        <v>762</v>
      </c>
      <c r="K524" t="s">
        <v>763</v>
      </c>
      <c r="L524" t="s">
        <v>3314</v>
      </c>
      <c r="M524" t="s">
        <v>3315</v>
      </c>
      <c r="N524">
        <v>191</v>
      </c>
      <c r="O524" t="s">
        <v>760</v>
      </c>
      <c r="P524">
        <v>191</v>
      </c>
      <c r="Q524" t="s">
        <v>760</v>
      </c>
      <c r="R524" t="s">
        <v>3372</v>
      </c>
      <c r="S524" t="s">
        <v>3373</v>
      </c>
      <c r="T524" t="s">
        <v>117</v>
      </c>
      <c r="U524" t="s">
        <v>3374</v>
      </c>
      <c r="V524" t="s">
        <v>1824</v>
      </c>
      <c r="AA524" t="s">
        <v>119</v>
      </c>
      <c r="AE524" t="s">
        <v>766</v>
      </c>
    </row>
    <row r="525" spans="1:33" x14ac:dyDescent="0.3">
      <c r="A525">
        <v>1272</v>
      </c>
      <c r="B525" t="s">
        <v>3375</v>
      </c>
      <c r="C525" t="str">
        <f>"1100005799592"</f>
        <v>1100005799592</v>
      </c>
      <c r="D525" t="str">
        <f>"730940N00"</f>
        <v>730940N00</v>
      </c>
      <c r="E525" s="1">
        <v>30687</v>
      </c>
      <c r="F525" t="s">
        <v>3376</v>
      </c>
      <c r="G525" t="e">
        <f>INDEX(#REF!,MATCH(P525,#REF!,0),1)</f>
        <v>#REF!</v>
      </c>
      <c r="H525" t="s">
        <v>3377</v>
      </c>
      <c r="J525" t="s">
        <v>762</v>
      </c>
      <c r="K525" t="s">
        <v>763</v>
      </c>
      <c r="L525" t="s">
        <v>3378</v>
      </c>
      <c r="M525" t="s">
        <v>3379</v>
      </c>
      <c r="N525">
        <v>191</v>
      </c>
      <c r="O525" t="s">
        <v>760</v>
      </c>
      <c r="P525">
        <v>191</v>
      </c>
      <c r="Q525" t="s">
        <v>760</v>
      </c>
      <c r="R525" t="s">
        <v>142</v>
      </c>
      <c r="S525" t="s">
        <v>143</v>
      </c>
      <c r="T525" t="s">
        <v>44</v>
      </c>
      <c r="U525" t="s">
        <v>45</v>
      </c>
      <c r="AA525" t="s">
        <v>119</v>
      </c>
      <c r="AE525" t="s">
        <v>766</v>
      </c>
    </row>
    <row r="526" spans="1:33" x14ac:dyDescent="0.3">
      <c r="A526">
        <v>1274</v>
      </c>
      <c r="B526" t="s">
        <v>3380</v>
      </c>
      <c r="C526" t="str">
        <f>"1100002332907"</f>
        <v>1100002332907</v>
      </c>
      <c r="D526" t="str">
        <f>"860890V00"</f>
        <v>860890V00</v>
      </c>
      <c r="E526" s="1">
        <v>28417</v>
      </c>
      <c r="F526" t="s">
        <v>3381</v>
      </c>
      <c r="G526" t="e">
        <f>INDEX(#REF!,MATCH(P526,#REF!,0),1)</f>
        <v>#REF!</v>
      </c>
      <c r="H526" t="s">
        <v>1025</v>
      </c>
      <c r="J526" t="s">
        <v>1026</v>
      </c>
      <c r="K526" t="s">
        <v>577</v>
      </c>
      <c r="L526" t="s">
        <v>3382</v>
      </c>
      <c r="M526" t="s">
        <v>3383</v>
      </c>
      <c r="N526">
        <v>264</v>
      </c>
      <c r="O526" t="s">
        <v>1024</v>
      </c>
      <c r="P526">
        <v>264</v>
      </c>
      <c r="Q526" t="s">
        <v>1024</v>
      </c>
      <c r="R526" t="s">
        <v>1029</v>
      </c>
      <c r="S526" t="s">
        <v>1030</v>
      </c>
      <c r="T526" t="s">
        <v>44</v>
      </c>
      <c r="U526" t="s">
        <v>45</v>
      </c>
      <c r="Y526" t="s">
        <v>46</v>
      </c>
      <c r="Z526" s="1">
        <v>45474</v>
      </c>
      <c r="AA526" t="s">
        <v>1031</v>
      </c>
      <c r="AB526" t="s">
        <v>1032</v>
      </c>
      <c r="AE526" t="s">
        <v>1033</v>
      </c>
    </row>
    <row r="527" spans="1:33" x14ac:dyDescent="0.3">
      <c r="A527">
        <v>1281</v>
      </c>
      <c r="B527" t="s">
        <v>3384</v>
      </c>
      <c r="C527" t="str">
        <f>""</f>
        <v/>
      </c>
      <c r="D527" t="str">
        <f>"GJ48GG700"</f>
        <v>GJ48GG700</v>
      </c>
      <c r="E527" s="1">
        <v>30239</v>
      </c>
      <c r="F527" t="s">
        <v>3385</v>
      </c>
      <c r="G527" t="e">
        <f>INDEX(#REF!,MATCH(P527,#REF!,0),1)</f>
        <v>#REF!</v>
      </c>
      <c r="H527" t="s">
        <v>3386</v>
      </c>
      <c r="J527" t="s">
        <v>1740</v>
      </c>
      <c r="K527" t="s">
        <v>88</v>
      </c>
      <c r="L527" t="s">
        <v>3387</v>
      </c>
      <c r="M527" t="s">
        <v>3388</v>
      </c>
      <c r="N527">
        <v>251</v>
      </c>
      <c r="O527" t="s">
        <v>90</v>
      </c>
      <c r="P527">
        <v>251</v>
      </c>
      <c r="Q527" t="s">
        <v>90</v>
      </c>
      <c r="R527" t="s">
        <v>91</v>
      </c>
      <c r="S527" t="s">
        <v>92</v>
      </c>
      <c r="T527" t="s">
        <v>44</v>
      </c>
      <c r="U527" t="s">
        <v>45</v>
      </c>
      <c r="AA527" t="s">
        <v>93</v>
      </c>
      <c r="AC527" t="s">
        <v>90</v>
      </c>
      <c r="AD527" t="s">
        <v>94</v>
      </c>
      <c r="AE527" t="s">
        <v>72</v>
      </c>
      <c r="AG527" t="s">
        <v>48</v>
      </c>
    </row>
    <row r="528" spans="1:33" x14ac:dyDescent="0.3">
      <c r="A528">
        <v>1283</v>
      </c>
      <c r="B528" t="s">
        <v>3389</v>
      </c>
      <c r="C528" t="str">
        <f>""</f>
        <v/>
      </c>
      <c r="D528" t="str">
        <f>"860260M00"</f>
        <v>860260M00</v>
      </c>
      <c r="E528" s="1">
        <v>42583</v>
      </c>
      <c r="F528" t="s">
        <v>3390</v>
      </c>
      <c r="G528" t="e">
        <f>INDEX(#REF!,MATCH(P528,#REF!,0),1)</f>
        <v>#REF!</v>
      </c>
      <c r="H528" t="s">
        <v>3391</v>
      </c>
      <c r="J528" t="s">
        <v>3392</v>
      </c>
      <c r="K528" t="s">
        <v>577</v>
      </c>
      <c r="L528" t="s">
        <v>3393</v>
      </c>
      <c r="M528" t="s">
        <v>3394</v>
      </c>
      <c r="N528">
        <v>2329</v>
      </c>
      <c r="O528" t="s">
        <v>3395</v>
      </c>
      <c r="P528">
        <v>2329</v>
      </c>
      <c r="Q528" t="s">
        <v>3395</v>
      </c>
      <c r="R528" t="s">
        <v>245</v>
      </c>
      <c r="S528" t="s">
        <v>246</v>
      </c>
      <c r="T528" t="s">
        <v>44</v>
      </c>
      <c r="U528" t="s">
        <v>288</v>
      </c>
    </row>
    <row r="529" spans="1:33" x14ac:dyDescent="0.3">
      <c r="A529">
        <v>1286</v>
      </c>
      <c r="B529" t="s">
        <v>3396</v>
      </c>
      <c r="C529" t="str">
        <f>""</f>
        <v/>
      </c>
      <c r="D529" t="str">
        <f>"710640I00"</f>
        <v>710640I00</v>
      </c>
      <c r="E529" s="1">
        <v>29621</v>
      </c>
      <c r="F529" t="s">
        <v>3397</v>
      </c>
      <c r="G529" t="e">
        <f>INDEX(#REF!,MATCH(P529,#REF!,0),1)</f>
        <v>#REF!</v>
      </c>
      <c r="H529" t="s">
        <v>132</v>
      </c>
      <c r="J529" t="s">
        <v>110</v>
      </c>
      <c r="K529" t="s">
        <v>111</v>
      </c>
      <c r="L529" t="s">
        <v>133</v>
      </c>
      <c r="M529" t="s">
        <v>134</v>
      </c>
      <c r="N529">
        <v>28</v>
      </c>
      <c r="O529" t="s">
        <v>114</v>
      </c>
      <c r="P529">
        <v>28</v>
      </c>
      <c r="Q529" t="s">
        <v>114</v>
      </c>
      <c r="R529" t="s">
        <v>115</v>
      </c>
      <c r="S529" t="s">
        <v>116</v>
      </c>
      <c r="T529" t="s">
        <v>44</v>
      </c>
      <c r="U529" t="s">
        <v>45</v>
      </c>
      <c r="AA529" t="s">
        <v>119</v>
      </c>
      <c r="AE529" t="s">
        <v>120</v>
      </c>
    </row>
    <row r="530" spans="1:33" x14ac:dyDescent="0.3">
      <c r="A530">
        <v>1288</v>
      </c>
      <c r="B530" t="s">
        <v>3398</v>
      </c>
      <c r="C530" t="str">
        <f>""</f>
        <v/>
      </c>
      <c r="D530" t="str">
        <f>"420350E00"</f>
        <v>420350E00</v>
      </c>
      <c r="E530" s="1">
        <v>30267</v>
      </c>
      <c r="F530" t="s">
        <v>3399</v>
      </c>
      <c r="G530" t="e">
        <f>INDEX(#REF!,MATCH(P530,#REF!,0),1)</f>
        <v>#REF!</v>
      </c>
      <c r="H530" t="s">
        <v>331</v>
      </c>
      <c r="J530" t="s">
        <v>332</v>
      </c>
      <c r="K530" t="s">
        <v>307</v>
      </c>
      <c r="L530" t="s">
        <v>3400</v>
      </c>
      <c r="M530" t="s">
        <v>334</v>
      </c>
      <c r="N530">
        <v>75</v>
      </c>
      <c r="O530" t="s">
        <v>330</v>
      </c>
      <c r="P530">
        <v>75</v>
      </c>
      <c r="Q530" t="s">
        <v>330</v>
      </c>
      <c r="R530" t="s">
        <v>335</v>
      </c>
      <c r="S530" t="s">
        <v>336</v>
      </c>
      <c r="T530" t="s">
        <v>44</v>
      </c>
      <c r="U530" t="s">
        <v>45</v>
      </c>
      <c r="AA530" t="s">
        <v>337</v>
      </c>
      <c r="AD530" t="s">
        <v>94</v>
      </c>
      <c r="AE530" t="s">
        <v>269</v>
      </c>
    </row>
    <row r="531" spans="1:33" x14ac:dyDescent="0.3">
      <c r="A531">
        <v>1289</v>
      </c>
      <c r="B531" t="s">
        <v>3401</v>
      </c>
      <c r="C531" t="str">
        <f>"1100004486790"</f>
        <v>1100004486790</v>
      </c>
      <c r="D531" t="str">
        <f>"935990Z00"</f>
        <v>935990Z00</v>
      </c>
      <c r="E531" s="1">
        <v>34182</v>
      </c>
      <c r="F531" t="s">
        <v>3402</v>
      </c>
      <c r="G531" t="e">
        <f>INDEX(#REF!,MATCH(P531,#REF!,0),1)</f>
        <v>#REF!</v>
      </c>
      <c r="H531" t="s">
        <v>3403</v>
      </c>
      <c r="J531" t="s">
        <v>3404</v>
      </c>
      <c r="K531" t="s">
        <v>88</v>
      </c>
      <c r="L531" t="s">
        <v>3405</v>
      </c>
      <c r="M531" t="s">
        <v>3406</v>
      </c>
      <c r="N531">
        <v>251</v>
      </c>
      <c r="O531" t="s">
        <v>90</v>
      </c>
      <c r="P531">
        <v>251</v>
      </c>
      <c r="Q531" t="s">
        <v>90</v>
      </c>
      <c r="R531" t="s">
        <v>91</v>
      </c>
      <c r="S531" t="s">
        <v>92</v>
      </c>
      <c r="T531" t="s">
        <v>44</v>
      </c>
      <c r="U531" t="s">
        <v>45</v>
      </c>
      <c r="AA531" t="s">
        <v>93</v>
      </c>
      <c r="AC531" t="s">
        <v>90</v>
      </c>
      <c r="AD531" t="s">
        <v>94</v>
      </c>
      <c r="AE531" t="s">
        <v>72</v>
      </c>
      <c r="AG531" t="s">
        <v>48</v>
      </c>
    </row>
    <row r="532" spans="1:33" x14ac:dyDescent="0.3">
      <c r="A532">
        <v>1291</v>
      </c>
      <c r="B532" t="s">
        <v>3407</v>
      </c>
      <c r="C532" t="str">
        <f>""</f>
        <v/>
      </c>
      <c r="D532" t="str">
        <f>"621070G00"</f>
        <v>621070G00</v>
      </c>
      <c r="E532" s="1">
        <v>42583</v>
      </c>
      <c r="F532" t="s">
        <v>3408</v>
      </c>
      <c r="G532" t="e">
        <f>INDEX(#REF!,MATCH(P532,#REF!,0),1)</f>
        <v>#REF!</v>
      </c>
      <c r="H532" t="s">
        <v>3409</v>
      </c>
      <c r="J532" t="s">
        <v>3410</v>
      </c>
      <c r="K532" t="s">
        <v>1603</v>
      </c>
      <c r="L532" t="s">
        <v>3411</v>
      </c>
      <c r="M532" t="s">
        <v>3412</v>
      </c>
      <c r="N532">
        <v>1291</v>
      </c>
      <c r="O532" t="s">
        <v>3408</v>
      </c>
      <c r="P532">
        <v>1291</v>
      </c>
      <c r="Q532" t="s">
        <v>3408</v>
      </c>
      <c r="R532" t="s">
        <v>1046</v>
      </c>
      <c r="S532" t="s">
        <v>1047</v>
      </c>
      <c r="T532" t="s">
        <v>44</v>
      </c>
      <c r="U532" t="s">
        <v>45</v>
      </c>
    </row>
    <row r="533" spans="1:33" x14ac:dyDescent="0.3">
      <c r="A533">
        <v>1292</v>
      </c>
      <c r="B533" t="s">
        <v>3413</v>
      </c>
      <c r="C533" t="str">
        <f>""</f>
        <v/>
      </c>
      <c r="D533" t="str">
        <f>"411030900"</f>
        <v>411030900</v>
      </c>
      <c r="E533" s="1">
        <v>28417</v>
      </c>
      <c r="F533" t="s">
        <v>3414</v>
      </c>
      <c r="G533" t="e">
        <f>INDEX(#REF!,MATCH(P533,#REF!,0),1)</f>
        <v>#REF!</v>
      </c>
      <c r="H533" t="s">
        <v>631</v>
      </c>
      <c r="J533" t="s">
        <v>632</v>
      </c>
      <c r="K533" t="s">
        <v>37</v>
      </c>
      <c r="L533" t="s">
        <v>3415</v>
      </c>
      <c r="M533" t="s">
        <v>3416</v>
      </c>
      <c r="N533">
        <v>707715</v>
      </c>
      <c r="O533" t="s">
        <v>635</v>
      </c>
      <c r="P533">
        <v>161</v>
      </c>
      <c r="Q533" t="s">
        <v>630</v>
      </c>
      <c r="R533" t="s">
        <v>520</v>
      </c>
      <c r="S533" t="s">
        <v>521</v>
      </c>
      <c r="T533" t="s">
        <v>44</v>
      </c>
      <c r="U533" t="s">
        <v>45</v>
      </c>
      <c r="AA533" t="s">
        <v>58</v>
      </c>
      <c r="AC533" t="s">
        <v>635</v>
      </c>
      <c r="AE533" t="s">
        <v>269</v>
      </c>
      <c r="AG533" t="s">
        <v>48</v>
      </c>
    </row>
    <row r="534" spans="1:33" x14ac:dyDescent="0.3">
      <c r="A534">
        <v>1297</v>
      </c>
      <c r="B534" t="s">
        <v>3417</v>
      </c>
      <c r="C534" t="str">
        <f>""</f>
        <v/>
      </c>
      <c r="D534" t="str">
        <f>"631610H00"</f>
        <v>631610H00</v>
      </c>
      <c r="E534" s="1">
        <v>34318</v>
      </c>
      <c r="F534" t="s">
        <v>3418</v>
      </c>
      <c r="G534" t="e">
        <f>INDEX(#REF!,MATCH(P534,#REF!,0),1)</f>
        <v>#REF!</v>
      </c>
      <c r="H534" t="s">
        <v>175</v>
      </c>
      <c r="J534" t="s">
        <v>176</v>
      </c>
      <c r="K534" t="s">
        <v>177</v>
      </c>
      <c r="L534" t="s">
        <v>178</v>
      </c>
      <c r="M534" t="s">
        <v>179</v>
      </c>
      <c r="N534">
        <v>6104582</v>
      </c>
      <c r="O534" t="s">
        <v>180</v>
      </c>
      <c r="P534">
        <v>1351</v>
      </c>
      <c r="Q534" t="s">
        <v>181</v>
      </c>
      <c r="R534" t="s">
        <v>182</v>
      </c>
      <c r="S534" t="s">
        <v>183</v>
      </c>
      <c r="T534" t="s">
        <v>44</v>
      </c>
      <c r="U534" t="s">
        <v>45</v>
      </c>
      <c r="AA534" t="s">
        <v>185</v>
      </c>
      <c r="AE534" t="s">
        <v>186</v>
      </c>
      <c r="AG534" t="s">
        <v>48</v>
      </c>
    </row>
    <row r="535" spans="1:33" x14ac:dyDescent="0.3">
      <c r="A535">
        <v>1299</v>
      </c>
      <c r="B535" t="s">
        <v>3419</v>
      </c>
      <c r="C535" t="str">
        <f>""</f>
        <v/>
      </c>
      <c r="D535" t="str">
        <f>""</f>
        <v/>
      </c>
      <c r="E535" s="1">
        <v>41640</v>
      </c>
      <c r="F535" t="s">
        <v>3420</v>
      </c>
      <c r="G535" t="e">
        <f>INDEX(#REF!,MATCH(P535,#REF!,0),1)</f>
        <v>#REF!</v>
      </c>
      <c r="H535" t="s">
        <v>3421</v>
      </c>
      <c r="J535" t="s">
        <v>3422</v>
      </c>
      <c r="K535" t="s">
        <v>111</v>
      </c>
      <c r="L535" t="s">
        <v>3423</v>
      </c>
      <c r="M535" t="s">
        <v>3424</v>
      </c>
      <c r="N535">
        <v>28</v>
      </c>
      <c r="O535" t="s">
        <v>114</v>
      </c>
      <c r="P535">
        <v>28</v>
      </c>
      <c r="Q535" t="s">
        <v>114</v>
      </c>
      <c r="R535" t="s">
        <v>115</v>
      </c>
      <c r="S535" t="s">
        <v>116</v>
      </c>
      <c r="T535" t="s">
        <v>44</v>
      </c>
      <c r="U535" t="s">
        <v>45</v>
      </c>
      <c r="AA535" t="s">
        <v>119</v>
      </c>
      <c r="AE535" t="s">
        <v>120</v>
      </c>
    </row>
    <row r="536" spans="1:33" x14ac:dyDescent="0.3">
      <c r="A536">
        <v>1300</v>
      </c>
      <c r="B536" t="s">
        <v>3425</v>
      </c>
      <c r="C536" t="str">
        <f>"1100002200077"</f>
        <v>1100002200077</v>
      </c>
      <c r="D536" t="str">
        <f>"611400C00"</f>
        <v>611400C00</v>
      </c>
      <c r="E536" s="1">
        <v>34213</v>
      </c>
      <c r="F536" t="s">
        <v>3426</v>
      </c>
      <c r="G536" t="e">
        <f>INDEX(#REF!,MATCH(P536,#REF!,0),1)</f>
        <v>#REF!</v>
      </c>
      <c r="H536" t="s">
        <v>3427</v>
      </c>
      <c r="J536" t="s">
        <v>3428</v>
      </c>
      <c r="K536" t="s">
        <v>283</v>
      </c>
      <c r="L536" t="s">
        <v>3429</v>
      </c>
      <c r="M536" t="s">
        <v>3430</v>
      </c>
      <c r="N536">
        <v>871561</v>
      </c>
      <c r="O536" t="s">
        <v>194</v>
      </c>
      <c r="P536">
        <v>6179343</v>
      </c>
      <c r="Q536" t="s">
        <v>1137</v>
      </c>
      <c r="R536" t="s">
        <v>196</v>
      </c>
      <c r="S536" t="s">
        <v>197</v>
      </c>
      <c r="T536" t="s">
        <v>44</v>
      </c>
      <c r="U536" t="s">
        <v>45</v>
      </c>
      <c r="AA536" t="s">
        <v>119</v>
      </c>
      <c r="AE536" t="s">
        <v>120</v>
      </c>
      <c r="AG536" t="s">
        <v>48</v>
      </c>
    </row>
    <row r="537" spans="1:33" x14ac:dyDescent="0.3">
      <c r="A537">
        <v>1308</v>
      </c>
      <c r="B537" t="s">
        <v>3431</v>
      </c>
      <c r="C537" t="str">
        <f>"1100005448339"</f>
        <v>1100005448339</v>
      </c>
      <c r="D537" t="str">
        <f>"J31AJ9P00"</f>
        <v>J31AJ9P00</v>
      </c>
      <c r="E537" s="1">
        <v>34243</v>
      </c>
      <c r="F537" t="s">
        <v>3432</v>
      </c>
      <c r="G537" t="e">
        <f>INDEX(#REF!,MATCH(P537,#REF!,0),1)</f>
        <v>#REF!</v>
      </c>
      <c r="H537" t="s">
        <v>3433</v>
      </c>
      <c r="J537" t="s">
        <v>3434</v>
      </c>
      <c r="K537" t="s">
        <v>88</v>
      </c>
      <c r="L537" t="s">
        <v>3435</v>
      </c>
      <c r="M537" t="s">
        <v>3436</v>
      </c>
      <c r="N537">
        <v>251</v>
      </c>
      <c r="O537" t="s">
        <v>90</v>
      </c>
      <c r="P537">
        <v>251</v>
      </c>
      <c r="Q537" t="s">
        <v>90</v>
      </c>
      <c r="R537" t="s">
        <v>91</v>
      </c>
      <c r="S537" t="s">
        <v>92</v>
      </c>
      <c r="T537" t="s">
        <v>44</v>
      </c>
      <c r="U537" t="s">
        <v>45</v>
      </c>
      <c r="AD537" t="s">
        <v>94</v>
      </c>
      <c r="AE537" t="s">
        <v>72</v>
      </c>
      <c r="AG537" t="s">
        <v>48</v>
      </c>
    </row>
    <row r="538" spans="1:33" x14ac:dyDescent="0.3">
      <c r="A538">
        <v>1313</v>
      </c>
      <c r="B538" t="s">
        <v>3437</v>
      </c>
      <c r="C538" t="str">
        <f>"1100005144255"</f>
        <v>1100005144255</v>
      </c>
      <c r="D538" t="str">
        <f>"432730J00"</f>
        <v>432730J00</v>
      </c>
      <c r="E538" s="1">
        <v>44531</v>
      </c>
      <c r="F538" t="s">
        <v>3438</v>
      </c>
      <c r="G538" t="e">
        <f>INDEX(#REF!,MATCH(P538,#REF!,0),1)</f>
        <v>#REF!</v>
      </c>
      <c r="H538" t="s">
        <v>3439</v>
      </c>
      <c r="J538" t="s">
        <v>3440</v>
      </c>
      <c r="K538" t="s">
        <v>342</v>
      </c>
      <c r="L538" t="s">
        <v>3441</v>
      </c>
      <c r="M538" t="s">
        <v>3442</v>
      </c>
      <c r="N538">
        <v>1313</v>
      </c>
      <c r="O538" t="s">
        <v>3438</v>
      </c>
      <c r="P538">
        <v>1313</v>
      </c>
      <c r="Q538" t="s">
        <v>3438</v>
      </c>
      <c r="R538" t="s">
        <v>492</v>
      </c>
      <c r="S538" t="s">
        <v>493</v>
      </c>
      <c r="T538" t="s">
        <v>44</v>
      </c>
      <c r="U538" t="s">
        <v>45</v>
      </c>
      <c r="AA538" t="s">
        <v>211</v>
      </c>
    </row>
    <row r="539" spans="1:33" x14ac:dyDescent="0.3">
      <c r="A539">
        <v>1314</v>
      </c>
      <c r="B539" t="s">
        <v>3443</v>
      </c>
      <c r="C539" t="str">
        <f>"1100005920743"</f>
        <v>1100005920743</v>
      </c>
      <c r="D539" t="str">
        <f>"660500H00"</f>
        <v>660500H00</v>
      </c>
      <c r="E539" s="1">
        <v>34243</v>
      </c>
      <c r="F539" t="s">
        <v>3444</v>
      </c>
      <c r="G539" t="e">
        <f>INDEX(#REF!,MATCH(P539,#REF!,0),1)</f>
        <v>#REF!</v>
      </c>
      <c r="H539" t="s">
        <v>3445</v>
      </c>
      <c r="J539" t="s">
        <v>3446</v>
      </c>
      <c r="K539" t="s">
        <v>727</v>
      </c>
      <c r="L539" t="s">
        <v>3447</v>
      </c>
      <c r="M539" t="s">
        <v>3448</v>
      </c>
      <c r="N539">
        <v>43715</v>
      </c>
      <c r="O539" t="s">
        <v>1591</v>
      </c>
      <c r="P539">
        <v>43715</v>
      </c>
      <c r="Q539" t="s">
        <v>1591</v>
      </c>
      <c r="R539" t="s">
        <v>325</v>
      </c>
      <c r="S539" t="s">
        <v>326</v>
      </c>
      <c r="T539" t="s">
        <v>44</v>
      </c>
      <c r="U539" t="s">
        <v>45</v>
      </c>
      <c r="AA539" t="s">
        <v>327</v>
      </c>
      <c r="AD539" t="s">
        <v>94</v>
      </c>
      <c r="AE539" t="s">
        <v>1522</v>
      </c>
    </row>
    <row r="540" spans="1:33" x14ac:dyDescent="0.3">
      <c r="A540">
        <v>1315</v>
      </c>
      <c r="B540" t="s">
        <v>3449</v>
      </c>
      <c r="C540" t="str">
        <f>"1100003064715"</f>
        <v>1100003064715</v>
      </c>
      <c r="D540" t="str">
        <f>"610170F00"</f>
        <v>610170F00</v>
      </c>
      <c r="E540" s="1">
        <v>34243</v>
      </c>
      <c r="F540" t="s">
        <v>3450</v>
      </c>
      <c r="G540" t="e">
        <f>INDEX(#REF!,MATCH(P540,#REF!,0),1)</f>
        <v>#REF!</v>
      </c>
      <c r="H540" t="s">
        <v>3451</v>
      </c>
      <c r="J540" t="s">
        <v>3452</v>
      </c>
      <c r="K540" t="s">
        <v>283</v>
      </c>
      <c r="L540" t="s">
        <v>3453</v>
      </c>
      <c r="M540" t="s">
        <v>3454</v>
      </c>
      <c r="N540">
        <v>871561</v>
      </c>
      <c r="O540" t="s">
        <v>194</v>
      </c>
      <c r="P540">
        <v>6179343</v>
      </c>
      <c r="Q540" t="s">
        <v>1137</v>
      </c>
      <c r="R540" t="s">
        <v>196</v>
      </c>
      <c r="S540" t="s">
        <v>197</v>
      </c>
      <c r="T540" t="s">
        <v>44</v>
      </c>
      <c r="U540" t="s">
        <v>45</v>
      </c>
      <c r="AA540" t="s">
        <v>119</v>
      </c>
      <c r="AE540" t="s">
        <v>120</v>
      </c>
      <c r="AG540" t="s">
        <v>48</v>
      </c>
    </row>
    <row r="541" spans="1:33" x14ac:dyDescent="0.3">
      <c r="A541">
        <v>1316</v>
      </c>
      <c r="B541" t="s">
        <v>3455</v>
      </c>
      <c r="C541" t="str">
        <f>"1100003770876"</f>
        <v>1100003770876</v>
      </c>
      <c r="D541" t="str">
        <f>"213260E00"</f>
        <v>213260E00</v>
      </c>
      <c r="E541" s="1">
        <v>42583</v>
      </c>
      <c r="F541" t="s">
        <v>3456</v>
      </c>
      <c r="G541" t="e">
        <f>INDEX(#REF!,MATCH(P541,#REF!,0),1)</f>
        <v>#REF!</v>
      </c>
      <c r="H541" t="s">
        <v>3457</v>
      </c>
      <c r="J541" t="s">
        <v>3458</v>
      </c>
      <c r="K541" t="s">
        <v>2244</v>
      </c>
      <c r="L541" t="s">
        <v>3459</v>
      </c>
      <c r="M541" t="s">
        <v>3460</v>
      </c>
      <c r="N541">
        <v>1317</v>
      </c>
      <c r="O541" t="s">
        <v>3461</v>
      </c>
      <c r="P541">
        <v>1317</v>
      </c>
      <c r="Q541" t="s">
        <v>3461</v>
      </c>
      <c r="R541" t="s">
        <v>940</v>
      </c>
      <c r="S541" t="s">
        <v>941</v>
      </c>
      <c r="T541" t="s">
        <v>44</v>
      </c>
      <c r="U541" t="s">
        <v>45</v>
      </c>
    </row>
    <row r="542" spans="1:33" x14ac:dyDescent="0.3">
      <c r="A542">
        <v>1317</v>
      </c>
      <c r="B542" t="s">
        <v>3462</v>
      </c>
      <c r="C542" t="str">
        <f>"1100004651808"</f>
        <v>1100004651808</v>
      </c>
      <c r="D542" t="str">
        <f>"A68R61M00"</f>
        <v>A68R61M00</v>
      </c>
      <c r="E542" s="1">
        <v>42583</v>
      </c>
      <c r="F542" t="s">
        <v>3461</v>
      </c>
      <c r="G542" t="e">
        <f>INDEX(#REF!,MATCH(P542,#REF!,0),1)</f>
        <v>#REF!</v>
      </c>
      <c r="H542" t="s">
        <v>3463</v>
      </c>
      <c r="J542" t="s">
        <v>3464</v>
      </c>
      <c r="K542" t="s">
        <v>2244</v>
      </c>
      <c r="L542" t="s">
        <v>3465</v>
      </c>
      <c r="M542" t="s">
        <v>3466</v>
      </c>
      <c r="N542">
        <v>1317</v>
      </c>
      <c r="O542" t="s">
        <v>3461</v>
      </c>
      <c r="P542">
        <v>1317</v>
      </c>
      <c r="Q542" t="s">
        <v>3461</v>
      </c>
      <c r="R542" t="s">
        <v>940</v>
      </c>
      <c r="S542" t="s">
        <v>941</v>
      </c>
      <c r="T542" t="s">
        <v>44</v>
      </c>
      <c r="U542" t="s">
        <v>81</v>
      </c>
    </row>
    <row r="543" spans="1:33" x14ac:dyDescent="0.3">
      <c r="A543">
        <v>1318</v>
      </c>
      <c r="B543" t="s">
        <v>3467</v>
      </c>
      <c r="C543" t="str">
        <f>"1100005149656"</f>
        <v>1100005149656</v>
      </c>
      <c r="D543" t="str">
        <f>"213290H00"</f>
        <v>213290H00</v>
      </c>
      <c r="E543" s="1">
        <v>42583</v>
      </c>
      <c r="F543" t="s">
        <v>3468</v>
      </c>
      <c r="G543" t="e">
        <f>INDEX(#REF!,MATCH(P543,#REF!,0),1)</f>
        <v>#REF!</v>
      </c>
      <c r="H543" t="s">
        <v>3469</v>
      </c>
      <c r="J543" t="s">
        <v>3464</v>
      </c>
      <c r="K543" t="s">
        <v>2244</v>
      </c>
      <c r="L543" t="s">
        <v>3470</v>
      </c>
      <c r="M543" t="s">
        <v>3471</v>
      </c>
      <c r="N543">
        <v>1317</v>
      </c>
      <c r="O543" t="s">
        <v>3461</v>
      </c>
      <c r="P543">
        <v>1317</v>
      </c>
      <c r="Q543" t="s">
        <v>3461</v>
      </c>
      <c r="R543" t="s">
        <v>940</v>
      </c>
      <c r="S543" t="s">
        <v>941</v>
      </c>
      <c r="T543" t="s">
        <v>44</v>
      </c>
      <c r="U543" t="s">
        <v>45</v>
      </c>
    </row>
    <row r="544" spans="1:33" x14ac:dyDescent="0.3">
      <c r="A544">
        <v>1319</v>
      </c>
      <c r="B544" t="s">
        <v>3472</v>
      </c>
      <c r="C544" t="str">
        <f>"1100009038703"</f>
        <v>1100009038703</v>
      </c>
      <c r="D544" t="str">
        <f>"98R304F00"</f>
        <v>98R304F00</v>
      </c>
      <c r="E544" s="1">
        <v>34243</v>
      </c>
      <c r="F544" t="s">
        <v>1443</v>
      </c>
      <c r="G544" t="e">
        <f>INDEX(#REF!,MATCH(P544,#REF!,0),1)</f>
        <v>#REF!</v>
      </c>
      <c r="H544" t="s">
        <v>1439</v>
      </c>
      <c r="J544" t="s">
        <v>1440</v>
      </c>
      <c r="K544" t="s">
        <v>111</v>
      </c>
      <c r="L544" t="s">
        <v>1441</v>
      </c>
      <c r="M544" t="s">
        <v>3473</v>
      </c>
      <c r="N544">
        <v>1319</v>
      </c>
      <c r="O544" t="s">
        <v>1443</v>
      </c>
      <c r="P544">
        <v>1319</v>
      </c>
      <c r="Q544" t="s">
        <v>1443</v>
      </c>
      <c r="R544" t="s">
        <v>115</v>
      </c>
      <c r="S544" t="s">
        <v>116</v>
      </c>
      <c r="T544" t="s">
        <v>44</v>
      </c>
      <c r="U544" t="s">
        <v>81</v>
      </c>
      <c r="AA544" t="s">
        <v>119</v>
      </c>
      <c r="AE544" t="s">
        <v>120</v>
      </c>
    </row>
    <row r="545" spans="1:33" x14ac:dyDescent="0.3">
      <c r="A545">
        <v>1320</v>
      </c>
      <c r="B545" t="s">
        <v>3474</v>
      </c>
      <c r="C545" t="str">
        <f>"1100004164896"</f>
        <v>1100004164896</v>
      </c>
      <c r="D545" t="str">
        <f>"861000F00"</f>
        <v>861000F00</v>
      </c>
      <c r="E545" s="1">
        <v>42461</v>
      </c>
      <c r="F545" t="s">
        <v>3475</v>
      </c>
      <c r="G545" t="e">
        <f>INDEX(#REF!,MATCH(P545,#REF!,0),1)</f>
        <v>#REF!</v>
      </c>
      <c r="H545" t="s">
        <v>3476</v>
      </c>
      <c r="J545" t="s">
        <v>3477</v>
      </c>
      <c r="K545" t="s">
        <v>577</v>
      </c>
      <c r="L545" t="s">
        <v>3478</v>
      </c>
      <c r="M545" t="s">
        <v>3479</v>
      </c>
      <c r="N545">
        <v>1320</v>
      </c>
      <c r="O545" t="s">
        <v>3475</v>
      </c>
      <c r="P545">
        <v>1320</v>
      </c>
      <c r="Q545" t="s">
        <v>3475</v>
      </c>
      <c r="R545" t="s">
        <v>1549</v>
      </c>
      <c r="S545" t="s">
        <v>1550</v>
      </c>
      <c r="T545" t="s">
        <v>44</v>
      </c>
      <c r="U545" t="s">
        <v>45</v>
      </c>
      <c r="AA545" t="s">
        <v>119</v>
      </c>
      <c r="AE545" t="s">
        <v>120</v>
      </c>
    </row>
    <row r="546" spans="1:33" x14ac:dyDescent="0.3">
      <c r="A546">
        <v>1321</v>
      </c>
      <c r="B546" t="s">
        <v>3480</v>
      </c>
      <c r="C546" t="str">
        <f>"1100005602113"</f>
        <v>1100005602113</v>
      </c>
      <c r="D546" t="str">
        <f>"441080H00"</f>
        <v>441080H00</v>
      </c>
      <c r="E546" s="1">
        <v>34547</v>
      </c>
      <c r="F546" t="s">
        <v>3481</v>
      </c>
      <c r="G546" t="e">
        <f>INDEX(#REF!,MATCH(P546,#REF!,0),1)</f>
        <v>#REF!</v>
      </c>
      <c r="H546" t="s">
        <v>3482</v>
      </c>
      <c r="J546" t="s">
        <v>1630</v>
      </c>
      <c r="K546" t="s">
        <v>261</v>
      </c>
      <c r="L546" t="s">
        <v>3483</v>
      </c>
      <c r="M546" t="s">
        <v>3484</v>
      </c>
      <c r="N546">
        <v>4168349</v>
      </c>
      <c r="O546" t="s">
        <v>264</v>
      </c>
      <c r="P546">
        <v>43714</v>
      </c>
      <c r="Q546" t="s">
        <v>265</v>
      </c>
      <c r="R546" t="s">
        <v>266</v>
      </c>
      <c r="S546" t="s">
        <v>267</v>
      </c>
      <c r="T546" t="s">
        <v>44</v>
      </c>
      <c r="U546" t="s">
        <v>45</v>
      </c>
      <c r="Y546" t="s">
        <v>46</v>
      </c>
      <c r="Z546" s="1">
        <v>44835</v>
      </c>
      <c r="AC546" t="s">
        <v>268</v>
      </c>
      <c r="AE546" t="s">
        <v>269</v>
      </c>
      <c r="AG546" t="s">
        <v>48</v>
      </c>
    </row>
    <row r="547" spans="1:33" x14ac:dyDescent="0.3">
      <c r="A547">
        <v>1322</v>
      </c>
      <c r="B547" t="s">
        <v>3485</v>
      </c>
      <c r="C547" t="str">
        <f>"1100002280901"</f>
        <v>1100002280901</v>
      </c>
      <c r="D547" t="str">
        <f>"744740Q00"</f>
        <v>744740Q00</v>
      </c>
      <c r="E547" s="1">
        <v>42583</v>
      </c>
      <c r="F547" t="s">
        <v>3486</v>
      </c>
      <c r="G547" t="e">
        <f>INDEX(#REF!,MATCH(P547,#REF!,0),1)</f>
        <v>#REF!</v>
      </c>
      <c r="H547" t="s">
        <v>3487</v>
      </c>
      <c r="J547" t="s">
        <v>3488</v>
      </c>
      <c r="K547" t="s">
        <v>676</v>
      </c>
      <c r="L547" t="s">
        <v>3489</v>
      </c>
      <c r="M547" t="s">
        <v>3490</v>
      </c>
      <c r="N547">
        <v>43193</v>
      </c>
      <c r="O547" t="s">
        <v>1465</v>
      </c>
      <c r="P547">
        <v>1101885</v>
      </c>
      <c r="Q547" t="s">
        <v>1466</v>
      </c>
      <c r="R547" t="s">
        <v>1467</v>
      </c>
      <c r="S547" t="s">
        <v>1468</v>
      </c>
      <c r="T547" t="s">
        <v>44</v>
      </c>
      <c r="U547" t="s">
        <v>45</v>
      </c>
      <c r="AA547" t="s">
        <v>1031</v>
      </c>
      <c r="AE547" t="s">
        <v>72</v>
      </c>
    </row>
    <row r="548" spans="1:33" x14ac:dyDescent="0.3">
      <c r="A548">
        <v>1324</v>
      </c>
      <c r="B548" t="s">
        <v>3491</v>
      </c>
      <c r="C548" t="str">
        <f>"1100003294136"</f>
        <v>1100003294136</v>
      </c>
      <c r="D548" t="str">
        <f>"ESTZYC800"</f>
        <v>ESTZYC800</v>
      </c>
      <c r="E548" s="1">
        <v>34274</v>
      </c>
      <c r="F548" t="s">
        <v>3492</v>
      </c>
      <c r="G548" t="e">
        <f>INDEX(#REF!,MATCH(P548,#REF!,0),1)</f>
        <v>#REF!</v>
      </c>
      <c r="H548" t="s">
        <v>3493</v>
      </c>
      <c r="J548" t="s">
        <v>3494</v>
      </c>
      <c r="K548" t="s">
        <v>167</v>
      </c>
      <c r="L548">
        <v>34761</v>
      </c>
      <c r="M548" t="s">
        <v>3495</v>
      </c>
      <c r="N548">
        <v>37497</v>
      </c>
      <c r="O548" t="s">
        <v>128</v>
      </c>
      <c r="P548">
        <v>37497</v>
      </c>
      <c r="Q548" t="s">
        <v>128</v>
      </c>
      <c r="R548" t="s">
        <v>129</v>
      </c>
      <c r="S548" t="s">
        <v>130</v>
      </c>
      <c r="T548" t="s">
        <v>44</v>
      </c>
      <c r="U548" t="s">
        <v>45</v>
      </c>
    </row>
    <row r="549" spans="1:33" x14ac:dyDescent="0.3">
      <c r="A549">
        <v>1325</v>
      </c>
      <c r="B549" t="s">
        <v>3496</v>
      </c>
      <c r="C549" t="str">
        <f>"1100005928824"</f>
        <v>1100005928824</v>
      </c>
      <c r="D549" t="str">
        <f>"380980S00"</f>
        <v>380980S00</v>
      </c>
      <c r="E549" s="1">
        <v>34274</v>
      </c>
      <c r="F549" t="s">
        <v>3497</v>
      </c>
      <c r="G549" t="e">
        <f>INDEX(#REF!,MATCH(P549,#REF!,0),1)</f>
        <v>#REF!</v>
      </c>
      <c r="H549" t="s">
        <v>3498</v>
      </c>
      <c r="J549" t="s">
        <v>3499</v>
      </c>
      <c r="K549" t="s">
        <v>99</v>
      </c>
      <c r="L549" t="s">
        <v>3500</v>
      </c>
      <c r="M549" t="s">
        <v>3501</v>
      </c>
      <c r="N549">
        <v>43807</v>
      </c>
      <c r="O549" t="s">
        <v>1798</v>
      </c>
      <c r="P549">
        <v>562</v>
      </c>
      <c r="Q549" t="s">
        <v>2052</v>
      </c>
      <c r="R549" t="s">
        <v>1799</v>
      </c>
      <c r="S549" t="s">
        <v>1800</v>
      </c>
      <c r="T549" t="s">
        <v>44</v>
      </c>
      <c r="U549" t="s">
        <v>45</v>
      </c>
      <c r="AA549" t="s">
        <v>105</v>
      </c>
      <c r="AE549" t="s">
        <v>106</v>
      </c>
    </row>
    <row r="550" spans="1:33" x14ac:dyDescent="0.3">
      <c r="A550">
        <v>1326</v>
      </c>
      <c r="B550" t="s">
        <v>3502</v>
      </c>
      <c r="C550" t="str">
        <f>""</f>
        <v/>
      </c>
      <c r="D550" t="str">
        <f>""</f>
        <v/>
      </c>
      <c r="E550" s="1">
        <v>34274</v>
      </c>
      <c r="F550" t="s">
        <v>3503</v>
      </c>
      <c r="G550" t="e">
        <f>INDEX(#REF!,MATCH(P550,#REF!,0),1)</f>
        <v>#REF!</v>
      </c>
      <c r="H550" t="s">
        <v>3504</v>
      </c>
      <c r="J550" t="s">
        <v>3505</v>
      </c>
      <c r="K550" t="s">
        <v>261</v>
      </c>
      <c r="L550">
        <v>48180</v>
      </c>
      <c r="M550" t="s">
        <v>3506</v>
      </c>
      <c r="N550">
        <v>4168349</v>
      </c>
      <c r="O550" t="s">
        <v>264</v>
      </c>
      <c r="P550">
        <v>190</v>
      </c>
      <c r="Q550" t="s">
        <v>753</v>
      </c>
      <c r="R550" t="s">
        <v>2550</v>
      </c>
      <c r="S550" t="s">
        <v>2551</v>
      </c>
      <c r="T550" t="s">
        <v>3141</v>
      </c>
      <c r="U550" t="s">
        <v>3142</v>
      </c>
      <c r="V550" t="s">
        <v>1824</v>
      </c>
      <c r="Y550" t="s">
        <v>46</v>
      </c>
      <c r="Z550" s="1">
        <v>45156</v>
      </c>
      <c r="AG550" t="s">
        <v>48</v>
      </c>
    </row>
    <row r="551" spans="1:33" x14ac:dyDescent="0.3">
      <c r="A551">
        <v>1328</v>
      </c>
      <c r="B551" t="s">
        <v>3507</v>
      </c>
      <c r="C551" t="str">
        <f>""</f>
        <v/>
      </c>
      <c r="D551" t="str">
        <f>"620860M00"</f>
        <v>620860M00</v>
      </c>
      <c r="E551" s="1">
        <v>44409</v>
      </c>
      <c r="F551" t="s">
        <v>3508</v>
      </c>
      <c r="G551" t="e">
        <f>INDEX(#REF!,MATCH(P551,#REF!,0),1)</f>
        <v>#REF!</v>
      </c>
      <c r="H551" t="s">
        <v>3509</v>
      </c>
      <c r="J551" t="s">
        <v>3510</v>
      </c>
      <c r="K551" t="s">
        <v>1603</v>
      </c>
      <c r="L551" t="s">
        <v>3511</v>
      </c>
      <c r="M551" t="s">
        <v>3512</v>
      </c>
      <c r="N551">
        <v>1328</v>
      </c>
      <c r="O551" t="s">
        <v>3508</v>
      </c>
      <c r="P551">
        <v>1328</v>
      </c>
      <c r="Q551" t="s">
        <v>3508</v>
      </c>
      <c r="R551" t="s">
        <v>245</v>
      </c>
      <c r="S551" t="s">
        <v>246</v>
      </c>
      <c r="T551" t="s">
        <v>44</v>
      </c>
      <c r="U551" t="s">
        <v>45</v>
      </c>
    </row>
    <row r="552" spans="1:33" x14ac:dyDescent="0.3">
      <c r="A552">
        <v>1329</v>
      </c>
      <c r="B552" t="s">
        <v>3513</v>
      </c>
      <c r="C552" t="str">
        <f>"1100003804236"</f>
        <v>1100003804236</v>
      </c>
      <c r="D552" t="str">
        <f>"621080H00"</f>
        <v>621080H00</v>
      </c>
      <c r="E552" s="1">
        <v>34276</v>
      </c>
      <c r="F552" t="s">
        <v>3514</v>
      </c>
      <c r="G552" t="e">
        <f>INDEX(#REF!,MATCH(P552,#REF!,0),1)</f>
        <v>#REF!</v>
      </c>
      <c r="H552" t="s">
        <v>3515</v>
      </c>
      <c r="J552" t="s">
        <v>3516</v>
      </c>
      <c r="K552" t="s">
        <v>1603</v>
      </c>
      <c r="L552" t="s">
        <v>3517</v>
      </c>
      <c r="M552" t="s">
        <v>3518</v>
      </c>
      <c r="N552">
        <v>871561</v>
      </c>
      <c r="O552" t="s">
        <v>194</v>
      </c>
      <c r="P552">
        <v>6179343</v>
      </c>
      <c r="Q552" t="s">
        <v>1137</v>
      </c>
      <c r="R552" t="s">
        <v>196</v>
      </c>
      <c r="S552" t="s">
        <v>197</v>
      </c>
      <c r="T552" t="s">
        <v>44</v>
      </c>
      <c r="U552" t="s">
        <v>45</v>
      </c>
      <c r="AA552" t="s">
        <v>119</v>
      </c>
      <c r="AE552" t="s">
        <v>120</v>
      </c>
      <c r="AG552" t="s">
        <v>48</v>
      </c>
    </row>
    <row r="553" spans="1:33" x14ac:dyDescent="0.3">
      <c r="A553">
        <v>1330</v>
      </c>
      <c r="B553" t="s">
        <v>3519</v>
      </c>
      <c r="C553" t="str">
        <f>""</f>
        <v/>
      </c>
      <c r="D553" t="str">
        <f>"620670L00"</f>
        <v>620670L00</v>
      </c>
      <c r="E553" s="1">
        <v>34276</v>
      </c>
      <c r="F553" t="s">
        <v>3520</v>
      </c>
      <c r="G553" t="e">
        <f>INDEX(#REF!,MATCH(P553,#REF!,0),1)</f>
        <v>#REF!</v>
      </c>
      <c r="H553" t="s">
        <v>3521</v>
      </c>
      <c r="J553" t="s">
        <v>3522</v>
      </c>
      <c r="K553" t="s">
        <v>1603</v>
      </c>
      <c r="L553" t="s">
        <v>3523</v>
      </c>
      <c r="M553" t="s">
        <v>3524</v>
      </c>
      <c r="N553">
        <v>908</v>
      </c>
      <c r="O553" t="s">
        <v>730</v>
      </c>
      <c r="P553">
        <v>908</v>
      </c>
      <c r="Q553" t="s">
        <v>730</v>
      </c>
      <c r="R553" t="s">
        <v>1046</v>
      </c>
      <c r="S553" t="s">
        <v>1047</v>
      </c>
      <c r="T553" t="s">
        <v>44</v>
      </c>
      <c r="U553" t="s">
        <v>45</v>
      </c>
      <c r="AA553" t="s">
        <v>327</v>
      </c>
      <c r="AD553" t="s">
        <v>94</v>
      </c>
      <c r="AE553" t="s">
        <v>1522</v>
      </c>
    </row>
    <row r="554" spans="1:33" x14ac:dyDescent="0.3">
      <c r="A554">
        <v>1337</v>
      </c>
      <c r="B554" t="s">
        <v>3525</v>
      </c>
      <c r="C554" t="str">
        <f>""</f>
        <v/>
      </c>
      <c r="D554" t="str">
        <f>"721210D00"</f>
        <v>721210D00</v>
      </c>
      <c r="E554" s="1">
        <v>42682</v>
      </c>
      <c r="F554" t="s">
        <v>3526</v>
      </c>
      <c r="G554" t="e">
        <f>INDEX(#REF!,MATCH(P554,#REF!,0),1)</f>
        <v>#REF!</v>
      </c>
      <c r="H554" t="s">
        <v>3527</v>
      </c>
      <c r="J554" t="s">
        <v>3528</v>
      </c>
      <c r="K554" t="s">
        <v>353</v>
      </c>
      <c r="L554" t="s">
        <v>3529</v>
      </c>
      <c r="M554" t="s">
        <v>3530</v>
      </c>
      <c r="N554">
        <v>1337</v>
      </c>
      <c r="O554" t="s">
        <v>3526</v>
      </c>
      <c r="P554">
        <v>1337</v>
      </c>
      <c r="Q554" t="s">
        <v>3526</v>
      </c>
      <c r="R554" t="s">
        <v>356</v>
      </c>
      <c r="S554" t="s">
        <v>357</v>
      </c>
      <c r="T554" t="s">
        <v>44</v>
      </c>
      <c r="U554" t="s">
        <v>45</v>
      </c>
      <c r="AA554" t="s">
        <v>93</v>
      </c>
      <c r="AC554" t="s">
        <v>358</v>
      </c>
    </row>
    <row r="555" spans="1:33" x14ac:dyDescent="0.3">
      <c r="A555">
        <v>1340</v>
      </c>
      <c r="B555" t="s">
        <v>3531</v>
      </c>
      <c r="C555" t="str">
        <f>""</f>
        <v/>
      </c>
      <c r="D555" t="str">
        <f>"670200F00"</f>
        <v>670200F00</v>
      </c>
      <c r="E555" s="1">
        <v>44287</v>
      </c>
      <c r="F555" t="s">
        <v>3532</v>
      </c>
      <c r="G555" t="e">
        <f>INDEX(#REF!,MATCH(P555,#REF!,0),1)</f>
        <v>#REF!</v>
      </c>
      <c r="H555" t="s">
        <v>3533</v>
      </c>
      <c r="J555" t="s">
        <v>3534</v>
      </c>
      <c r="K555" t="s">
        <v>835</v>
      </c>
      <c r="L555" t="s">
        <v>3535</v>
      </c>
      <c r="M555" t="s">
        <v>3536</v>
      </c>
      <c r="N555">
        <v>30537</v>
      </c>
      <c r="O555" t="s">
        <v>838</v>
      </c>
      <c r="P555">
        <v>30537</v>
      </c>
      <c r="Q555" t="s">
        <v>838</v>
      </c>
      <c r="R555" t="s">
        <v>228</v>
      </c>
      <c r="S555" t="s">
        <v>229</v>
      </c>
      <c r="T555" t="s">
        <v>44</v>
      </c>
      <c r="U555" t="s">
        <v>45</v>
      </c>
      <c r="AA555" t="s">
        <v>119</v>
      </c>
      <c r="AE555" t="s">
        <v>120</v>
      </c>
    </row>
    <row r="556" spans="1:33" x14ac:dyDescent="0.3">
      <c r="A556">
        <v>1341</v>
      </c>
      <c r="B556" t="s">
        <v>3537</v>
      </c>
      <c r="C556" t="str">
        <f>""</f>
        <v/>
      </c>
      <c r="D556" t="str">
        <f>"711100A00"</f>
        <v>711100A00</v>
      </c>
      <c r="E556" s="1">
        <v>34335</v>
      </c>
      <c r="F556" t="s">
        <v>1977</v>
      </c>
      <c r="G556" t="e">
        <f>INDEX(#REF!,MATCH(P556,#REF!,0),1)</f>
        <v>#REF!</v>
      </c>
      <c r="H556" t="s">
        <v>3538</v>
      </c>
      <c r="J556" t="s">
        <v>3539</v>
      </c>
      <c r="K556" t="s">
        <v>111</v>
      </c>
      <c r="L556" t="s">
        <v>3540</v>
      </c>
      <c r="M556" t="s">
        <v>3541</v>
      </c>
      <c r="N556">
        <v>174</v>
      </c>
      <c r="O556" t="s">
        <v>694</v>
      </c>
      <c r="P556">
        <v>174</v>
      </c>
      <c r="Q556" t="s">
        <v>694</v>
      </c>
      <c r="R556" t="s">
        <v>115</v>
      </c>
      <c r="S556" t="s">
        <v>116</v>
      </c>
      <c r="T556" t="s">
        <v>44</v>
      </c>
      <c r="U556" t="s">
        <v>45</v>
      </c>
      <c r="AA556" t="s">
        <v>119</v>
      </c>
      <c r="AE556" t="s">
        <v>120</v>
      </c>
    </row>
    <row r="557" spans="1:33" x14ac:dyDescent="0.3">
      <c r="A557">
        <v>1342</v>
      </c>
      <c r="B557" t="s">
        <v>3542</v>
      </c>
      <c r="C557" t="str">
        <f>""</f>
        <v/>
      </c>
      <c r="D557" t="str">
        <f>"K2ZLCXF00"</f>
        <v>K2ZLCXF00</v>
      </c>
      <c r="E557" s="1">
        <v>34455</v>
      </c>
      <c r="F557" t="s">
        <v>3543</v>
      </c>
      <c r="G557" t="e">
        <f>INDEX(#REF!,MATCH(P557,#REF!,0),1)</f>
        <v>#REF!</v>
      </c>
      <c r="H557" t="s">
        <v>3544</v>
      </c>
      <c r="J557" t="s">
        <v>383</v>
      </c>
      <c r="K557" t="s">
        <v>384</v>
      </c>
      <c r="L557">
        <v>27103</v>
      </c>
      <c r="M557" t="s">
        <v>3545</v>
      </c>
      <c r="N557">
        <v>665</v>
      </c>
      <c r="O557" t="s">
        <v>387</v>
      </c>
      <c r="P557">
        <v>75430</v>
      </c>
      <c r="Q557" t="s">
        <v>3546</v>
      </c>
      <c r="R557" t="s">
        <v>2477</v>
      </c>
      <c r="S557" t="s">
        <v>2478</v>
      </c>
      <c r="T557" t="s">
        <v>2140</v>
      </c>
      <c r="U557" t="s">
        <v>2141</v>
      </c>
      <c r="V557" t="s">
        <v>1824</v>
      </c>
      <c r="AA557" t="s">
        <v>82</v>
      </c>
      <c r="AE557" t="s">
        <v>83</v>
      </c>
    </row>
    <row r="558" spans="1:33" x14ac:dyDescent="0.3">
      <c r="A558">
        <v>1343</v>
      </c>
      <c r="B558" t="s">
        <v>3547</v>
      </c>
      <c r="C558" t="str">
        <f>""</f>
        <v/>
      </c>
      <c r="D558" t="str">
        <f>"431800G00"</f>
        <v>431800G00</v>
      </c>
      <c r="E558" s="1">
        <v>34335</v>
      </c>
      <c r="F558" t="s">
        <v>3548</v>
      </c>
      <c r="G558" t="e">
        <f>INDEX(#REF!,MATCH(P558,#REF!,0),1)</f>
        <v>#REF!</v>
      </c>
      <c r="H558" t="s">
        <v>3549</v>
      </c>
      <c r="J558" t="s">
        <v>1615</v>
      </c>
      <c r="K558" t="s">
        <v>342</v>
      </c>
      <c r="L558" t="s">
        <v>3550</v>
      </c>
      <c r="M558" t="s">
        <v>3551</v>
      </c>
      <c r="N558">
        <v>332</v>
      </c>
      <c r="O558" t="s">
        <v>345</v>
      </c>
      <c r="P558">
        <v>332</v>
      </c>
      <c r="Q558" t="s">
        <v>345</v>
      </c>
      <c r="R558" t="s">
        <v>346</v>
      </c>
      <c r="S558" t="s">
        <v>347</v>
      </c>
      <c r="T558" t="s">
        <v>44</v>
      </c>
      <c r="U558" t="s">
        <v>45</v>
      </c>
      <c r="AA558" t="s">
        <v>119</v>
      </c>
      <c r="AE558" t="s">
        <v>348</v>
      </c>
      <c r="AG558" t="s">
        <v>48</v>
      </c>
    </row>
    <row r="559" spans="1:33" x14ac:dyDescent="0.3">
      <c r="A559">
        <v>1346</v>
      </c>
      <c r="B559" t="s">
        <v>3552</v>
      </c>
      <c r="C559" t="str">
        <f>""</f>
        <v/>
      </c>
      <c r="D559" t="str">
        <f>"530460I00"</f>
        <v>530460I00</v>
      </c>
      <c r="E559" s="1">
        <v>34335</v>
      </c>
      <c r="F559" t="s">
        <v>3553</v>
      </c>
      <c r="G559" t="e">
        <f>INDEX(#REF!,MATCH(P559,#REF!,0),1)</f>
        <v>#REF!</v>
      </c>
      <c r="H559" t="s">
        <v>3554</v>
      </c>
      <c r="J559" t="s">
        <v>341</v>
      </c>
      <c r="K559" t="s">
        <v>125</v>
      </c>
      <c r="L559" t="s">
        <v>3555</v>
      </c>
      <c r="M559" t="s">
        <v>3556</v>
      </c>
      <c r="N559">
        <v>1667</v>
      </c>
      <c r="O559" t="s">
        <v>1791</v>
      </c>
      <c r="P559">
        <v>513</v>
      </c>
      <c r="Q559" t="s">
        <v>1898</v>
      </c>
      <c r="R559" t="s">
        <v>102</v>
      </c>
      <c r="S559" t="s">
        <v>103</v>
      </c>
      <c r="T559" t="s">
        <v>44</v>
      </c>
      <c r="U559" t="s">
        <v>45</v>
      </c>
      <c r="AA559" t="s">
        <v>105</v>
      </c>
      <c r="AE559" t="s">
        <v>106</v>
      </c>
    </row>
    <row r="560" spans="1:33" x14ac:dyDescent="0.3">
      <c r="A560">
        <v>1347</v>
      </c>
      <c r="B560" t="s">
        <v>3557</v>
      </c>
      <c r="C560" t="str">
        <f>""</f>
        <v/>
      </c>
      <c r="D560" t="str">
        <f>"660140H00"</f>
        <v>660140H00</v>
      </c>
      <c r="E560" s="1">
        <v>34335</v>
      </c>
      <c r="F560" t="s">
        <v>3558</v>
      </c>
      <c r="G560" t="e">
        <f>INDEX(#REF!,MATCH(P560,#REF!,0),1)</f>
        <v>#REF!</v>
      </c>
      <c r="H560" t="s">
        <v>3559</v>
      </c>
      <c r="J560" t="s">
        <v>3560</v>
      </c>
      <c r="K560" t="s">
        <v>727</v>
      </c>
      <c r="L560" t="s">
        <v>3561</v>
      </c>
      <c r="M560" t="s">
        <v>3562</v>
      </c>
      <c r="N560">
        <v>43715</v>
      </c>
      <c r="O560" t="s">
        <v>1591</v>
      </c>
      <c r="P560">
        <v>43715</v>
      </c>
      <c r="Q560" t="s">
        <v>1591</v>
      </c>
      <c r="R560" t="s">
        <v>325</v>
      </c>
      <c r="S560" t="s">
        <v>326</v>
      </c>
      <c r="T560" t="s">
        <v>44</v>
      </c>
      <c r="U560" t="s">
        <v>45</v>
      </c>
      <c r="AA560" t="s">
        <v>327</v>
      </c>
      <c r="AD560" t="s">
        <v>94</v>
      </c>
      <c r="AE560" t="s">
        <v>1522</v>
      </c>
    </row>
    <row r="561" spans="1:33" x14ac:dyDescent="0.3">
      <c r="A561">
        <v>1350</v>
      </c>
      <c r="B561" t="s">
        <v>3563</v>
      </c>
      <c r="C561" t="str">
        <f>""</f>
        <v/>
      </c>
      <c r="D561" t="str">
        <f>"730700H00"</f>
        <v>730700H00</v>
      </c>
      <c r="E561" s="1">
        <v>42583</v>
      </c>
      <c r="F561" t="s">
        <v>3564</v>
      </c>
      <c r="G561" t="e">
        <f>INDEX(#REF!,MATCH(P561,#REF!,0),1)</f>
        <v>#REF!</v>
      </c>
      <c r="H561" t="s">
        <v>3355</v>
      </c>
      <c r="J561" t="s">
        <v>3565</v>
      </c>
      <c r="K561" t="s">
        <v>763</v>
      </c>
      <c r="L561">
        <v>73446</v>
      </c>
      <c r="M561" t="s">
        <v>3566</v>
      </c>
      <c r="N561">
        <v>963605</v>
      </c>
      <c r="O561" t="s">
        <v>3567</v>
      </c>
      <c r="P561">
        <v>963605</v>
      </c>
      <c r="Q561" t="s">
        <v>3567</v>
      </c>
      <c r="R561" t="s">
        <v>245</v>
      </c>
      <c r="S561" t="s">
        <v>246</v>
      </c>
      <c r="T561" t="s">
        <v>44</v>
      </c>
      <c r="U561" t="s">
        <v>45</v>
      </c>
    </row>
    <row r="562" spans="1:33" x14ac:dyDescent="0.3">
      <c r="A562">
        <v>1351</v>
      </c>
      <c r="B562" t="s">
        <v>3568</v>
      </c>
      <c r="C562" t="str">
        <f>""</f>
        <v/>
      </c>
      <c r="D562" t="str">
        <f>"04886LB00"</f>
        <v>04886LB00</v>
      </c>
      <c r="E562" s="1">
        <v>34318</v>
      </c>
      <c r="F562" t="s">
        <v>181</v>
      </c>
      <c r="G562" t="e">
        <f>INDEX(#REF!,MATCH(P562,#REF!,0),1)</f>
        <v>#REF!</v>
      </c>
      <c r="H562" t="s">
        <v>3569</v>
      </c>
      <c r="J562" t="s">
        <v>176</v>
      </c>
      <c r="K562" t="s">
        <v>177</v>
      </c>
      <c r="L562" t="s">
        <v>3570</v>
      </c>
      <c r="M562" t="s">
        <v>3571</v>
      </c>
      <c r="N562">
        <v>6104582</v>
      </c>
      <c r="O562" t="s">
        <v>180</v>
      </c>
      <c r="P562">
        <v>6104582</v>
      </c>
      <c r="Q562" t="s">
        <v>180</v>
      </c>
      <c r="R562" t="s">
        <v>182</v>
      </c>
      <c r="S562" t="s">
        <v>183</v>
      </c>
      <c r="T562" t="s">
        <v>44</v>
      </c>
      <c r="U562" t="s">
        <v>81</v>
      </c>
      <c r="AA562" t="s">
        <v>185</v>
      </c>
      <c r="AE562" t="s">
        <v>186</v>
      </c>
      <c r="AG562" t="s">
        <v>48</v>
      </c>
    </row>
    <row r="563" spans="1:33" x14ac:dyDescent="0.3">
      <c r="A563">
        <v>1356</v>
      </c>
      <c r="B563" t="s">
        <v>3572</v>
      </c>
      <c r="C563" t="str">
        <f>""</f>
        <v/>
      </c>
      <c r="D563" t="str">
        <f>"77Q30EL00"</f>
        <v>77Q30EL00</v>
      </c>
      <c r="E563" s="1">
        <v>37926</v>
      </c>
      <c r="F563" t="s">
        <v>3573</v>
      </c>
      <c r="G563" t="e">
        <f>INDEX(#REF!,MATCH(P563,#REF!,0),1)</f>
        <v>#REF!</v>
      </c>
      <c r="H563" t="s">
        <v>3574</v>
      </c>
      <c r="J563" t="s">
        <v>3575</v>
      </c>
      <c r="K563" t="s">
        <v>177</v>
      </c>
      <c r="L563">
        <v>64601</v>
      </c>
      <c r="M563" t="s">
        <v>3576</v>
      </c>
      <c r="N563">
        <v>6104582</v>
      </c>
      <c r="O563" t="s">
        <v>180</v>
      </c>
      <c r="P563">
        <v>3951</v>
      </c>
      <c r="Q563" t="s">
        <v>954</v>
      </c>
      <c r="R563" t="s">
        <v>182</v>
      </c>
      <c r="S563" t="s">
        <v>183</v>
      </c>
      <c r="T563" t="s">
        <v>44</v>
      </c>
      <c r="U563" t="s">
        <v>45</v>
      </c>
      <c r="AD563" t="s">
        <v>94</v>
      </c>
      <c r="AE563" t="s">
        <v>186</v>
      </c>
    </row>
    <row r="564" spans="1:33" x14ac:dyDescent="0.3">
      <c r="A564">
        <v>1357</v>
      </c>
      <c r="B564" t="s">
        <v>3577</v>
      </c>
      <c r="C564" t="str">
        <f>"1100004512505"</f>
        <v>1100004512505</v>
      </c>
      <c r="D564" t="str">
        <f>"630080H00"</f>
        <v>630080H00</v>
      </c>
      <c r="E564" s="1">
        <v>34318</v>
      </c>
      <c r="F564" t="s">
        <v>3578</v>
      </c>
      <c r="G564" t="e">
        <f>INDEX(#REF!,MATCH(P564,#REF!,0),1)</f>
        <v>#REF!</v>
      </c>
      <c r="H564" t="s">
        <v>3579</v>
      </c>
      <c r="J564" t="s">
        <v>3580</v>
      </c>
      <c r="K564" t="s">
        <v>177</v>
      </c>
      <c r="L564" t="s">
        <v>3581</v>
      </c>
      <c r="M564" t="s">
        <v>3582</v>
      </c>
      <c r="N564">
        <v>6104582</v>
      </c>
      <c r="O564" t="s">
        <v>180</v>
      </c>
      <c r="P564">
        <v>1351</v>
      </c>
      <c r="Q564" t="s">
        <v>181</v>
      </c>
      <c r="R564" t="s">
        <v>182</v>
      </c>
      <c r="S564" t="s">
        <v>183</v>
      </c>
      <c r="T564" t="s">
        <v>44</v>
      </c>
      <c r="U564" t="s">
        <v>45</v>
      </c>
      <c r="AA564" t="s">
        <v>185</v>
      </c>
      <c r="AE564" t="s">
        <v>186</v>
      </c>
    </row>
    <row r="565" spans="1:33" x14ac:dyDescent="0.3">
      <c r="A565">
        <v>1361</v>
      </c>
      <c r="B565" t="s">
        <v>3583</v>
      </c>
      <c r="C565" t="str">
        <f>"1100001505715"</f>
        <v>1100001505715</v>
      </c>
      <c r="D565" t="str">
        <f>"530190I00"</f>
        <v>530190I00</v>
      </c>
      <c r="E565" s="1">
        <v>41091</v>
      </c>
      <c r="F565" t="s">
        <v>3584</v>
      </c>
      <c r="G565" t="e">
        <f>INDEX(#REF!,MATCH(P565,#REF!,0),1)</f>
        <v>#REF!</v>
      </c>
      <c r="H565" t="s">
        <v>3585</v>
      </c>
      <c r="J565" t="s">
        <v>124</v>
      </c>
      <c r="K565" t="s">
        <v>125</v>
      </c>
      <c r="L565" t="s">
        <v>3586</v>
      </c>
      <c r="M565" t="s">
        <v>3587</v>
      </c>
      <c r="N565">
        <v>1361</v>
      </c>
      <c r="O565" t="s">
        <v>3584</v>
      </c>
      <c r="P565">
        <v>1361</v>
      </c>
      <c r="Q565" t="s">
        <v>3584</v>
      </c>
      <c r="R565" t="s">
        <v>2806</v>
      </c>
      <c r="S565" t="s">
        <v>2807</v>
      </c>
      <c r="T565" t="s">
        <v>44</v>
      </c>
      <c r="U565" t="s">
        <v>288</v>
      </c>
      <c r="X565" t="s">
        <v>289</v>
      </c>
      <c r="AA565" t="s">
        <v>290</v>
      </c>
      <c r="AG565" t="s">
        <v>48</v>
      </c>
    </row>
    <row r="566" spans="1:33" x14ac:dyDescent="0.3">
      <c r="A566">
        <v>1362</v>
      </c>
      <c r="B566" t="s">
        <v>3588</v>
      </c>
      <c r="C566" t="str">
        <f>"1100004520166"</f>
        <v>1100004520166</v>
      </c>
      <c r="D566" t="str">
        <f>""</f>
        <v/>
      </c>
      <c r="E566" s="1">
        <v>42583</v>
      </c>
      <c r="F566" t="s">
        <v>2316</v>
      </c>
      <c r="G566" t="e">
        <f>INDEX(#REF!,MATCH(P566,#REF!,0),1)</f>
        <v>#REF!</v>
      </c>
      <c r="H566" t="s">
        <v>3589</v>
      </c>
      <c r="J566" t="s">
        <v>2298</v>
      </c>
      <c r="K566" t="s">
        <v>2244</v>
      </c>
      <c r="L566">
        <v>14621</v>
      </c>
      <c r="M566" t="s">
        <v>3590</v>
      </c>
      <c r="N566">
        <v>1362</v>
      </c>
      <c r="O566" t="s">
        <v>2316</v>
      </c>
      <c r="P566">
        <v>1362</v>
      </c>
      <c r="Q566" t="s">
        <v>2316</v>
      </c>
      <c r="R566" t="s">
        <v>940</v>
      </c>
      <c r="S566" t="s">
        <v>941</v>
      </c>
      <c r="T566" t="s">
        <v>44</v>
      </c>
      <c r="U566" t="s">
        <v>81</v>
      </c>
    </row>
    <row r="567" spans="1:33" x14ac:dyDescent="0.3">
      <c r="A567">
        <v>1367</v>
      </c>
      <c r="B567" t="s">
        <v>3591</v>
      </c>
      <c r="C567" t="str">
        <f>""</f>
        <v/>
      </c>
      <c r="D567" t="str">
        <f>"230670I00"</f>
        <v>230670I00</v>
      </c>
      <c r="E567" s="1">
        <v>32233</v>
      </c>
      <c r="F567" t="s">
        <v>3592</v>
      </c>
      <c r="G567" t="e">
        <f>INDEX(#REF!,MATCH(P567,#REF!,0),1)</f>
        <v>#REF!</v>
      </c>
      <c r="H567" t="s">
        <v>3593</v>
      </c>
      <c r="J567" t="s">
        <v>3594</v>
      </c>
      <c r="K567" t="s">
        <v>65</v>
      </c>
      <c r="L567" t="s">
        <v>3595</v>
      </c>
      <c r="M567" t="s">
        <v>3596</v>
      </c>
      <c r="N567">
        <v>1077847</v>
      </c>
      <c r="O567" t="s">
        <v>3597</v>
      </c>
      <c r="P567">
        <v>1077847</v>
      </c>
      <c r="Q567" t="s">
        <v>3597</v>
      </c>
      <c r="R567" t="s">
        <v>562</v>
      </c>
      <c r="S567" t="s">
        <v>563</v>
      </c>
      <c r="T567" t="s">
        <v>44</v>
      </c>
      <c r="U567" t="s">
        <v>45</v>
      </c>
      <c r="AA567" t="s">
        <v>119</v>
      </c>
      <c r="AE567" t="s">
        <v>564</v>
      </c>
    </row>
    <row r="568" spans="1:33" x14ac:dyDescent="0.3">
      <c r="A568">
        <v>1370</v>
      </c>
      <c r="B568" t="s">
        <v>3598</v>
      </c>
      <c r="C568" t="str">
        <f>"1100004114945"</f>
        <v>1100004114945</v>
      </c>
      <c r="D568" t="str">
        <f>"221060B00"</f>
        <v>221060B00</v>
      </c>
      <c r="E568" s="1">
        <v>42583</v>
      </c>
      <c r="F568" t="s">
        <v>3599</v>
      </c>
      <c r="G568" t="e">
        <f>INDEX(#REF!,MATCH(P568,#REF!,0),1)</f>
        <v>#REF!</v>
      </c>
      <c r="H568" t="s">
        <v>3600</v>
      </c>
      <c r="J568" t="s">
        <v>3601</v>
      </c>
      <c r="K568" t="s">
        <v>251</v>
      </c>
      <c r="L568" t="str">
        <f>"07701"</f>
        <v>07701</v>
      </c>
      <c r="M568" t="s">
        <v>3602</v>
      </c>
      <c r="N568">
        <v>35683</v>
      </c>
      <c r="O568" t="s">
        <v>931</v>
      </c>
      <c r="P568">
        <v>35683</v>
      </c>
      <c r="Q568" t="s">
        <v>931</v>
      </c>
      <c r="R568" t="s">
        <v>254</v>
      </c>
      <c r="S568" t="s">
        <v>255</v>
      </c>
      <c r="T568" t="s">
        <v>44</v>
      </c>
      <c r="U568" t="s">
        <v>45</v>
      </c>
    </row>
    <row r="569" spans="1:33" x14ac:dyDescent="0.3">
      <c r="A569">
        <v>1372</v>
      </c>
      <c r="B569" t="s">
        <v>3603</v>
      </c>
      <c r="C569" t="str">
        <f>"1100004502438"</f>
        <v>1100004502438</v>
      </c>
      <c r="D569" t="str">
        <f>"4GFWAAF00"</f>
        <v>4GFWAAF00</v>
      </c>
      <c r="E569" s="1">
        <v>32233</v>
      </c>
      <c r="F569" t="s">
        <v>587</v>
      </c>
      <c r="G569" t="e">
        <f>INDEX(#REF!,MATCH(P569,#REF!,0),1)</f>
        <v>#REF!</v>
      </c>
      <c r="H569" t="s">
        <v>3604</v>
      </c>
      <c r="J569" t="s">
        <v>584</v>
      </c>
      <c r="K569" t="s">
        <v>77</v>
      </c>
      <c r="L569" t="s">
        <v>3605</v>
      </c>
      <c r="M569" t="s">
        <v>3606</v>
      </c>
      <c r="N569">
        <v>1372</v>
      </c>
      <c r="O569" t="s">
        <v>587</v>
      </c>
      <c r="P569">
        <v>1372</v>
      </c>
      <c r="Q569" t="s">
        <v>587</v>
      </c>
      <c r="R569" t="s">
        <v>588</v>
      </c>
      <c r="S569" t="s">
        <v>589</v>
      </c>
      <c r="T569" t="s">
        <v>44</v>
      </c>
      <c r="U569" t="s">
        <v>81</v>
      </c>
      <c r="AA569" t="s">
        <v>119</v>
      </c>
      <c r="AC569" t="s">
        <v>590</v>
      </c>
      <c r="AE569" t="s">
        <v>591</v>
      </c>
    </row>
    <row r="570" spans="1:33" x14ac:dyDescent="0.3">
      <c r="A570">
        <v>1374</v>
      </c>
      <c r="B570" t="s">
        <v>3607</v>
      </c>
      <c r="C570" t="str">
        <f>"1100003148934"</f>
        <v>1100003148934</v>
      </c>
      <c r="D570" t="str">
        <f>"340700E00"</f>
        <v>340700E00</v>
      </c>
      <c r="E570" s="1">
        <v>32233</v>
      </c>
      <c r="F570" t="s">
        <v>3608</v>
      </c>
      <c r="G570" t="e">
        <f>INDEX(#REF!,MATCH(P570,#REF!,0),1)</f>
        <v>#REF!</v>
      </c>
      <c r="H570" t="s">
        <v>3609</v>
      </c>
      <c r="J570" t="s">
        <v>584</v>
      </c>
      <c r="K570" t="s">
        <v>77</v>
      </c>
      <c r="L570" t="s">
        <v>3610</v>
      </c>
      <c r="M570" t="s">
        <v>3611</v>
      </c>
      <c r="N570">
        <v>1372</v>
      </c>
      <c r="O570" t="s">
        <v>587</v>
      </c>
      <c r="P570">
        <v>1372</v>
      </c>
      <c r="Q570" t="s">
        <v>587</v>
      </c>
      <c r="R570" t="s">
        <v>588</v>
      </c>
      <c r="S570" t="s">
        <v>589</v>
      </c>
      <c r="T570" t="s">
        <v>44</v>
      </c>
      <c r="U570" t="s">
        <v>45</v>
      </c>
      <c r="AA570" t="s">
        <v>119</v>
      </c>
      <c r="AC570" t="s">
        <v>590</v>
      </c>
      <c r="AE570" t="s">
        <v>591</v>
      </c>
    </row>
    <row r="571" spans="1:33" x14ac:dyDescent="0.3">
      <c r="A571">
        <v>1376</v>
      </c>
      <c r="B571" t="s">
        <v>3612</v>
      </c>
      <c r="C571" t="str">
        <f>""</f>
        <v/>
      </c>
      <c r="D571" t="str">
        <f>"130090D00"</f>
        <v>130090D00</v>
      </c>
      <c r="E571" s="1">
        <v>34608</v>
      </c>
      <c r="F571" t="s">
        <v>3613</v>
      </c>
      <c r="G571" t="e">
        <f>INDEX(#REF!,MATCH(P571,#REF!,0),1)</f>
        <v>#REF!</v>
      </c>
      <c r="H571" t="s">
        <v>3614</v>
      </c>
      <c r="J571" t="s">
        <v>2900</v>
      </c>
      <c r="K571" t="s">
        <v>425</v>
      </c>
      <c r="L571" t="str">
        <f>"05855-9820"</f>
        <v>05855-9820</v>
      </c>
      <c r="M571" t="s">
        <v>3615</v>
      </c>
      <c r="N571">
        <v>155</v>
      </c>
      <c r="O571" t="s">
        <v>55</v>
      </c>
      <c r="P571">
        <v>48026</v>
      </c>
      <c r="Q571" t="s">
        <v>3616</v>
      </c>
      <c r="R571" t="s">
        <v>56</v>
      </c>
      <c r="S571" t="s">
        <v>57</v>
      </c>
      <c r="T571" t="s">
        <v>44</v>
      </c>
      <c r="U571" t="s">
        <v>45</v>
      </c>
      <c r="AA571" t="s">
        <v>58</v>
      </c>
      <c r="AE571" t="s">
        <v>60</v>
      </c>
    </row>
    <row r="572" spans="1:33" x14ac:dyDescent="0.3">
      <c r="A572">
        <v>1379</v>
      </c>
      <c r="B572" t="s">
        <v>3617</v>
      </c>
      <c r="C572" t="str">
        <f>"1100004946034"</f>
        <v>1100004946034</v>
      </c>
      <c r="D572" t="str">
        <f>"211100500"</f>
        <v>211100500</v>
      </c>
      <c r="E572" s="1">
        <v>42583</v>
      </c>
      <c r="F572" t="s">
        <v>3618</v>
      </c>
      <c r="G572" t="e">
        <f>INDEX(#REF!,MATCH(P572,#REF!,0),1)</f>
        <v>#REF!</v>
      </c>
      <c r="H572" t="s">
        <v>3619</v>
      </c>
      <c r="J572" t="s">
        <v>3620</v>
      </c>
      <c r="K572" t="s">
        <v>2244</v>
      </c>
      <c r="L572">
        <v>14048</v>
      </c>
      <c r="M572" t="s">
        <v>3621</v>
      </c>
      <c r="N572">
        <v>1379</v>
      </c>
      <c r="O572" t="s">
        <v>3618</v>
      </c>
      <c r="P572">
        <v>1379</v>
      </c>
      <c r="Q572" t="s">
        <v>3618</v>
      </c>
      <c r="R572" t="s">
        <v>940</v>
      </c>
      <c r="S572" t="s">
        <v>941</v>
      </c>
      <c r="T572" t="s">
        <v>44</v>
      </c>
      <c r="U572" t="s">
        <v>45</v>
      </c>
    </row>
    <row r="573" spans="1:33" x14ac:dyDescent="0.3">
      <c r="A573">
        <v>1382</v>
      </c>
      <c r="B573" t="s">
        <v>3622</v>
      </c>
      <c r="C573" t="str">
        <f>"1100003266157"</f>
        <v>1100003266157</v>
      </c>
      <c r="D573" t="str">
        <f>"320490I00"</f>
        <v>320490I00</v>
      </c>
      <c r="E573" s="1">
        <v>43615</v>
      </c>
      <c r="F573" t="s">
        <v>3623</v>
      </c>
      <c r="G573" t="e">
        <f>INDEX(#REF!,MATCH(P573,#REF!,0),1)</f>
        <v>#REF!</v>
      </c>
      <c r="H573" t="s">
        <v>3624</v>
      </c>
      <c r="J573" t="s">
        <v>1526</v>
      </c>
      <c r="K573" t="s">
        <v>982</v>
      </c>
      <c r="L573" t="s">
        <v>3625</v>
      </c>
      <c r="M573" t="s">
        <v>3626</v>
      </c>
      <c r="N573">
        <v>2449824</v>
      </c>
      <c r="O573" t="s">
        <v>1005</v>
      </c>
      <c r="P573">
        <v>2449824</v>
      </c>
      <c r="Q573" t="s">
        <v>1005</v>
      </c>
      <c r="R573" t="s">
        <v>1006</v>
      </c>
      <c r="S573" t="s">
        <v>1007</v>
      </c>
      <c r="T573" t="s">
        <v>44</v>
      </c>
      <c r="U573" t="s">
        <v>45</v>
      </c>
      <c r="AE573" t="s">
        <v>186</v>
      </c>
      <c r="AG573" t="s">
        <v>48</v>
      </c>
    </row>
    <row r="574" spans="1:33" x14ac:dyDescent="0.3">
      <c r="A574">
        <v>1392</v>
      </c>
      <c r="B574" t="s">
        <v>3627</v>
      </c>
      <c r="C574" t="str">
        <f>"1100094282616"</f>
        <v>1100094282616</v>
      </c>
      <c r="D574" t="str">
        <f>"930130G00"</f>
        <v>930130G00</v>
      </c>
      <c r="E574" s="1">
        <v>42627</v>
      </c>
      <c r="F574" t="s">
        <v>3628</v>
      </c>
      <c r="G574" t="e">
        <f>INDEX(#REF!,MATCH(P574,#REF!,0),1)</f>
        <v>#REF!</v>
      </c>
      <c r="H574" t="s">
        <v>3629</v>
      </c>
      <c r="J574" t="s">
        <v>3630</v>
      </c>
      <c r="K574" t="s">
        <v>88</v>
      </c>
      <c r="L574" t="s">
        <v>3631</v>
      </c>
      <c r="M574" t="s">
        <v>3632</v>
      </c>
      <c r="N574">
        <v>2623502</v>
      </c>
      <c r="O574" t="s">
        <v>3633</v>
      </c>
      <c r="P574">
        <v>2623502</v>
      </c>
      <c r="Q574" t="s">
        <v>3633</v>
      </c>
      <c r="R574" t="s">
        <v>1571</v>
      </c>
      <c r="S574" t="s">
        <v>1572</v>
      </c>
      <c r="T574" t="s">
        <v>44</v>
      </c>
      <c r="U574" t="s">
        <v>45</v>
      </c>
      <c r="AE574" t="s">
        <v>60</v>
      </c>
      <c r="AG574" t="s">
        <v>48</v>
      </c>
    </row>
    <row r="575" spans="1:33" x14ac:dyDescent="0.3">
      <c r="A575">
        <v>1393</v>
      </c>
      <c r="B575" t="s">
        <v>3634</v>
      </c>
      <c r="C575" t="str">
        <f>"1100003502750"</f>
        <v>1100003502750</v>
      </c>
      <c r="D575" t="str">
        <f>"440260G00"</f>
        <v>440260G00</v>
      </c>
      <c r="E575" s="1">
        <v>34366</v>
      </c>
      <c r="F575" t="s">
        <v>3635</v>
      </c>
      <c r="G575" t="e">
        <f>INDEX(#REF!,MATCH(P575,#REF!,0),1)</f>
        <v>#REF!</v>
      </c>
      <c r="H575" t="s">
        <v>3636</v>
      </c>
      <c r="J575" t="s">
        <v>3637</v>
      </c>
      <c r="K575" t="s">
        <v>261</v>
      </c>
      <c r="L575" t="s">
        <v>3638</v>
      </c>
      <c r="M575" t="s">
        <v>3639</v>
      </c>
      <c r="N575">
        <v>4168349</v>
      </c>
      <c r="O575" t="s">
        <v>264</v>
      </c>
      <c r="P575">
        <v>7852</v>
      </c>
      <c r="Q575" t="s">
        <v>687</v>
      </c>
      <c r="R575" t="s">
        <v>266</v>
      </c>
      <c r="S575" t="s">
        <v>267</v>
      </c>
      <c r="T575" t="s">
        <v>44</v>
      </c>
      <c r="U575" t="s">
        <v>3640</v>
      </c>
      <c r="Y575" t="s">
        <v>46</v>
      </c>
      <c r="Z575" s="1">
        <v>44835</v>
      </c>
      <c r="AC575" t="s">
        <v>268</v>
      </c>
      <c r="AE575" t="s">
        <v>269</v>
      </c>
      <c r="AG575" t="s">
        <v>48</v>
      </c>
    </row>
    <row r="576" spans="1:33" x14ac:dyDescent="0.3">
      <c r="A576">
        <v>1395</v>
      </c>
      <c r="B576" t="s">
        <v>3641</v>
      </c>
      <c r="C576" t="str">
        <f>"1100002799564"</f>
        <v>1100002799564</v>
      </c>
      <c r="D576" t="str">
        <f>"442060G00"</f>
        <v>442060G00</v>
      </c>
      <c r="E576" s="1">
        <v>34366</v>
      </c>
      <c r="F576" t="s">
        <v>3642</v>
      </c>
      <c r="G576" t="e">
        <f>INDEX(#REF!,MATCH(P576,#REF!,0),1)</f>
        <v>#REF!</v>
      </c>
      <c r="H576" t="s">
        <v>3643</v>
      </c>
      <c r="J576" t="s">
        <v>3644</v>
      </c>
      <c r="K576" t="s">
        <v>261</v>
      </c>
      <c r="L576" t="s">
        <v>3645</v>
      </c>
      <c r="M576" t="s">
        <v>3646</v>
      </c>
      <c r="N576">
        <v>275</v>
      </c>
      <c r="O576" t="s">
        <v>1061</v>
      </c>
      <c r="P576">
        <v>275</v>
      </c>
      <c r="Q576" t="s">
        <v>1061</v>
      </c>
      <c r="R576" t="s">
        <v>310</v>
      </c>
      <c r="S576" t="s">
        <v>311</v>
      </c>
      <c r="T576" t="s">
        <v>44</v>
      </c>
      <c r="U576" t="s">
        <v>45</v>
      </c>
    </row>
    <row r="577" spans="1:33" x14ac:dyDescent="0.3">
      <c r="A577">
        <v>1396</v>
      </c>
      <c r="B577" t="s">
        <v>3647</v>
      </c>
      <c r="C577" t="str">
        <f>""</f>
        <v/>
      </c>
      <c r="D577" t="str">
        <f>"451120D00"</f>
        <v>451120D00</v>
      </c>
      <c r="E577" s="1">
        <v>34366</v>
      </c>
      <c r="F577" t="s">
        <v>3648</v>
      </c>
      <c r="G577" t="e">
        <f>INDEX(#REF!,MATCH(P577,#REF!,0),1)</f>
        <v>#REF!</v>
      </c>
      <c r="H577" t="s">
        <v>3649</v>
      </c>
      <c r="J577" t="s">
        <v>3650</v>
      </c>
      <c r="K577" t="s">
        <v>208</v>
      </c>
      <c r="L577" t="s">
        <v>3651</v>
      </c>
      <c r="M577" t="s">
        <v>3652</v>
      </c>
      <c r="N577">
        <v>405</v>
      </c>
      <c r="O577" t="s">
        <v>1488</v>
      </c>
      <c r="P577">
        <v>405</v>
      </c>
      <c r="Q577" t="s">
        <v>1488</v>
      </c>
      <c r="R577" t="s">
        <v>419</v>
      </c>
      <c r="S577" t="s">
        <v>420</v>
      </c>
      <c r="T577" t="s">
        <v>44</v>
      </c>
      <c r="U577" t="s">
        <v>45</v>
      </c>
      <c r="AA577" t="s">
        <v>119</v>
      </c>
      <c r="AE577" t="s">
        <v>120</v>
      </c>
    </row>
    <row r="578" spans="1:33" x14ac:dyDescent="0.3">
      <c r="A578">
        <v>1412</v>
      </c>
      <c r="B578" t="s">
        <v>3653</v>
      </c>
      <c r="C578" t="str">
        <f>"1100002672539"</f>
        <v>1100002672539</v>
      </c>
      <c r="D578" t="str">
        <f>"341670L00"</f>
        <v>341670L00</v>
      </c>
      <c r="E578" s="1">
        <v>40212</v>
      </c>
      <c r="F578" t="s">
        <v>3654</v>
      </c>
      <c r="G578" t="e">
        <f>INDEX(#REF!,MATCH(P578,#REF!,0),1)</f>
        <v>#REF!</v>
      </c>
      <c r="H578" t="s">
        <v>3655</v>
      </c>
      <c r="J578" t="s">
        <v>3656</v>
      </c>
      <c r="K578" t="s">
        <v>77</v>
      </c>
      <c r="L578">
        <v>22191</v>
      </c>
      <c r="M578" t="s">
        <v>3657</v>
      </c>
      <c r="N578">
        <v>9</v>
      </c>
      <c r="O578" t="s">
        <v>74</v>
      </c>
      <c r="P578">
        <v>9</v>
      </c>
      <c r="Q578" t="s">
        <v>74</v>
      </c>
      <c r="R578" t="s">
        <v>79</v>
      </c>
      <c r="S578" t="s">
        <v>80</v>
      </c>
      <c r="T578" t="s">
        <v>44</v>
      </c>
      <c r="U578" t="s">
        <v>45</v>
      </c>
      <c r="AA578" t="s">
        <v>82</v>
      </c>
      <c r="AE578" t="s">
        <v>83</v>
      </c>
      <c r="AG578" t="s">
        <v>48</v>
      </c>
    </row>
    <row r="579" spans="1:33" x14ac:dyDescent="0.3">
      <c r="A579">
        <v>1414</v>
      </c>
      <c r="B579" t="s">
        <v>3658</v>
      </c>
      <c r="C579" t="str">
        <f>"1100094986231"</f>
        <v>1100094986231</v>
      </c>
      <c r="D579" t="str">
        <f>"380290M00"</f>
        <v>380290M00</v>
      </c>
      <c r="E579" s="1">
        <v>34394</v>
      </c>
      <c r="F579" t="s">
        <v>3659</v>
      </c>
      <c r="G579" t="e">
        <f>INDEX(#REF!,MATCH(P579,#REF!,0),1)</f>
        <v>#REF!</v>
      </c>
      <c r="H579" t="s">
        <v>3660</v>
      </c>
      <c r="J579" t="s">
        <v>1510</v>
      </c>
      <c r="K579" t="s">
        <v>99</v>
      </c>
      <c r="L579" t="s">
        <v>3661</v>
      </c>
      <c r="M579" t="s">
        <v>3662</v>
      </c>
      <c r="N579">
        <v>2625226</v>
      </c>
      <c r="O579" t="s">
        <v>2109</v>
      </c>
      <c r="P579">
        <v>2625226</v>
      </c>
      <c r="Q579" t="s">
        <v>2109</v>
      </c>
      <c r="R579" t="s">
        <v>434</v>
      </c>
      <c r="S579" t="s">
        <v>435</v>
      </c>
      <c r="T579" t="s">
        <v>44</v>
      </c>
      <c r="U579" t="s">
        <v>45</v>
      </c>
    </row>
    <row r="580" spans="1:33" x14ac:dyDescent="0.3">
      <c r="A580">
        <v>1415</v>
      </c>
      <c r="B580" t="s">
        <v>3663</v>
      </c>
      <c r="C580" t="str">
        <f>"1100005777750"</f>
        <v>1100005777750</v>
      </c>
      <c r="D580" t="str">
        <f>"743090N00"</f>
        <v>743090N00</v>
      </c>
      <c r="E580" s="1">
        <v>34395</v>
      </c>
      <c r="F580" t="s">
        <v>3664</v>
      </c>
      <c r="G580" t="e">
        <f>INDEX(#REF!,MATCH(P580,#REF!,0),1)</f>
        <v>#REF!</v>
      </c>
      <c r="H580" t="s">
        <v>3665</v>
      </c>
      <c r="J580" t="s">
        <v>675</v>
      </c>
      <c r="K580" t="s">
        <v>676</v>
      </c>
      <c r="L580" t="s">
        <v>3666</v>
      </c>
      <c r="M580" t="s">
        <v>3667</v>
      </c>
      <c r="N580">
        <v>170</v>
      </c>
      <c r="O580" t="s">
        <v>673</v>
      </c>
      <c r="P580">
        <v>170</v>
      </c>
      <c r="Q580" t="s">
        <v>673</v>
      </c>
      <c r="R580" t="s">
        <v>679</v>
      </c>
      <c r="S580" t="s">
        <v>680</v>
      </c>
      <c r="T580" t="s">
        <v>44</v>
      </c>
      <c r="U580" t="s">
        <v>45</v>
      </c>
      <c r="AA580" t="s">
        <v>105</v>
      </c>
      <c r="AE580" t="s">
        <v>106</v>
      </c>
      <c r="AG580" t="s">
        <v>48</v>
      </c>
    </row>
    <row r="581" spans="1:33" x14ac:dyDescent="0.3">
      <c r="A581">
        <v>1417</v>
      </c>
      <c r="B581" t="s">
        <v>3668</v>
      </c>
      <c r="C581" t="str">
        <f>""</f>
        <v/>
      </c>
      <c r="D581" t="str">
        <f>"AI9RK8K00"</f>
        <v>AI9RK8K00</v>
      </c>
      <c r="E581" s="1">
        <v>34486</v>
      </c>
      <c r="F581" t="s">
        <v>3669</v>
      </c>
      <c r="G581" t="e">
        <f>INDEX(#REF!,MATCH(P581,#REF!,0),1)</f>
        <v>#REF!</v>
      </c>
      <c r="H581" t="s">
        <v>3670</v>
      </c>
      <c r="J581" t="s">
        <v>3671</v>
      </c>
      <c r="K581" t="s">
        <v>208</v>
      </c>
      <c r="L581" t="s">
        <v>3672</v>
      </c>
      <c r="M581" t="s">
        <v>3673</v>
      </c>
      <c r="N581">
        <v>405</v>
      </c>
      <c r="O581" t="s">
        <v>1488</v>
      </c>
      <c r="P581">
        <v>405</v>
      </c>
      <c r="Q581" t="s">
        <v>1488</v>
      </c>
      <c r="R581" t="s">
        <v>3159</v>
      </c>
      <c r="S581" t="s">
        <v>3160</v>
      </c>
      <c r="T581" t="s">
        <v>3674</v>
      </c>
      <c r="U581" t="s">
        <v>3675</v>
      </c>
      <c r="V581" t="s">
        <v>1824</v>
      </c>
      <c r="AA581" t="s">
        <v>119</v>
      </c>
      <c r="AE581" t="s">
        <v>120</v>
      </c>
    </row>
    <row r="582" spans="1:33" x14ac:dyDescent="0.3">
      <c r="A582">
        <v>1418</v>
      </c>
      <c r="B582" t="s">
        <v>3676</v>
      </c>
      <c r="C582" t="str">
        <f>""</f>
        <v/>
      </c>
      <c r="D582" t="str">
        <f>"660610J00"</f>
        <v>660610J00</v>
      </c>
      <c r="E582" s="1">
        <v>34394</v>
      </c>
      <c r="F582" t="s">
        <v>3677</v>
      </c>
      <c r="G582" t="e">
        <f>INDEX(#REF!,MATCH(P582,#REF!,0),1)</f>
        <v>#REF!</v>
      </c>
      <c r="H582" t="s">
        <v>3678</v>
      </c>
      <c r="J582" t="s">
        <v>3679</v>
      </c>
      <c r="K582" t="s">
        <v>727</v>
      </c>
      <c r="L582" t="s">
        <v>3680</v>
      </c>
      <c r="M582" t="s">
        <v>3681</v>
      </c>
      <c r="N582">
        <v>43715</v>
      </c>
      <c r="O582" t="s">
        <v>1591</v>
      </c>
      <c r="P582">
        <v>43715</v>
      </c>
      <c r="Q582" t="s">
        <v>1591</v>
      </c>
      <c r="R582" t="s">
        <v>325</v>
      </c>
      <c r="S582" t="s">
        <v>326</v>
      </c>
      <c r="T582" t="s">
        <v>44</v>
      </c>
      <c r="U582" t="s">
        <v>45</v>
      </c>
      <c r="AA582" t="s">
        <v>327</v>
      </c>
      <c r="AD582" t="s">
        <v>94</v>
      </c>
      <c r="AE582" t="s">
        <v>1522</v>
      </c>
    </row>
    <row r="583" spans="1:33" x14ac:dyDescent="0.3">
      <c r="A583">
        <v>1419</v>
      </c>
      <c r="B583" t="s">
        <v>3682</v>
      </c>
      <c r="C583" t="str">
        <f>""</f>
        <v/>
      </c>
      <c r="D583" t="str">
        <f>"350120B00"</f>
        <v>350120B00</v>
      </c>
      <c r="E583" s="1">
        <v>28417</v>
      </c>
      <c r="F583" t="s">
        <v>3683</v>
      </c>
      <c r="G583" t="e">
        <f>INDEX(#REF!,MATCH(P583,#REF!,0),1)</f>
        <v>#REF!</v>
      </c>
      <c r="H583" t="s">
        <v>3684</v>
      </c>
      <c r="J583" t="s">
        <v>2367</v>
      </c>
      <c r="K583" t="s">
        <v>235</v>
      </c>
      <c r="L583">
        <v>25302</v>
      </c>
      <c r="M583" t="s">
        <v>3685</v>
      </c>
      <c r="N583">
        <v>4240221</v>
      </c>
      <c r="O583" t="s">
        <v>3362</v>
      </c>
      <c r="P583">
        <v>2623076</v>
      </c>
      <c r="Q583" t="s">
        <v>3363</v>
      </c>
      <c r="R583" t="s">
        <v>588</v>
      </c>
      <c r="S583" t="s">
        <v>589</v>
      </c>
      <c r="T583" t="s">
        <v>44</v>
      </c>
      <c r="U583" t="s">
        <v>45</v>
      </c>
      <c r="AA583" t="s">
        <v>105</v>
      </c>
      <c r="AE583" t="s">
        <v>106</v>
      </c>
      <c r="AG583" t="s">
        <v>48</v>
      </c>
    </row>
    <row r="584" spans="1:33" x14ac:dyDescent="0.3">
      <c r="A584">
        <v>1420</v>
      </c>
      <c r="B584" t="s">
        <v>3686</v>
      </c>
      <c r="C584" t="str">
        <f>""</f>
        <v/>
      </c>
      <c r="D584" t="str">
        <f>"431940L00"</f>
        <v>431940L00</v>
      </c>
      <c r="E584" s="1">
        <v>42583</v>
      </c>
      <c r="F584" t="s">
        <v>3687</v>
      </c>
      <c r="G584" t="e">
        <f>INDEX(#REF!,MATCH(P584,#REF!,0),1)</f>
        <v>#REF!</v>
      </c>
      <c r="H584" t="s">
        <v>3688</v>
      </c>
      <c r="J584" t="s">
        <v>3689</v>
      </c>
      <c r="K584" t="s">
        <v>342</v>
      </c>
      <c r="L584">
        <v>61342</v>
      </c>
      <c r="M584" t="s">
        <v>3690</v>
      </c>
      <c r="N584">
        <v>1420</v>
      </c>
      <c r="O584" t="s">
        <v>3687</v>
      </c>
      <c r="P584">
        <v>1420</v>
      </c>
      <c r="Q584" t="s">
        <v>3687</v>
      </c>
      <c r="R584" t="s">
        <v>245</v>
      </c>
      <c r="S584" t="s">
        <v>246</v>
      </c>
      <c r="T584" t="s">
        <v>44</v>
      </c>
      <c r="U584" t="s">
        <v>45</v>
      </c>
    </row>
    <row r="585" spans="1:33" x14ac:dyDescent="0.3">
      <c r="A585">
        <v>1421</v>
      </c>
      <c r="B585" t="s">
        <v>3691</v>
      </c>
      <c r="C585" t="str">
        <f>"1100002892524"</f>
        <v>1100002892524</v>
      </c>
      <c r="D585" t="str">
        <f>""</f>
        <v/>
      </c>
      <c r="E585" s="1">
        <v>41091</v>
      </c>
      <c r="F585" t="s">
        <v>280</v>
      </c>
      <c r="G585" t="e">
        <f>INDEX(#REF!,MATCH(P585,#REF!,0),1)</f>
        <v>#REF!</v>
      </c>
      <c r="H585" t="s">
        <v>281</v>
      </c>
      <c r="J585" t="s">
        <v>282</v>
      </c>
      <c r="K585" t="s">
        <v>283</v>
      </c>
      <c r="L585" t="s">
        <v>284</v>
      </c>
      <c r="M585" t="s">
        <v>285</v>
      </c>
      <c r="N585">
        <v>1421</v>
      </c>
      <c r="O585" t="s">
        <v>280</v>
      </c>
      <c r="P585">
        <v>1421</v>
      </c>
      <c r="Q585" t="s">
        <v>280</v>
      </c>
      <c r="R585" t="s">
        <v>286</v>
      </c>
      <c r="S585" t="s">
        <v>287</v>
      </c>
      <c r="T585" t="s">
        <v>44</v>
      </c>
      <c r="U585" t="s">
        <v>81</v>
      </c>
      <c r="X585" t="s">
        <v>289</v>
      </c>
      <c r="AA585" t="s">
        <v>119</v>
      </c>
      <c r="AB585" t="s">
        <v>290</v>
      </c>
      <c r="AG585" t="s">
        <v>48</v>
      </c>
    </row>
    <row r="586" spans="1:33" x14ac:dyDescent="0.3">
      <c r="A586">
        <v>1440</v>
      </c>
      <c r="B586" t="s">
        <v>3692</v>
      </c>
      <c r="C586" t="str">
        <f>"1100002837754"</f>
        <v>1100002837754</v>
      </c>
      <c r="D586" t="str">
        <f>"C53E7AF00"</f>
        <v>C53E7AF00</v>
      </c>
      <c r="E586" s="1">
        <v>31397</v>
      </c>
      <c r="F586" t="s">
        <v>3693</v>
      </c>
      <c r="G586" t="e">
        <f>INDEX(#REF!,MATCH(P586,#REF!,0),1)</f>
        <v>#REF!</v>
      </c>
      <c r="H586" t="s">
        <v>3694</v>
      </c>
      <c r="J586" t="s">
        <v>3695</v>
      </c>
      <c r="K586" t="s">
        <v>125</v>
      </c>
      <c r="L586" t="s">
        <v>3696</v>
      </c>
      <c r="M586" t="s">
        <v>3697</v>
      </c>
      <c r="N586">
        <v>1667</v>
      </c>
      <c r="O586" t="s">
        <v>1791</v>
      </c>
      <c r="P586">
        <v>1667</v>
      </c>
      <c r="Q586" t="s">
        <v>1791</v>
      </c>
      <c r="R586" t="s">
        <v>102</v>
      </c>
      <c r="S586" t="s">
        <v>103</v>
      </c>
      <c r="T586" t="s">
        <v>44</v>
      </c>
      <c r="U586" t="s">
        <v>45</v>
      </c>
      <c r="AA586" t="s">
        <v>105</v>
      </c>
      <c r="AB586" t="s">
        <v>93</v>
      </c>
      <c r="AE586" t="s">
        <v>106</v>
      </c>
    </row>
    <row r="587" spans="1:33" x14ac:dyDescent="0.3">
      <c r="A587">
        <v>1441</v>
      </c>
      <c r="B587" t="s">
        <v>3698</v>
      </c>
      <c r="C587" t="str">
        <f>""</f>
        <v/>
      </c>
      <c r="D587" t="str">
        <f>"2BQC0GV00"</f>
        <v>2BQC0GV00</v>
      </c>
      <c r="E587" s="1">
        <v>43101</v>
      </c>
      <c r="F587" t="s">
        <v>1942</v>
      </c>
      <c r="G587" t="e">
        <f>INDEX(#REF!,MATCH(P587,#REF!,0),1)</f>
        <v>#REF!</v>
      </c>
      <c r="H587" t="s">
        <v>3699</v>
      </c>
      <c r="J587" t="s">
        <v>1946</v>
      </c>
      <c r="K587" t="s">
        <v>125</v>
      </c>
      <c r="L587">
        <v>35976</v>
      </c>
      <c r="M587" t="s">
        <v>1941</v>
      </c>
      <c r="N587">
        <v>1667</v>
      </c>
      <c r="O587" t="s">
        <v>1791</v>
      </c>
      <c r="P587">
        <v>1667</v>
      </c>
      <c r="Q587" t="s">
        <v>1791</v>
      </c>
      <c r="R587" t="s">
        <v>102</v>
      </c>
      <c r="S587" t="s">
        <v>103</v>
      </c>
      <c r="T587" t="s">
        <v>44</v>
      </c>
      <c r="U587" t="s">
        <v>81</v>
      </c>
      <c r="AA587" t="s">
        <v>105</v>
      </c>
      <c r="AE587" t="s">
        <v>106</v>
      </c>
    </row>
    <row r="588" spans="1:33" x14ac:dyDescent="0.3">
      <c r="A588">
        <v>1446</v>
      </c>
      <c r="B588" t="s">
        <v>3700</v>
      </c>
      <c r="C588" t="str">
        <f>"1100002538552"</f>
        <v>1100002538552</v>
      </c>
      <c r="D588" t="str">
        <f>"361330G00"</f>
        <v>361330G00</v>
      </c>
      <c r="E588" s="1">
        <v>42583</v>
      </c>
      <c r="F588" t="s">
        <v>3701</v>
      </c>
      <c r="G588" t="e">
        <f>INDEX(#REF!,MATCH(P588,#REF!,0),1)</f>
        <v>#REF!</v>
      </c>
      <c r="H588" t="s">
        <v>3702</v>
      </c>
      <c r="J588" t="s">
        <v>3703</v>
      </c>
      <c r="K588" t="s">
        <v>384</v>
      </c>
      <c r="L588">
        <v>28139</v>
      </c>
      <c r="M588" t="s">
        <v>3704</v>
      </c>
      <c r="N588">
        <v>1446</v>
      </c>
      <c r="O588" t="s">
        <v>3701</v>
      </c>
      <c r="P588">
        <v>1446</v>
      </c>
      <c r="Q588" t="s">
        <v>3701</v>
      </c>
      <c r="R588" t="s">
        <v>2331</v>
      </c>
      <c r="S588" t="s">
        <v>2332</v>
      </c>
      <c r="T588" t="s">
        <v>44</v>
      </c>
      <c r="U588" t="s">
        <v>45</v>
      </c>
      <c r="AC588" t="s">
        <v>2333</v>
      </c>
    </row>
    <row r="589" spans="1:33" x14ac:dyDescent="0.3">
      <c r="A589">
        <v>1451</v>
      </c>
      <c r="B589" t="s">
        <v>3705</v>
      </c>
      <c r="C589" t="str">
        <f>"1100004489692"</f>
        <v>1100004489692</v>
      </c>
      <c r="D589" t="str">
        <f>"520820H00"</f>
        <v>520820H00</v>
      </c>
      <c r="E589" s="1">
        <v>35551</v>
      </c>
      <c r="F589" t="s">
        <v>3706</v>
      </c>
      <c r="G589" t="e">
        <f>INDEX(#REF!,MATCH(P589,#REF!,0),1)</f>
        <v>#REF!</v>
      </c>
      <c r="H589" t="s">
        <v>3707</v>
      </c>
      <c r="J589" t="s">
        <v>430</v>
      </c>
      <c r="K589" t="s">
        <v>139</v>
      </c>
      <c r="L589">
        <v>37920</v>
      </c>
      <c r="M589" t="s">
        <v>3708</v>
      </c>
      <c r="N589">
        <v>1451</v>
      </c>
      <c r="O589" t="s">
        <v>3706</v>
      </c>
      <c r="P589">
        <v>1451</v>
      </c>
      <c r="Q589" t="s">
        <v>3706</v>
      </c>
      <c r="R589" t="s">
        <v>245</v>
      </c>
      <c r="S589" t="s">
        <v>246</v>
      </c>
      <c r="T589" t="s">
        <v>44</v>
      </c>
      <c r="U589" t="s">
        <v>45</v>
      </c>
    </row>
    <row r="590" spans="1:33" x14ac:dyDescent="0.3">
      <c r="A590">
        <v>1479</v>
      </c>
      <c r="B590" t="s">
        <v>3709</v>
      </c>
      <c r="C590" t="str">
        <f>"1100005089273"</f>
        <v>1100005089273</v>
      </c>
      <c r="D590" t="str">
        <f>"E1FHYMV00"</f>
        <v>E1FHYMV00</v>
      </c>
      <c r="E590" s="1">
        <v>34191</v>
      </c>
      <c r="F590" t="s">
        <v>3710</v>
      </c>
      <c r="G590" t="e">
        <f>INDEX(#REF!,MATCH(P590,#REF!,0),1)</f>
        <v>#REF!</v>
      </c>
      <c r="H590" t="s">
        <v>3711</v>
      </c>
      <c r="J590" t="s">
        <v>2145</v>
      </c>
      <c r="K590" t="s">
        <v>2451</v>
      </c>
      <c r="L590" t="s">
        <v>3712</v>
      </c>
      <c r="M590" t="s">
        <v>3713</v>
      </c>
      <c r="N590">
        <v>60113</v>
      </c>
      <c r="O590" t="s">
        <v>2453</v>
      </c>
      <c r="P590">
        <v>659</v>
      </c>
      <c r="Q590" t="s">
        <v>2449</v>
      </c>
      <c r="R590" t="s">
        <v>2477</v>
      </c>
      <c r="S590" t="s">
        <v>2478</v>
      </c>
      <c r="T590" t="s">
        <v>2140</v>
      </c>
      <c r="U590" t="s">
        <v>2141</v>
      </c>
      <c r="V590" t="s">
        <v>1824</v>
      </c>
      <c r="Y590" t="s">
        <v>1317</v>
      </c>
      <c r="Z590" s="1">
        <v>45474</v>
      </c>
      <c r="AA590" t="s">
        <v>82</v>
      </c>
      <c r="AD590" t="s">
        <v>94</v>
      </c>
      <c r="AE590" t="s">
        <v>83</v>
      </c>
      <c r="AG590" t="s">
        <v>48</v>
      </c>
    </row>
    <row r="591" spans="1:33" x14ac:dyDescent="0.3">
      <c r="A591">
        <v>1488</v>
      </c>
      <c r="B591" t="s">
        <v>3714</v>
      </c>
      <c r="C591" t="str">
        <f>"1100005717312"</f>
        <v>1100005717312</v>
      </c>
      <c r="D591" t="str">
        <f>"140600B00"</f>
        <v>140600B00</v>
      </c>
      <c r="E591" s="1">
        <v>42583</v>
      </c>
      <c r="F591" t="s">
        <v>3715</v>
      </c>
      <c r="G591" t="e">
        <f>INDEX(#REF!,MATCH(P591,#REF!,0),1)</f>
        <v>#REF!</v>
      </c>
      <c r="H591" t="s">
        <v>3716</v>
      </c>
      <c r="J591" t="s">
        <v>2736</v>
      </c>
      <c r="K591" t="s">
        <v>2004</v>
      </c>
      <c r="L591" t="str">
        <f>"02720"</f>
        <v>02720</v>
      </c>
      <c r="M591" t="s">
        <v>3717</v>
      </c>
      <c r="N591">
        <v>86164</v>
      </c>
      <c r="O591" t="s">
        <v>3718</v>
      </c>
      <c r="P591">
        <v>86164</v>
      </c>
      <c r="Q591" t="s">
        <v>3718</v>
      </c>
      <c r="R591" t="s">
        <v>1301</v>
      </c>
      <c r="S591" t="s">
        <v>1302</v>
      </c>
      <c r="T591" t="s">
        <v>44</v>
      </c>
      <c r="U591" t="s">
        <v>45</v>
      </c>
    </row>
    <row r="592" spans="1:33" x14ac:dyDescent="0.3">
      <c r="A592">
        <v>1490</v>
      </c>
      <c r="B592" t="s">
        <v>3719</v>
      </c>
      <c r="C592" t="str">
        <f>"1100005793231"</f>
        <v>1100005793231</v>
      </c>
      <c r="D592" t="str">
        <f>"4229T0AF1"</f>
        <v>4229T0AF1</v>
      </c>
      <c r="E592" s="1">
        <v>42583</v>
      </c>
      <c r="F592" t="s">
        <v>3720</v>
      </c>
      <c r="G592" t="e">
        <f>INDEX(#REF!,MATCH(P592,#REF!,0),1)</f>
        <v>#REF!</v>
      </c>
      <c r="H592" t="s">
        <v>3721</v>
      </c>
      <c r="J592" t="s">
        <v>315</v>
      </c>
      <c r="K592" t="s">
        <v>65</v>
      </c>
      <c r="L592" t="s">
        <v>3722</v>
      </c>
      <c r="M592" t="s">
        <v>3723</v>
      </c>
      <c r="N592">
        <v>53913</v>
      </c>
      <c r="O592" t="s">
        <v>318</v>
      </c>
      <c r="P592">
        <v>53913</v>
      </c>
      <c r="Q592" t="s">
        <v>318</v>
      </c>
      <c r="R592" t="s">
        <v>245</v>
      </c>
      <c r="S592" t="s">
        <v>246</v>
      </c>
      <c r="T592" t="s">
        <v>2140</v>
      </c>
      <c r="U592" t="s">
        <v>2141</v>
      </c>
    </row>
    <row r="593" spans="1:33" x14ac:dyDescent="0.3">
      <c r="A593">
        <v>1500</v>
      </c>
      <c r="B593" t="s">
        <v>3724</v>
      </c>
      <c r="C593" t="str">
        <f>""</f>
        <v/>
      </c>
      <c r="D593" t="str">
        <f>"441530H00"</f>
        <v>441530H00</v>
      </c>
      <c r="E593" s="1">
        <v>42248</v>
      </c>
      <c r="F593" t="s">
        <v>3725</v>
      </c>
      <c r="G593" t="e">
        <f>INDEX(#REF!,MATCH(P593,#REF!,0),1)</f>
        <v>#REF!</v>
      </c>
      <c r="H593" t="s">
        <v>3726</v>
      </c>
      <c r="J593" t="s">
        <v>958</v>
      </c>
      <c r="K593" t="s">
        <v>261</v>
      </c>
      <c r="L593" t="s">
        <v>3727</v>
      </c>
      <c r="M593" t="s">
        <v>3728</v>
      </c>
      <c r="N593">
        <v>3548</v>
      </c>
      <c r="O593" t="s">
        <v>2222</v>
      </c>
      <c r="P593">
        <v>3548</v>
      </c>
      <c r="Q593" t="s">
        <v>2222</v>
      </c>
      <c r="R593" t="s">
        <v>335</v>
      </c>
      <c r="S593" t="s">
        <v>336</v>
      </c>
      <c r="T593" t="s">
        <v>44</v>
      </c>
      <c r="U593" t="s">
        <v>45</v>
      </c>
      <c r="Y593" t="s">
        <v>46</v>
      </c>
      <c r="Z593" s="1">
        <v>42248</v>
      </c>
      <c r="AE593" t="s">
        <v>47</v>
      </c>
      <c r="AG593" t="s">
        <v>48</v>
      </c>
    </row>
    <row r="594" spans="1:33" x14ac:dyDescent="0.3">
      <c r="A594">
        <v>1506</v>
      </c>
      <c r="B594" t="s">
        <v>3729</v>
      </c>
      <c r="C594" t="str">
        <f>""</f>
        <v/>
      </c>
      <c r="D594" t="str">
        <f>"CNU4YOJ00"</f>
        <v>CNU4YOJ00</v>
      </c>
      <c r="E594" s="1">
        <v>40695</v>
      </c>
      <c r="F594" t="s">
        <v>3730</v>
      </c>
      <c r="G594" t="e">
        <f>INDEX(#REF!,MATCH(P594,#REF!,0),1)</f>
        <v>#REF!</v>
      </c>
      <c r="H594" t="s">
        <v>3731</v>
      </c>
      <c r="J594" t="s">
        <v>3732</v>
      </c>
      <c r="K594" t="s">
        <v>65</v>
      </c>
      <c r="L594" t="s">
        <v>3733</v>
      </c>
      <c r="M594" t="s">
        <v>3734</v>
      </c>
      <c r="N594">
        <v>60701</v>
      </c>
      <c r="O594" t="s">
        <v>3735</v>
      </c>
      <c r="P594">
        <v>60701</v>
      </c>
      <c r="Q594" t="s">
        <v>3735</v>
      </c>
      <c r="R594" t="s">
        <v>3736</v>
      </c>
      <c r="S594" t="s">
        <v>3737</v>
      </c>
      <c r="T594" t="s">
        <v>3141</v>
      </c>
      <c r="U594" t="s">
        <v>3738</v>
      </c>
      <c r="V594" t="s">
        <v>2215</v>
      </c>
    </row>
    <row r="595" spans="1:33" x14ac:dyDescent="0.3">
      <c r="A595">
        <v>1507</v>
      </c>
      <c r="B595" t="s">
        <v>3739</v>
      </c>
      <c r="C595" t="str">
        <f>"1100004852106"</f>
        <v>1100004852106</v>
      </c>
      <c r="D595" t="str">
        <f>"G90L8K200"</f>
        <v>G90L8K200</v>
      </c>
      <c r="E595" s="1">
        <v>34207</v>
      </c>
      <c r="F595" t="s">
        <v>3740</v>
      </c>
      <c r="G595" t="e">
        <f>INDEX(#REF!,MATCH(P595,#REF!,0),1)</f>
        <v>#REF!</v>
      </c>
      <c r="H595" t="s">
        <v>3741</v>
      </c>
      <c r="J595" t="s">
        <v>1358</v>
      </c>
      <c r="K595" t="s">
        <v>37</v>
      </c>
      <c r="L595" t="s">
        <v>3742</v>
      </c>
      <c r="M595" t="s">
        <v>3743</v>
      </c>
      <c r="N595">
        <v>210</v>
      </c>
      <c r="O595" t="s">
        <v>840</v>
      </c>
      <c r="P595">
        <v>364</v>
      </c>
      <c r="Q595" t="s">
        <v>1356</v>
      </c>
      <c r="R595" t="s">
        <v>3744</v>
      </c>
      <c r="S595" t="s">
        <v>3745</v>
      </c>
      <c r="T595" t="s">
        <v>2140</v>
      </c>
      <c r="U595" t="s">
        <v>2141</v>
      </c>
      <c r="V595" t="s">
        <v>1824</v>
      </c>
      <c r="Y595" t="s">
        <v>46</v>
      </c>
      <c r="Z595" s="1">
        <v>42370</v>
      </c>
      <c r="AE595" t="s">
        <v>47</v>
      </c>
    </row>
    <row r="596" spans="1:33" x14ac:dyDescent="0.3">
      <c r="A596">
        <v>1510</v>
      </c>
      <c r="B596" t="s">
        <v>3746</v>
      </c>
      <c r="C596" t="str">
        <f>""</f>
        <v/>
      </c>
      <c r="D596" t="str">
        <f>"11ENDBR00"</f>
        <v>11ENDBR00</v>
      </c>
      <c r="E596" s="1">
        <v>34186</v>
      </c>
      <c r="F596" t="s">
        <v>3747</v>
      </c>
      <c r="G596" t="e">
        <f>INDEX(#REF!,MATCH(P596,#REF!,0),1)</f>
        <v>#REF!</v>
      </c>
      <c r="H596" t="s">
        <v>3748</v>
      </c>
      <c r="J596" t="s">
        <v>525</v>
      </c>
      <c r="K596" t="s">
        <v>99</v>
      </c>
      <c r="L596" t="s">
        <v>3749</v>
      </c>
      <c r="M596" t="s">
        <v>3750</v>
      </c>
      <c r="N596">
        <v>35682</v>
      </c>
      <c r="O596" t="s">
        <v>528</v>
      </c>
      <c r="P596">
        <v>134</v>
      </c>
      <c r="Q596" t="s">
        <v>523</v>
      </c>
      <c r="R596" t="s">
        <v>3751</v>
      </c>
      <c r="S596" t="s">
        <v>3752</v>
      </c>
      <c r="T596" t="s">
        <v>3141</v>
      </c>
      <c r="U596" t="s">
        <v>3738</v>
      </c>
      <c r="V596" t="s">
        <v>1824</v>
      </c>
      <c r="AA596" t="s">
        <v>105</v>
      </c>
      <c r="AE596" t="s">
        <v>106</v>
      </c>
    </row>
    <row r="597" spans="1:33" x14ac:dyDescent="0.3">
      <c r="A597">
        <v>1515</v>
      </c>
      <c r="B597" t="s">
        <v>3753</v>
      </c>
      <c r="C597" t="str">
        <f>"1100002004545"</f>
        <v>1100002004545</v>
      </c>
      <c r="D597" t="str">
        <f>"231160DF1"</f>
        <v>231160DF1</v>
      </c>
      <c r="E597" s="1">
        <v>34241</v>
      </c>
      <c r="F597" t="s">
        <v>3754</v>
      </c>
      <c r="G597" t="e">
        <f>INDEX(#REF!,MATCH(P597,#REF!,0),1)</f>
        <v>#REF!</v>
      </c>
      <c r="H597" t="s">
        <v>1996</v>
      </c>
      <c r="J597" t="s">
        <v>1540</v>
      </c>
      <c r="K597" t="s">
        <v>65</v>
      </c>
      <c r="L597" t="s">
        <v>3755</v>
      </c>
      <c r="M597" t="s">
        <v>3756</v>
      </c>
      <c r="N597">
        <v>4007</v>
      </c>
      <c r="O597" t="s">
        <v>276</v>
      </c>
      <c r="P597">
        <v>544</v>
      </c>
      <c r="Q597" t="s">
        <v>1995</v>
      </c>
      <c r="R597" t="s">
        <v>277</v>
      </c>
      <c r="S597" t="s">
        <v>278</v>
      </c>
      <c r="T597" t="s">
        <v>2140</v>
      </c>
      <c r="U597" t="s">
        <v>2141</v>
      </c>
      <c r="AG597" t="s">
        <v>48</v>
      </c>
    </row>
    <row r="598" spans="1:33" x14ac:dyDescent="0.3">
      <c r="A598">
        <v>1520</v>
      </c>
      <c r="B598" t="s">
        <v>3757</v>
      </c>
      <c r="C598" t="str">
        <f>""</f>
        <v/>
      </c>
      <c r="D598" t="str">
        <f>"230290G00"</f>
        <v>230290G00</v>
      </c>
      <c r="E598" s="1">
        <v>44409</v>
      </c>
      <c r="F598" t="s">
        <v>3758</v>
      </c>
      <c r="G598" t="e">
        <f>INDEX(#REF!,MATCH(P598,#REF!,0),1)</f>
        <v>#REF!</v>
      </c>
      <c r="H598" t="s">
        <v>3759</v>
      </c>
      <c r="J598" t="s">
        <v>3760</v>
      </c>
      <c r="K598" t="s">
        <v>65</v>
      </c>
      <c r="L598">
        <v>19007</v>
      </c>
      <c r="M598" t="s">
        <v>3761</v>
      </c>
      <c r="N598">
        <v>1085888</v>
      </c>
      <c r="O598" t="s">
        <v>3762</v>
      </c>
      <c r="P598">
        <v>1085888</v>
      </c>
      <c r="Q598" t="s">
        <v>3762</v>
      </c>
      <c r="R598" t="s">
        <v>245</v>
      </c>
      <c r="S598" t="s">
        <v>246</v>
      </c>
      <c r="T598" t="s">
        <v>44</v>
      </c>
      <c r="U598" t="s">
        <v>45</v>
      </c>
    </row>
    <row r="599" spans="1:33" x14ac:dyDescent="0.3">
      <c r="A599">
        <v>1523</v>
      </c>
      <c r="B599" t="s">
        <v>3763</v>
      </c>
      <c r="C599" t="str">
        <f>""</f>
        <v/>
      </c>
      <c r="D599" t="str">
        <f>"212240B00"</f>
        <v>212240B00</v>
      </c>
      <c r="E599" s="1">
        <v>42583</v>
      </c>
      <c r="F599" t="s">
        <v>3764</v>
      </c>
      <c r="G599" t="e">
        <f>INDEX(#REF!,MATCH(P599,#REF!,0),1)</f>
        <v>#REF!</v>
      </c>
      <c r="H599" t="s">
        <v>3765</v>
      </c>
      <c r="J599" t="s">
        <v>2556</v>
      </c>
      <c r="K599" t="s">
        <v>2244</v>
      </c>
      <c r="L599">
        <v>10025</v>
      </c>
      <c r="M599" t="s">
        <v>3766</v>
      </c>
      <c r="N599">
        <v>42618</v>
      </c>
      <c r="O599" t="s">
        <v>3767</v>
      </c>
      <c r="P599">
        <v>42618</v>
      </c>
      <c r="Q599" t="s">
        <v>3767</v>
      </c>
      <c r="R599" t="s">
        <v>1301</v>
      </c>
      <c r="S599" t="s">
        <v>1302</v>
      </c>
      <c r="T599" t="s">
        <v>44</v>
      </c>
      <c r="U599" t="s">
        <v>45</v>
      </c>
    </row>
    <row r="600" spans="1:33" x14ac:dyDescent="0.3">
      <c r="A600">
        <v>1524</v>
      </c>
      <c r="B600" t="s">
        <v>3768</v>
      </c>
      <c r="C600" t="str">
        <f>""</f>
        <v/>
      </c>
      <c r="D600" t="str">
        <f>"380870Q00"</f>
        <v>380870Q00</v>
      </c>
      <c r="E600" s="1">
        <v>34425</v>
      </c>
      <c r="F600" t="s">
        <v>3769</v>
      </c>
      <c r="G600" t="e">
        <f>INDEX(#REF!,MATCH(P600,#REF!,0),1)</f>
        <v>#REF!</v>
      </c>
      <c r="H600" t="s">
        <v>3770</v>
      </c>
      <c r="J600" t="s">
        <v>3771</v>
      </c>
      <c r="K600" t="s">
        <v>99</v>
      </c>
      <c r="L600">
        <v>30141</v>
      </c>
      <c r="M600" t="s">
        <v>3772</v>
      </c>
      <c r="N600">
        <v>43807</v>
      </c>
      <c r="O600" t="s">
        <v>1798</v>
      </c>
      <c r="P600">
        <v>562</v>
      </c>
      <c r="Q600" t="s">
        <v>2052</v>
      </c>
      <c r="R600" t="s">
        <v>1799</v>
      </c>
      <c r="S600" t="s">
        <v>1800</v>
      </c>
      <c r="T600" t="s">
        <v>44</v>
      </c>
      <c r="U600" t="s">
        <v>45</v>
      </c>
      <c r="AA600" t="s">
        <v>105</v>
      </c>
      <c r="AE600" t="s">
        <v>106</v>
      </c>
    </row>
    <row r="601" spans="1:33" x14ac:dyDescent="0.3">
      <c r="A601">
        <v>1525</v>
      </c>
      <c r="B601" t="s">
        <v>3773</v>
      </c>
      <c r="C601" t="str">
        <f>"1100002838188"</f>
        <v>1100002838188</v>
      </c>
      <c r="D601" t="str">
        <f>"631150G00"</f>
        <v>631150G00</v>
      </c>
      <c r="E601" s="1">
        <v>34425</v>
      </c>
      <c r="F601" t="s">
        <v>3774</v>
      </c>
      <c r="G601" t="e">
        <f>INDEX(#REF!,MATCH(P601,#REF!,0),1)</f>
        <v>#REF!</v>
      </c>
      <c r="H601" t="s">
        <v>3775</v>
      </c>
      <c r="J601" t="s">
        <v>3776</v>
      </c>
      <c r="K601" t="s">
        <v>177</v>
      </c>
      <c r="L601" t="s">
        <v>3777</v>
      </c>
      <c r="M601" t="s">
        <v>3778</v>
      </c>
      <c r="N601">
        <v>3602</v>
      </c>
      <c r="O601" t="s">
        <v>1857</v>
      </c>
      <c r="P601">
        <v>3602</v>
      </c>
      <c r="Q601" t="s">
        <v>1857</v>
      </c>
      <c r="R601" t="s">
        <v>1309</v>
      </c>
      <c r="S601" t="s">
        <v>1310</v>
      </c>
      <c r="T601" t="s">
        <v>44</v>
      </c>
      <c r="U601" t="s">
        <v>45</v>
      </c>
      <c r="AA601" t="s">
        <v>119</v>
      </c>
      <c r="AE601" t="s">
        <v>348</v>
      </c>
    </row>
    <row r="602" spans="1:33" x14ac:dyDescent="0.3">
      <c r="A602">
        <v>1529</v>
      </c>
      <c r="B602" t="s">
        <v>3779</v>
      </c>
      <c r="C602" t="str">
        <f>""</f>
        <v/>
      </c>
      <c r="D602" t="str">
        <f>"208CC8600"</f>
        <v>208CC8600</v>
      </c>
      <c r="E602" s="1">
        <v>43045</v>
      </c>
      <c r="F602" t="s">
        <v>3780</v>
      </c>
      <c r="G602" t="e">
        <f>INDEX(#REF!,MATCH(P602,#REF!,0),1)</f>
        <v>#REF!</v>
      </c>
      <c r="H602" t="s">
        <v>3781</v>
      </c>
      <c r="J602" t="s">
        <v>3534</v>
      </c>
      <c r="K602" t="s">
        <v>835</v>
      </c>
      <c r="L602" t="s">
        <v>3782</v>
      </c>
      <c r="M602" t="s">
        <v>3783</v>
      </c>
      <c r="N602">
        <v>30537</v>
      </c>
      <c r="O602" t="s">
        <v>838</v>
      </c>
      <c r="P602">
        <v>1340</v>
      </c>
      <c r="Q602" t="s">
        <v>3532</v>
      </c>
      <c r="R602" t="s">
        <v>228</v>
      </c>
      <c r="S602" t="s">
        <v>229</v>
      </c>
      <c r="T602" t="s">
        <v>2214</v>
      </c>
      <c r="U602" t="s">
        <v>2214</v>
      </c>
      <c r="AA602" t="s">
        <v>119</v>
      </c>
      <c r="AE602" t="s">
        <v>120</v>
      </c>
    </row>
    <row r="603" spans="1:33" x14ac:dyDescent="0.3">
      <c r="A603">
        <v>1530</v>
      </c>
      <c r="B603" t="s">
        <v>3784</v>
      </c>
      <c r="C603" t="str">
        <f>""</f>
        <v/>
      </c>
      <c r="D603" t="str">
        <f>"01JWEOI00"</f>
        <v>01JWEOI00</v>
      </c>
      <c r="E603" s="1">
        <v>34204</v>
      </c>
      <c r="F603" t="s">
        <v>3785</v>
      </c>
      <c r="G603" t="e">
        <f>INDEX(#REF!,MATCH(P603,#REF!,0),1)</f>
        <v>#REF!</v>
      </c>
      <c r="H603" t="s">
        <v>3786</v>
      </c>
      <c r="J603" t="s">
        <v>622</v>
      </c>
      <c r="K603" t="s">
        <v>77</v>
      </c>
      <c r="L603" t="s">
        <v>3787</v>
      </c>
      <c r="M603" t="s">
        <v>3788</v>
      </c>
      <c r="N603">
        <v>1131</v>
      </c>
      <c r="O603" t="s">
        <v>625</v>
      </c>
      <c r="P603">
        <v>56635</v>
      </c>
      <c r="Q603" t="s">
        <v>3789</v>
      </c>
      <c r="R603" t="s">
        <v>2275</v>
      </c>
      <c r="S603" t="s">
        <v>2276</v>
      </c>
      <c r="T603" t="s">
        <v>2140</v>
      </c>
      <c r="U603" t="s">
        <v>2141</v>
      </c>
      <c r="V603" t="s">
        <v>1824</v>
      </c>
      <c r="AC603" t="s">
        <v>590</v>
      </c>
      <c r="AD603" t="s">
        <v>94</v>
      </c>
      <c r="AE603" t="s">
        <v>591</v>
      </c>
    </row>
    <row r="604" spans="1:33" x14ac:dyDescent="0.3">
      <c r="A604">
        <v>1531</v>
      </c>
      <c r="B604" t="s">
        <v>3790</v>
      </c>
      <c r="C604" t="str">
        <f>"1100003692789"</f>
        <v>1100003692789</v>
      </c>
      <c r="D604" t="str">
        <f>"AK4K48U00"</f>
        <v>AK4K48U00</v>
      </c>
      <c r="E604" s="1">
        <v>38961</v>
      </c>
      <c r="F604" t="s">
        <v>3791</v>
      </c>
      <c r="G604" t="e">
        <f>INDEX(#REF!,MATCH(P604,#REF!,0),1)</f>
        <v>#REF!</v>
      </c>
      <c r="H604" t="s">
        <v>3792</v>
      </c>
      <c r="J604" t="s">
        <v>1280</v>
      </c>
      <c r="K604" t="s">
        <v>425</v>
      </c>
      <c r="L604" t="str">
        <f>"05401"</f>
        <v>05401</v>
      </c>
      <c r="M604" t="s">
        <v>3793</v>
      </c>
      <c r="N604">
        <v>2108</v>
      </c>
      <c r="O604" t="s">
        <v>1282</v>
      </c>
      <c r="P604">
        <v>2108</v>
      </c>
      <c r="Q604" t="s">
        <v>1282</v>
      </c>
      <c r="R604" t="s">
        <v>1283</v>
      </c>
      <c r="S604" t="s">
        <v>1284</v>
      </c>
      <c r="T604" t="s">
        <v>2140</v>
      </c>
      <c r="U604" t="s">
        <v>2141</v>
      </c>
      <c r="AE604" t="s">
        <v>60</v>
      </c>
      <c r="AG604" t="s">
        <v>48</v>
      </c>
    </row>
    <row r="605" spans="1:33" x14ac:dyDescent="0.3">
      <c r="A605">
        <v>1538</v>
      </c>
      <c r="B605" t="s">
        <v>3794</v>
      </c>
      <c r="C605" t="str">
        <f>""</f>
        <v/>
      </c>
      <c r="D605" t="str">
        <f>"RHGBY1Y00"</f>
        <v>RHGBY1Y00</v>
      </c>
      <c r="E605" s="1">
        <v>34205</v>
      </c>
      <c r="F605" t="s">
        <v>3795</v>
      </c>
      <c r="G605" t="e">
        <f>INDEX(#REF!,MATCH(P605,#REF!,0),1)</f>
        <v>#REF!</v>
      </c>
      <c r="H605" t="s">
        <v>3796</v>
      </c>
      <c r="J605" t="s">
        <v>675</v>
      </c>
      <c r="K605" t="s">
        <v>676</v>
      </c>
      <c r="L605" t="s">
        <v>3797</v>
      </c>
      <c r="M605" t="s">
        <v>3798</v>
      </c>
      <c r="N605">
        <v>170</v>
      </c>
      <c r="O605" t="s">
        <v>673</v>
      </c>
      <c r="P605">
        <v>170</v>
      </c>
      <c r="Q605" t="s">
        <v>673</v>
      </c>
      <c r="R605" t="s">
        <v>3799</v>
      </c>
      <c r="S605" t="s">
        <v>3800</v>
      </c>
      <c r="T605" t="s">
        <v>3141</v>
      </c>
      <c r="U605" t="s">
        <v>3738</v>
      </c>
      <c r="V605" t="s">
        <v>1824</v>
      </c>
      <c r="AA605" t="s">
        <v>105</v>
      </c>
      <c r="AE605" t="s">
        <v>106</v>
      </c>
      <c r="AG605" t="s">
        <v>48</v>
      </c>
    </row>
    <row r="606" spans="1:33" x14ac:dyDescent="0.3">
      <c r="A606">
        <v>1540</v>
      </c>
      <c r="B606" t="s">
        <v>3801</v>
      </c>
      <c r="C606" t="str">
        <f>"1100005934405"</f>
        <v>1100005934405</v>
      </c>
      <c r="D606" t="str">
        <f>"DCSCBAE00"</f>
        <v>DCSCBAE00</v>
      </c>
      <c r="E606" s="1">
        <v>34201</v>
      </c>
      <c r="F606" t="s">
        <v>3802</v>
      </c>
      <c r="G606" t="e">
        <f>INDEX(#REF!,MATCH(P606,#REF!,0),1)</f>
        <v>#REF!</v>
      </c>
      <c r="H606" t="s">
        <v>3803</v>
      </c>
      <c r="J606" t="s">
        <v>3804</v>
      </c>
      <c r="K606" t="s">
        <v>37</v>
      </c>
      <c r="L606" t="s">
        <v>3805</v>
      </c>
      <c r="M606" t="s">
        <v>3806</v>
      </c>
      <c r="N606">
        <v>707715</v>
      </c>
      <c r="O606" t="s">
        <v>635</v>
      </c>
      <c r="P606">
        <v>1292</v>
      </c>
      <c r="Q606" t="s">
        <v>3414</v>
      </c>
      <c r="R606" t="s">
        <v>3807</v>
      </c>
      <c r="S606" t="s">
        <v>3808</v>
      </c>
      <c r="T606" t="s">
        <v>3141</v>
      </c>
      <c r="U606" t="s">
        <v>3738</v>
      </c>
      <c r="V606" t="s">
        <v>1824</v>
      </c>
      <c r="AA606" t="s">
        <v>58</v>
      </c>
      <c r="AE606" t="s">
        <v>269</v>
      </c>
      <c r="AG606" t="s">
        <v>48</v>
      </c>
    </row>
    <row r="607" spans="1:33" x14ac:dyDescent="0.3">
      <c r="A607">
        <v>1542</v>
      </c>
      <c r="B607" t="s">
        <v>3809</v>
      </c>
      <c r="C607" t="str">
        <f>""</f>
        <v/>
      </c>
      <c r="D607" t="str">
        <f>"S77BI7600"</f>
        <v>S77BI7600</v>
      </c>
      <c r="E607" s="1">
        <v>34212</v>
      </c>
      <c r="F607" t="s">
        <v>3810</v>
      </c>
      <c r="G607" t="e">
        <f>INDEX(#REF!,MATCH(P607,#REF!,0),1)</f>
        <v>#REF!</v>
      </c>
      <c r="H607" t="s">
        <v>627</v>
      </c>
      <c r="J607" t="s">
        <v>1991</v>
      </c>
      <c r="K607" t="s">
        <v>37</v>
      </c>
      <c r="L607" t="s">
        <v>3811</v>
      </c>
      <c r="M607" t="s">
        <v>3812</v>
      </c>
      <c r="N607">
        <v>707715</v>
      </c>
      <c r="O607" t="s">
        <v>635</v>
      </c>
      <c r="P607">
        <v>782222</v>
      </c>
      <c r="Q607" t="s">
        <v>3813</v>
      </c>
      <c r="R607" t="s">
        <v>3807</v>
      </c>
      <c r="S607" t="s">
        <v>3808</v>
      </c>
      <c r="T607" t="s">
        <v>2140</v>
      </c>
      <c r="U607" t="s">
        <v>2141</v>
      </c>
      <c r="V607" t="s">
        <v>1824</v>
      </c>
      <c r="AA607" t="s">
        <v>58</v>
      </c>
      <c r="AG607" t="s">
        <v>48</v>
      </c>
    </row>
    <row r="608" spans="1:33" x14ac:dyDescent="0.3">
      <c r="A608">
        <v>1546</v>
      </c>
      <c r="B608" t="s">
        <v>3814</v>
      </c>
      <c r="C608" t="str">
        <f>""</f>
        <v/>
      </c>
      <c r="D608" t="str">
        <f>"6AAW6D500"</f>
        <v>6AAW6D500</v>
      </c>
      <c r="E608" s="1">
        <v>34289</v>
      </c>
      <c r="F608" t="s">
        <v>3815</v>
      </c>
      <c r="G608" t="e">
        <f>INDEX(#REF!,MATCH(P608,#REF!,0),1)</f>
        <v>#REF!</v>
      </c>
      <c r="H608" t="s">
        <v>3816</v>
      </c>
      <c r="J608" t="s">
        <v>2126</v>
      </c>
      <c r="K608" t="s">
        <v>2127</v>
      </c>
      <c r="L608" t="s">
        <v>3817</v>
      </c>
      <c r="M608" t="s">
        <v>3818</v>
      </c>
      <c r="N608">
        <v>41172</v>
      </c>
      <c r="O608" t="s">
        <v>2130</v>
      </c>
      <c r="P608">
        <v>3080764</v>
      </c>
      <c r="Q608" t="s">
        <v>3350</v>
      </c>
      <c r="R608" t="s">
        <v>3139</v>
      </c>
      <c r="S608" t="s">
        <v>3140</v>
      </c>
      <c r="T608" t="s">
        <v>2140</v>
      </c>
      <c r="U608" t="s">
        <v>2141</v>
      </c>
      <c r="V608" t="s">
        <v>1824</v>
      </c>
      <c r="AC608" t="s">
        <v>538</v>
      </c>
      <c r="AD608" t="s">
        <v>94</v>
      </c>
      <c r="AE608" t="s">
        <v>539</v>
      </c>
    </row>
    <row r="609" spans="1:33" x14ac:dyDescent="0.3">
      <c r="A609">
        <v>1550</v>
      </c>
      <c r="B609" t="s">
        <v>3819</v>
      </c>
      <c r="C609" t="str">
        <f>"1100095452025"</f>
        <v>1100095452025</v>
      </c>
      <c r="D609" t="str">
        <f>""</f>
        <v/>
      </c>
      <c r="E609" s="1">
        <v>34186</v>
      </c>
      <c r="F609" t="s">
        <v>3820</v>
      </c>
      <c r="G609" t="e">
        <f>INDEX(#REF!,MATCH(P609,#REF!,0),1)</f>
        <v>#REF!</v>
      </c>
      <c r="H609" t="s">
        <v>3821</v>
      </c>
      <c r="J609" t="s">
        <v>3822</v>
      </c>
      <c r="K609" t="s">
        <v>261</v>
      </c>
      <c r="L609" t="s">
        <v>3823</v>
      </c>
      <c r="M609" t="s">
        <v>3824</v>
      </c>
      <c r="N609">
        <v>4168349</v>
      </c>
      <c r="O609" t="s">
        <v>264</v>
      </c>
      <c r="P609">
        <v>281</v>
      </c>
      <c r="Q609" t="s">
        <v>758</v>
      </c>
      <c r="R609" t="s">
        <v>2550</v>
      </c>
      <c r="S609" t="s">
        <v>2551</v>
      </c>
      <c r="T609" t="s">
        <v>2140</v>
      </c>
      <c r="U609" t="s">
        <v>2141</v>
      </c>
      <c r="V609" t="s">
        <v>1824</v>
      </c>
      <c r="Y609" t="s">
        <v>46</v>
      </c>
      <c r="Z609" s="1">
        <v>45709</v>
      </c>
      <c r="AE609" t="s">
        <v>269</v>
      </c>
      <c r="AG609" t="s">
        <v>48</v>
      </c>
    </row>
    <row r="610" spans="1:33" x14ac:dyDescent="0.3">
      <c r="A610">
        <v>1552</v>
      </c>
      <c r="B610" t="s">
        <v>3825</v>
      </c>
      <c r="C610" t="str">
        <f>"1100003893353"</f>
        <v>1100003893353</v>
      </c>
      <c r="D610" t="str">
        <f>"5BVJ11W00"</f>
        <v>5BVJ11W00</v>
      </c>
      <c r="E610" s="1">
        <v>34186</v>
      </c>
      <c r="F610" t="s">
        <v>3826</v>
      </c>
      <c r="G610" t="e">
        <f>INDEX(#REF!,MATCH(P610,#REF!,0),1)</f>
        <v>#REF!</v>
      </c>
      <c r="H610" t="s">
        <v>3827</v>
      </c>
      <c r="J610" t="s">
        <v>755</v>
      </c>
      <c r="K610" t="s">
        <v>261</v>
      </c>
      <c r="L610" t="s">
        <v>3828</v>
      </c>
      <c r="M610" t="s">
        <v>3829</v>
      </c>
      <c r="N610">
        <v>4168349</v>
      </c>
      <c r="O610" t="s">
        <v>264</v>
      </c>
      <c r="P610">
        <v>281</v>
      </c>
      <c r="Q610" t="s">
        <v>758</v>
      </c>
      <c r="R610" t="s">
        <v>2550</v>
      </c>
      <c r="S610" t="s">
        <v>2551</v>
      </c>
      <c r="T610" t="s">
        <v>2140</v>
      </c>
      <c r="U610" t="s">
        <v>2141</v>
      </c>
      <c r="V610" t="s">
        <v>1824</v>
      </c>
      <c r="Y610" t="s">
        <v>46</v>
      </c>
      <c r="Z610" s="1">
        <v>45709</v>
      </c>
      <c r="AE610" t="s">
        <v>269</v>
      </c>
      <c r="AG610" t="s">
        <v>48</v>
      </c>
    </row>
    <row r="611" spans="1:33" x14ac:dyDescent="0.3">
      <c r="A611">
        <v>1554</v>
      </c>
      <c r="B611" t="s">
        <v>3830</v>
      </c>
      <c r="C611" t="str">
        <f>"1100002753214"</f>
        <v>1100002753214</v>
      </c>
      <c r="D611" t="str">
        <f>"721620IF3"</f>
        <v>721620IF3</v>
      </c>
      <c r="E611" s="1">
        <v>34208</v>
      </c>
      <c r="F611" t="s">
        <v>3831</v>
      </c>
      <c r="G611" t="e">
        <f>INDEX(#REF!,MATCH(P611,#REF!,0),1)</f>
        <v>#REF!</v>
      </c>
      <c r="H611" t="s">
        <v>774</v>
      </c>
      <c r="J611" t="s">
        <v>775</v>
      </c>
      <c r="K611" t="s">
        <v>353</v>
      </c>
      <c r="L611" t="s">
        <v>776</v>
      </c>
      <c r="M611" t="s">
        <v>3832</v>
      </c>
      <c r="N611">
        <v>2623348</v>
      </c>
      <c r="O611" t="s">
        <v>773</v>
      </c>
      <c r="P611">
        <v>1133</v>
      </c>
      <c r="Q611" t="s">
        <v>3203</v>
      </c>
      <c r="R611" t="s">
        <v>3372</v>
      </c>
      <c r="S611" t="s">
        <v>3373</v>
      </c>
      <c r="T611" t="s">
        <v>2140</v>
      </c>
      <c r="U611" t="s">
        <v>2141</v>
      </c>
      <c r="V611" t="s">
        <v>1824</v>
      </c>
      <c r="AA611" t="s">
        <v>93</v>
      </c>
      <c r="AE611" t="s">
        <v>220</v>
      </c>
      <c r="AG611" t="s">
        <v>48</v>
      </c>
    </row>
    <row r="612" spans="1:33" x14ac:dyDescent="0.3">
      <c r="A612">
        <v>1563</v>
      </c>
      <c r="B612" t="s">
        <v>3833</v>
      </c>
      <c r="C612" t="str">
        <f>""</f>
        <v/>
      </c>
      <c r="D612" t="str">
        <f>"3Y75Y4FF0"</f>
        <v>3Y75Y4FF0</v>
      </c>
      <c r="E612" s="1">
        <v>34191</v>
      </c>
      <c r="F612" t="s">
        <v>3834</v>
      </c>
      <c r="G612" t="e">
        <f>INDEX(#REF!,MATCH(P612,#REF!,0),1)</f>
        <v>#REF!</v>
      </c>
      <c r="H612" t="s">
        <v>3835</v>
      </c>
      <c r="J612" t="s">
        <v>2581</v>
      </c>
      <c r="K612" t="s">
        <v>307</v>
      </c>
      <c r="L612">
        <v>46805</v>
      </c>
      <c r="M612" t="s">
        <v>3836</v>
      </c>
      <c r="N612">
        <v>3087</v>
      </c>
      <c r="O612" t="s">
        <v>491</v>
      </c>
      <c r="P612">
        <v>705</v>
      </c>
      <c r="Q612" t="s">
        <v>2579</v>
      </c>
      <c r="R612" t="s">
        <v>3837</v>
      </c>
      <c r="S612" t="s">
        <v>3838</v>
      </c>
      <c r="T612" t="s">
        <v>3141</v>
      </c>
      <c r="U612" t="s">
        <v>3142</v>
      </c>
      <c r="V612" t="s">
        <v>1824</v>
      </c>
      <c r="AA612" t="s">
        <v>328</v>
      </c>
      <c r="AE612" t="s">
        <v>269</v>
      </c>
    </row>
    <row r="613" spans="1:33" x14ac:dyDescent="0.3">
      <c r="A613">
        <v>1566</v>
      </c>
      <c r="B613" t="s">
        <v>3839</v>
      </c>
      <c r="C613" t="str">
        <f>"1100004813954"</f>
        <v>1100004813954</v>
      </c>
      <c r="D613" t="str">
        <f>"8T07U8A00"</f>
        <v>8T07U8A00</v>
      </c>
      <c r="E613" s="1">
        <v>34212</v>
      </c>
      <c r="F613" t="s">
        <v>3840</v>
      </c>
      <c r="G613" t="e">
        <f>INDEX(#REF!,MATCH(P613,#REF!,0),1)</f>
        <v>#REF!</v>
      </c>
      <c r="H613" t="s">
        <v>3841</v>
      </c>
      <c r="J613" t="s">
        <v>446</v>
      </c>
      <c r="K613" t="s">
        <v>37</v>
      </c>
      <c r="L613">
        <v>43214</v>
      </c>
      <c r="M613" t="s">
        <v>3842</v>
      </c>
      <c r="N613">
        <v>210</v>
      </c>
      <c r="O613" t="s">
        <v>840</v>
      </c>
      <c r="P613">
        <v>822</v>
      </c>
      <c r="Q613" t="s">
        <v>2840</v>
      </c>
      <c r="R613" t="s">
        <v>3744</v>
      </c>
      <c r="S613" t="s">
        <v>3745</v>
      </c>
      <c r="T613" t="s">
        <v>2140</v>
      </c>
      <c r="U613" t="s">
        <v>2141</v>
      </c>
      <c r="V613" t="s">
        <v>1824</v>
      </c>
      <c r="Y613" t="s">
        <v>46</v>
      </c>
      <c r="Z613" s="1">
        <v>42370</v>
      </c>
      <c r="AE613" t="s">
        <v>47</v>
      </c>
    </row>
    <row r="614" spans="1:33" x14ac:dyDescent="0.3">
      <c r="A614">
        <v>1567</v>
      </c>
      <c r="B614" t="s">
        <v>3843</v>
      </c>
      <c r="C614" t="str">
        <f>"1100002416966"</f>
        <v>1100002416966</v>
      </c>
      <c r="D614" t="str">
        <f>"GFG7GB900"</f>
        <v>GFG7GB900</v>
      </c>
      <c r="E614" s="1">
        <v>43862</v>
      </c>
      <c r="F614" t="s">
        <v>3844</v>
      </c>
      <c r="G614" t="e">
        <f>INDEX(#REF!,MATCH(P614,#REF!,0),1)</f>
        <v>#REF!</v>
      </c>
      <c r="H614" t="s">
        <v>3845</v>
      </c>
      <c r="J614" t="s">
        <v>3846</v>
      </c>
      <c r="K614" t="s">
        <v>2368</v>
      </c>
      <c r="L614">
        <v>29461</v>
      </c>
      <c r="M614" t="s">
        <v>3847</v>
      </c>
      <c r="N614">
        <v>60195</v>
      </c>
      <c r="O614" t="s">
        <v>2370</v>
      </c>
      <c r="P614">
        <v>60195</v>
      </c>
      <c r="Q614" t="s">
        <v>2370</v>
      </c>
      <c r="R614" t="s">
        <v>2275</v>
      </c>
      <c r="S614" t="s">
        <v>2276</v>
      </c>
      <c r="T614" t="s">
        <v>117</v>
      </c>
      <c r="U614" t="s">
        <v>2479</v>
      </c>
      <c r="V614" t="s">
        <v>1824</v>
      </c>
      <c r="AA614" t="s">
        <v>105</v>
      </c>
      <c r="AE614" t="s">
        <v>106</v>
      </c>
    </row>
    <row r="615" spans="1:33" x14ac:dyDescent="0.3">
      <c r="A615">
        <v>1570</v>
      </c>
      <c r="B615" t="s">
        <v>3848</v>
      </c>
      <c r="C615" t="str">
        <f>"1100003370366"</f>
        <v>1100003370366</v>
      </c>
      <c r="D615" t="str">
        <f>"110BDWM00"</f>
        <v>110BDWM00</v>
      </c>
      <c r="E615" s="1">
        <v>34274</v>
      </c>
      <c r="F615" t="s">
        <v>3849</v>
      </c>
      <c r="G615" t="e">
        <f>INDEX(#REF!,MATCH(P615,#REF!,0),1)</f>
        <v>#REF!</v>
      </c>
      <c r="H615" t="s">
        <v>3850</v>
      </c>
      <c r="J615" t="s">
        <v>3851</v>
      </c>
      <c r="K615" t="s">
        <v>77</v>
      </c>
      <c r="L615" t="s">
        <v>3852</v>
      </c>
      <c r="M615" t="s">
        <v>3226</v>
      </c>
      <c r="N615">
        <v>9</v>
      </c>
      <c r="O615" t="s">
        <v>74</v>
      </c>
      <c r="P615">
        <v>43620</v>
      </c>
      <c r="Q615" t="s">
        <v>3853</v>
      </c>
      <c r="R615" t="s">
        <v>2477</v>
      </c>
      <c r="S615" t="s">
        <v>2478</v>
      </c>
      <c r="T615" t="s">
        <v>3141</v>
      </c>
      <c r="U615" t="s">
        <v>3854</v>
      </c>
      <c r="V615" t="s">
        <v>1824</v>
      </c>
      <c r="AA615" t="s">
        <v>82</v>
      </c>
      <c r="AE615" t="s">
        <v>83</v>
      </c>
      <c r="AG615" t="s">
        <v>48</v>
      </c>
    </row>
    <row r="616" spans="1:33" x14ac:dyDescent="0.3">
      <c r="A616">
        <v>1573</v>
      </c>
      <c r="B616" t="s">
        <v>3855</v>
      </c>
      <c r="C616" t="str">
        <f>"1100005137776"</f>
        <v>1100005137776</v>
      </c>
      <c r="D616" t="str">
        <f>"141130A00"</f>
        <v>141130A00</v>
      </c>
      <c r="E616" s="1">
        <v>42583</v>
      </c>
      <c r="F616" t="s">
        <v>3856</v>
      </c>
      <c r="G616" t="e">
        <f>INDEX(#REF!,MATCH(P616,#REF!,0),1)</f>
        <v>#REF!</v>
      </c>
      <c r="H616" t="s">
        <v>3857</v>
      </c>
      <c r="J616" t="s">
        <v>3858</v>
      </c>
      <c r="K616" t="s">
        <v>2004</v>
      </c>
      <c r="L616" t="str">
        <f>"02740"</f>
        <v>02740</v>
      </c>
      <c r="M616" t="s">
        <v>3859</v>
      </c>
      <c r="N616">
        <v>86164</v>
      </c>
      <c r="O616" t="s">
        <v>3718</v>
      </c>
      <c r="P616">
        <v>86164</v>
      </c>
      <c r="Q616" t="s">
        <v>3718</v>
      </c>
      <c r="R616" t="s">
        <v>1301</v>
      </c>
      <c r="S616" t="s">
        <v>1302</v>
      </c>
      <c r="T616" t="s">
        <v>44</v>
      </c>
      <c r="U616" t="s">
        <v>45</v>
      </c>
    </row>
    <row r="617" spans="1:33" x14ac:dyDescent="0.3">
      <c r="A617">
        <v>1575</v>
      </c>
      <c r="B617" t="s">
        <v>3860</v>
      </c>
      <c r="C617" t="str">
        <f>""</f>
        <v/>
      </c>
      <c r="D617" t="str">
        <f>"BZ4E6TR00"</f>
        <v>BZ4E6TR00</v>
      </c>
      <c r="E617" s="1">
        <v>41257</v>
      </c>
      <c r="F617" t="s">
        <v>3861</v>
      </c>
      <c r="G617" t="e">
        <f>INDEX(#REF!,MATCH(P617,#REF!,0),1)</f>
        <v>#REF!</v>
      </c>
      <c r="H617" t="s">
        <v>3862</v>
      </c>
      <c r="J617" t="s">
        <v>2483</v>
      </c>
      <c r="K617" t="s">
        <v>225</v>
      </c>
      <c r="L617" t="s">
        <v>3863</v>
      </c>
      <c r="M617" t="s">
        <v>3226</v>
      </c>
      <c r="N617">
        <v>3037807</v>
      </c>
      <c r="O617" t="s">
        <v>813</v>
      </c>
      <c r="P617">
        <v>681</v>
      </c>
      <c r="Q617" t="s">
        <v>2481</v>
      </c>
      <c r="R617" t="s">
        <v>3864</v>
      </c>
      <c r="S617" t="s">
        <v>3865</v>
      </c>
      <c r="T617" t="s">
        <v>2277</v>
      </c>
      <c r="U617" t="s">
        <v>2278</v>
      </c>
      <c r="V617" t="s">
        <v>1824</v>
      </c>
      <c r="AA617" t="s">
        <v>328</v>
      </c>
      <c r="AG617" t="s">
        <v>48</v>
      </c>
    </row>
    <row r="618" spans="1:33" x14ac:dyDescent="0.3">
      <c r="A618">
        <v>1581</v>
      </c>
      <c r="B618" t="s">
        <v>3866</v>
      </c>
      <c r="C618" t="str">
        <f>""</f>
        <v/>
      </c>
      <c r="D618" t="str">
        <f>"731330HF1"</f>
        <v>731330HF1</v>
      </c>
      <c r="E618" s="1">
        <v>34346</v>
      </c>
      <c r="F618" t="s">
        <v>3867</v>
      </c>
      <c r="G618" t="e">
        <f>INDEX(#REF!,MATCH(P618,#REF!,0),1)</f>
        <v>#REF!</v>
      </c>
      <c r="H618" t="s">
        <v>3868</v>
      </c>
      <c r="J618" t="s">
        <v>3869</v>
      </c>
      <c r="K618" t="s">
        <v>763</v>
      </c>
      <c r="L618" t="s">
        <v>3870</v>
      </c>
      <c r="M618" t="s">
        <v>3871</v>
      </c>
      <c r="N618">
        <v>7464</v>
      </c>
      <c r="O618" t="s">
        <v>3872</v>
      </c>
      <c r="P618">
        <v>7464</v>
      </c>
      <c r="Q618" t="s">
        <v>3872</v>
      </c>
      <c r="R618" t="s">
        <v>1821</v>
      </c>
      <c r="S618" t="s">
        <v>1822</v>
      </c>
      <c r="T618" t="s">
        <v>2140</v>
      </c>
      <c r="U618" t="s">
        <v>2141</v>
      </c>
      <c r="V618" t="s">
        <v>1824</v>
      </c>
      <c r="AA618" t="s">
        <v>119</v>
      </c>
    </row>
    <row r="619" spans="1:33" x14ac:dyDescent="0.3">
      <c r="A619">
        <v>1583</v>
      </c>
      <c r="B619" t="s">
        <v>3873</v>
      </c>
      <c r="C619" t="str">
        <f>""</f>
        <v/>
      </c>
      <c r="D619" t="str">
        <f>"7PCCZ3M00"</f>
        <v>7PCCZ3M00</v>
      </c>
      <c r="E619" s="1">
        <v>34206</v>
      </c>
      <c r="F619" t="s">
        <v>3874</v>
      </c>
      <c r="G619" t="e">
        <f>INDEX(#REF!,MATCH(P619,#REF!,0),1)</f>
        <v>#REF!</v>
      </c>
      <c r="H619" t="s">
        <v>3875</v>
      </c>
      <c r="J619" t="s">
        <v>964</v>
      </c>
      <c r="K619" t="s">
        <v>835</v>
      </c>
      <c r="L619" t="s">
        <v>3876</v>
      </c>
      <c r="M619" t="s">
        <v>3877</v>
      </c>
      <c r="N619">
        <v>250</v>
      </c>
      <c r="O619" t="s">
        <v>962</v>
      </c>
      <c r="P619">
        <v>77009</v>
      </c>
      <c r="Q619" t="s">
        <v>3878</v>
      </c>
      <c r="R619" t="s">
        <v>3159</v>
      </c>
      <c r="S619" t="s">
        <v>3160</v>
      </c>
      <c r="T619" t="s">
        <v>2140</v>
      </c>
      <c r="U619" t="s">
        <v>2141</v>
      </c>
      <c r="V619" t="s">
        <v>1824</v>
      </c>
      <c r="AA619" t="s">
        <v>119</v>
      </c>
      <c r="AE619" t="s">
        <v>348</v>
      </c>
    </row>
    <row r="620" spans="1:33" x14ac:dyDescent="0.3">
      <c r="A620">
        <v>1588</v>
      </c>
      <c r="B620" t="s">
        <v>3879</v>
      </c>
      <c r="C620" t="str">
        <f>""</f>
        <v/>
      </c>
      <c r="D620" t="str">
        <f>"L0C360600"</f>
        <v>L0C360600</v>
      </c>
      <c r="E620" s="1">
        <v>34326</v>
      </c>
      <c r="F620" t="s">
        <v>3880</v>
      </c>
      <c r="G620" t="e">
        <f>INDEX(#REF!,MATCH(P620,#REF!,0),1)</f>
        <v>#REF!</v>
      </c>
      <c r="H620" t="s">
        <v>3881</v>
      </c>
      <c r="J620" t="s">
        <v>1274</v>
      </c>
      <c r="K620" t="s">
        <v>1275</v>
      </c>
      <c r="L620" t="s">
        <v>3882</v>
      </c>
      <c r="M620" t="s">
        <v>3883</v>
      </c>
      <c r="N620">
        <v>340</v>
      </c>
      <c r="O620" t="s">
        <v>1272</v>
      </c>
      <c r="P620">
        <v>340</v>
      </c>
      <c r="Q620" t="s">
        <v>1272</v>
      </c>
      <c r="R620" t="s">
        <v>1821</v>
      </c>
      <c r="S620" t="s">
        <v>1822</v>
      </c>
      <c r="T620" t="s">
        <v>3141</v>
      </c>
      <c r="U620" t="s">
        <v>3142</v>
      </c>
      <c r="V620" t="s">
        <v>1824</v>
      </c>
      <c r="AA620" t="s">
        <v>119</v>
      </c>
      <c r="AB620" t="s">
        <v>327</v>
      </c>
      <c r="AD620" t="s">
        <v>94</v>
      </c>
    </row>
    <row r="621" spans="1:33" x14ac:dyDescent="0.3">
      <c r="A621">
        <v>1590</v>
      </c>
      <c r="B621" t="s">
        <v>3884</v>
      </c>
      <c r="C621" t="str">
        <f>""</f>
        <v/>
      </c>
      <c r="D621" t="str">
        <f>"WIOCNIJ00"</f>
        <v>WIOCNIJ00</v>
      </c>
      <c r="E621" s="1">
        <v>34220</v>
      </c>
      <c r="F621" t="s">
        <v>3885</v>
      </c>
      <c r="G621" t="e">
        <f>INDEX(#REF!,MATCH(P621,#REF!,0),1)</f>
        <v>#REF!</v>
      </c>
      <c r="H621" t="s">
        <v>3886</v>
      </c>
      <c r="J621" t="s">
        <v>922</v>
      </c>
      <c r="K621" t="s">
        <v>353</v>
      </c>
      <c r="L621" t="s">
        <v>3887</v>
      </c>
      <c r="M621" t="s">
        <v>3888</v>
      </c>
      <c r="N621">
        <v>284</v>
      </c>
      <c r="O621" t="s">
        <v>925</v>
      </c>
      <c r="P621">
        <v>284</v>
      </c>
      <c r="Q621" t="s">
        <v>925</v>
      </c>
      <c r="R621" t="s">
        <v>3159</v>
      </c>
      <c r="S621" t="s">
        <v>3160</v>
      </c>
      <c r="T621" t="s">
        <v>2140</v>
      </c>
      <c r="U621" t="s">
        <v>2141</v>
      </c>
      <c r="V621" t="s">
        <v>1824</v>
      </c>
      <c r="AA621" t="s">
        <v>105</v>
      </c>
      <c r="AE621" t="s">
        <v>106</v>
      </c>
    </row>
    <row r="622" spans="1:33" x14ac:dyDescent="0.3">
      <c r="A622">
        <v>1591</v>
      </c>
      <c r="B622" t="s">
        <v>3889</v>
      </c>
      <c r="C622" t="str">
        <f>""</f>
        <v/>
      </c>
      <c r="D622" t="str">
        <f>"7Q330MP00"</f>
        <v>7Q330MP00</v>
      </c>
      <c r="E622" s="1">
        <v>34306</v>
      </c>
      <c r="F622" t="s">
        <v>3890</v>
      </c>
      <c r="G622" t="e">
        <f>INDEX(#REF!,MATCH(P622,#REF!,0),1)</f>
        <v>#REF!</v>
      </c>
      <c r="H622" t="s">
        <v>3891</v>
      </c>
      <c r="I622" t="s">
        <v>3892</v>
      </c>
      <c r="J622" t="s">
        <v>3893</v>
      </c>
      <c r="K622" t="s">
        <v>676</v>
      </c>
      <c r="L622" t="s">
        <v>3894</v>
      </c>
      <c r="M622" t="s">
        <v>3895</v>
      </c>
      <c r="N622">
        <v>284</v>
      </c>
      <c r="O622" t="s">
        <v>925</v>
      </c>
      <c r="P622">
        <v>284</v>
      </c>
      <c r="Q622" t="s">
        <v>925</v>
      </c>
      <c r="R622" t="s">
        <v>3159</v>
      </c>
      <c r="S622" t="s">
        <v>3160</v>
      </c>
      <c r="T622" t="s">
        <v>2277</v>
      </c>
      <c r="U622" t="s">
        <v>2278</v>
      </c>
      <c r="V622" t="s">
        <v>1824</v>
      </c>
      <c r="AA622" t="s">
        <v>105</v>
      </c>
      <c r="AE622" t="s">
        <v>106</v>
      </c>
    </row>
    <row r="623" spans="1:33" x14ac:dyDescent="0.3">
      <c r="A623">
        <v>1592</v>
      </c>
      <c r="B623" t="s">
        <v>3896</v>
      </c>
      <c r="C623" t="str">
        <f>""</f>
        <v/>
      </c>
      <c r="D623" t="str">
        <f>""</f>
        <v/>
      </c>
      <c r="E623" s="1">
        <v>42583</v>
      </c>
      <c r="F623" t="s">
        <v>3897</v>
      </c>
      <c r="G623" t="e">
        <f>INDEX(#REF!,MATCH(P623,#REF!,0),1)</f>
        <v>#REF!</v>
      </c>
      <c r="H623" t="s">
        <v>3898</v>
      </c>
      <c r="J623" t="s">
        <v>3146</v>
      </c>
      <c r="K623" t="s">
        <v>139</v>
      </c>
      <c r="L623" t="s">
        <v>3899</v>
      </c>
      <c r="M623" t="s">
        <v>3900</v>
      </c>
      <c r="N623">
        <v>1592</v>
      </c>
      <c r="O623" t="s">
        <v>3897</v>
      </c>
      <c r="P623">
        <v>1592</v>
      </c>
      <c r="Q623" t="s">
        <v>3897</v>
      </c>
      <c r="R623" t="s">
        <v>1092</v>
      </c>
      <c r="S623" t="s">
        <v>1093</v>
      </c>
      <c r="T623" t="s">
        <v>44</v>
      </c>
      <c r="U623" t="s">
        <v>81</v>
      </c>
      <c r="AA623" t="s">
        <v>93</v>
      </c>
      <c r="AE623" t="s">
        <v>220</v>
      </c>
    </row>
    <row r="624" spans="1:33" x14ac:dyDescent="0.3">
      <c r="A624">
        <v>1595</v>
      </c>
      <c r="B624" t="s">
        <v>3901</v>
      </c>
      <c r="C624" t="str">
        <f>"1100002894399"</f>
        <v>1100002894399</v>
      </c>
      <c r="D624" t="str">
        <f>"232690M00"</f>
        <v>232690M00</v>
      </c>
      <c r="E624" s="1">
        <v>32294</v>
      </c>
      <c r="F624" t="s">
        <v>3902</v>
      </c>
      <c r="G624" t="e">
        <f>INDEX(#REF!,MATCH(P624,#REF!,0),1)</f>
        <v>#REF!</v>
      </c>
      <c r="H624" t="s">
        <v>3903</v>
      </c>
      <c r="J624" t="s">
        <v>3904</v>
      </c>
      <c r="K624" t="s">
        <v>65</v>
      </c>
      <c r="L624" t="s">
        <v>3905</v>
      </c>
      <c r="M624" t="s">
        <v>3906</v>
      </c>
      <c r="N624">
        <v>1595</v>
      </c>
      <c r="O624" t="s">
        <v>3902</v>
      </c>
      <c r="P624">
        <v>1595</v>
      </c>
      <c r="Q624" t="s">
        <v>3902</v>
      </c>
      <c r="R624" t="s">
        <v>254</v>
      </c>
      <c r="S624" t="s">
        <v>255</v>
      </c>
      <c r="T624" t="s">
        <v>44</v>
      </c>
      <c r="U624" t="s">
        <v>45</v>
      </c>
      <c r="AA624" t="s">
        <v>93</v>
      </c>
      <c r="AB624" t="s">
        <v>105</v>
      </c>
      <c r="AE624" t="s">
        <v>564</v>
      </c>
    </row>
    <row r="625" spans="1:33" x14ac:dyDescent="0.3">
      <c r="A625">
        <v>1596</v>
      </c>
      <c r="B625" t="s">
        <v>3907</v>
      </c>
      <c r="C625" t="str">
        <f>"1100004232106"</f>
        <v>1100004232106</v>
      </c>
      <c r="D625" t="str">
        <f>"934000G00"</f>
        <v>934000G00</v>
      </c>
      <c r="E625" s="1">
        <v>42583</v>
      </c>
      <c r="F625" t="s">
        <v>3908</v>
      </c>
      <c r="G625" t="e">
        <f>INDEX(#REF!,MATCH(P625,#REF!,0),1)</f>
        <v>#REF!</v>
      </c>
      <c r="H625" t="s">
        <v>3909</v>
      </c>
      <c r="J625" t="s">
        <v>3910</v>
      </c>
      <c r="K625" t="s">
        <v>88</v>
      </c>
      <c r="L625">
        <v>94954</v>
      </c>
      <c r="M625" t="s">
        <v>3911</v>
      </c>
      <c r="N625">
        <v>43193</v>
      </c>
      <c r="O625" t="s">
        <v>1465</v>
      </c>
      <c r="P625">
        <v>1101885</v>
      </c>
      <c r="Q625" t="s">
        <v>1466</v>
      </c>
      <c r="R625" t="s">
        <v>1467</v>
      </c>
      <c r="S625" t="s">
        <v>1468</v>
      </c>
      <c r="T625" t="s">
        <v>44</v>
      </c>
      <c r="U625" t="s">
        <v>45</v>
      </c>
      <c r="AA625" t="s">
        <v>1031</v>
      </c>
      <c r="AE625" t="s">
        <v>72</v>
      </c>
    </row>
    <row r="626" spans="1:33" x14ac:dyDescent="0.3">
      <c r="A626">
        <v>1599</v>
      </c>
      <c r="B626" t="s">
        <v>3912</v>
      </c>
      <c r="C626" t="str">
        <f>"1100002640729"</f>
        <v>1100002640729</v>
      </c>
      <c r="D626" t="str">
        <f>"380180K00"</f>
        <v>380180K00</v>
      </c>
      <c r="E626" s="1">
        <v>33604</v>
      </c>
      <c r="F626" t="s">
        <v>3913</v>
      </c>
      <c r="G626" t="e">
        <f>INDEX(#REF!,MATCH(P626,#REF!,0),1)</f>
        <v>#REF!</v>
      </c>
      <c r="H626" t="s">
        <v>3914</v>
      </c>
      <c r="I626" t="s">
        <v>3915</v>
      </c>
      <c r="J626" t="s">
        <v>1510</v>
      </c>
      <c r="K626" t="s">
        <v>99</v>
      </c>
      <c r="L626">
        <v>30322</v>
      </c>
      <c r="M626" t="s">
        <v>3916</v>
      </c>
      <c r="N626">
        <v>41456</v>
      </c>
      <c r="O626" t="s">
        <v>1835</v>
      </c>
      <c r="P626">
        <v>41456</v>
      </c>
      <c r="Q626" t="s">
        <v>1835</v>
      </c>
      <c r="R626" t="s">
        <v>1799</v>
      </c>
      <c r="S626" t="s">
        <v>1800</v>
      </c>
      <c r="T626" t="s">
        <v>44</v>
      </c>
      <c r="U626" t="s">
        <v>45</v>
      </c>
      <c r="AA626" t="s">
        <v>219</v>
      </c>
      <c r="AG626" t="s">
        <v>48</v>
      </c>
    </row>
    <row r="627" spans="1:33" x14ac:dyDescent="0.3">
      <c r="A627">
        <v>1605</v>
      </c>
      <c r="B627" t="s">
        <v>3917</v>
      </c>
      <c r="C627" t="str">
        <f>"1100003687044"</f>
        <v>1100003687044</v>
      </c>
      <c r="D627" t="str">
        <f>"232690M00"</f>
        <v>232690M00</v>
      </c>
      <c r="E627" s="1">
        <v>42826</v>
      </c>
      <c r="F627" t="s">
        <v>3918</v>
      </c>
      <c r="G627" t="e">
        <f>INDEX(#REF!,MATCH(P627,#REF!,0),1)</f>
        <v>#REF!</v>
      </c>
      <c r="H627" t="s">
        <v>3919</v>
      </c>
      <c r="J627" t="s">
        <v>2075</v>
      </c>
      <c r="K627" t="s">
        <v>88</v>
      </c>
      <c r="L627" t="s">
        <v>3920</v>
      </c>
      <c r="M627" t="s">
        <v>3921</v>
      </c>
      <c r="N627">
        <v>2472612</v>
      </c>
      <c r="O627" t="s">
        <v>2340</v>
      </c>
      <c r="P627">
        <v>2472612</v>
      </c>
      <c r="Q627" t="s">
        <v>2340</v>
      </c>
      <c r="R627" t="s">
        <v>2342</v>
      </c>
      <c r="S627" t="s">
        <v>2343</v>
      </c>
      <c r="T627" t="s">
        <v>44</v>
      </c>
      <c r="U627" t="s">
        <v>45</v>
      </c>
    </row>
    <row r="628" spans="1:33" x14ac:dyDescent="0.3">
      <c r="A628">
        <v>1606</v>
      </c>
      <c r="B628" t="s">
        <v>3922</v>
      </c>
      <c r="C628" t="str">
        <f>"1100007132267"</f>
        <v>1100007132267</v>
      </c>
      <c r="D628" t="str">
        <f>"230370F00"</f>
        <v>230370F00</v>
      </c>
      <c r="E628" s="1">
        <v>44136</v>
      </c>
      <c r="F628" t="s">
        <v>3923</v>
      </c>
      <c r="G628" t="e">
        <f>INDEX(#REF!,MATCH(P628,#REF!,0),1)</f>
        <v>#REF!</v>
      </c>
      <c r="H628" t="s">
        <v>3924</v>
      </c>
      <c r="J628" t="s">
        <v>3925</v>
      </c>
      <c r="K628" t="s">
        <v>65</v>
      </c>
      <c r="L628">
        <v>17011</v>
      </c>
      <c r="M628" t="s">
        <v>3926</v>
      </c>
      <c r="N628">
        <v>2603008</v>
      </c>
      <c r="O628" t="s">
        <v>3927</v>
      </c>
      <c r="P628">
        <v>2603008</v>
      </c>
      <c r="Q628" t="s">
        <v>3927</v>
      </c>
      <c r="R628" t="s">
        <v>1753</v>
      </c>
      <c r="S628" t="s">
        <v>1754</v>
      </c>
      <c r="T628" t="s">
        <v>44</v>
      </c>
      <c r="U628" t="s">
        <v>45</v>
      </c>
      <c r="AA628" t="s">
        <v>119</v>
      </c>
      <c r="AE628" t="s">
        <v>564</v>
      </c>
      <c r="AG628" t="s">
        <v>48</v>
      </c>
    </row>
    <row r="629" spans="1:33" x14ac:dyDescent="0.3">
      <c r="A629">
        <v>1609</v>
      </c>
      <c r="B629" t="s">
        <v>3928</v>
      </c>
      <c r="C629" t="str">
        <f>"1100003736063"</f>
        <v>1100003736063</v>
      </c>
      <c r="D629" t="str">
        <f>""</f>
        <v/>
      </c>
      <c r="E629" s="1">
        <v>44593</v>
      </c>
      <c r="F629" t="s">
        <v>3929</v>
      </c>
      <c r="G629" t="e">
        <f>INDEX(#REF!,MATCH(P629,#REF!,0),1)</f>
        <v>#REF!</v>
      </c>
      <c r="H629" t="s">
        <v>3930</v>
      </c>
      <c r="J629" t="s">
        <v>3679</v>
      </c>
      <c r="K629" t="s">
        <v>353</v>
      </c>
      <c r="L629" t="s">
        <v>3931</v>
      </c>
      <c r="M629" t="s">
        <v>3226</v>
      </c>
      <c r="N629">
        <v>2883911</v>
      </c>
      <c r="O629" t="s">
        <v>3932</v>
      </c>
      <c r="P629">
        <v>2883911</v>
      </c>
      <c r="Q629" t="s">
        <v>3932</v>
      </c>
      <c r="R629" t="s">
        <v>356</v>
      </c>
      <c r="S629" t="s">
        <v>357</v>
      </c>
      <c r="T629" t="s">
        <v>44</v>
      </c>
      <c r="U629" t="s">
        <v>45</v>
      </c>
      <c r="AC629" t="s">
        <v>1100</v>
      </c>
    </row>
    <row r="630" spans="1:33" x14ac:dyDescent="0.3">
      <c r="A630">
        <v>1610</v>
      </c>
      <c r="B630" t="s">
        <v>3933</v>
      </c>
      <c r="C630" t="str">
        <f>""</f>
        <v/>
      </c>
      <c r="D630" t="str">
        <f>"JFP1RQ500"</f>
        <v>JFP1RQ500</v>
      </c>
      <c r="E630" s="1">
        <v>41751</v>
      </c>
      <c r="F630" t="s">
        <v>3934</v>
      </c>
      <c r="G630" t="e">
        <f>INDEX(#REF!,MATCH(P630,#REF!,0),1)</f>
        <v>#REF!</v>
      </c>
      <c r="H630" t="s">
        <v>3935</v>
      </c>
      <c r="J630" t="s">
        <v>352</v>
      </c>
      <c r="K630" t="s">
        <v>37</v>
      </c>
      <c r="L630" t="s">
        <v>1334</v>
      </c>
      <c r="M630" t="s">
        <v>3936</v>
      </c>
      <c r="N630">
        <v>210</v>
      </c>
      <c r="O630" t="s">
        <v>840</v>
      </c>
      <c r="P630">
        <v>770597</v>
      </c>
      <c r="Q630" t="s">
        <v>3937</v>
      </c>
      <c r="R630" t="s">
        <v>3744</v>
      </c>
      <c r="S630" t="s">
        <v>3745</v>
      </c>
      <c r="T630" t="s">
        <v>2277</v>
      </c>
      <c r="U630" t="s">
        <v>3938</v>
      </c>
      <c r="V630" t="s">
        <v>1824</v>
      </c>
      <c r="Y630" t="s">
        <v>46</v>
      </c>
      <c r="Z630" s="1">
        <v>42370</v>
      </c>
      <c r="AE630" t="s">
        <v>47</v>
      </c>
    </row>
    <row r="631" spans="1:33" x14ac:dyDescent="0.3">
      <c r="A631">
        <v>1617</v>
      </c>
      <c r="B631" t="s">
        <v>3939</v>
      </c>
      <c r="C631" t="str">
        <f>""</f>
        <v/>
      </c>
      <c r="D631" t="str">
        <f>"BSWOH3700"</f>
        <v>BSWOH3700</v>
      </c>
      <c r="E631" s="1">
        <v>38838</v>
      </c>
      <c r="F631" t="s">
        <v>3940</v>
      </c>
      <c r="G631" t="e">
        <f>INDEX(#REF!,MATCH(P631,#REF!,0),1)</f>
        <v>#REF!</v>
      </c>
      <c r="H631" t="s">
        <v>3941</v>
      </c>
      <c r="J631" t="s">
        <v>3942</v>
      </c>
      <c r="K631" t="s">
        <v>763</v>
      </c>
      <c r="L631" t="s">
        <v>3943</v>
      </c>
      <c r="M631" t="s">
        <v>3944</v>
      </c>
      <c r="N631">
        <v>1617</v>
      </c>
      <c r="O631" t="s">
        <v>3940</v>
      </c>
      <c r="P631">
        <v>1617</v>
      </c>
      <c r="Q631" t="s">
        <v>3940</v>
      </c>
      <c r="R631" t="s">
        <v>3945</v>
      </c>
      <c r="S631" t="s">
        <v>3946</v>
      </c>
      <c r="T631" t="s">
        <v>2277</v>
      </c>
      <c r="U631" t="s">
        <v>2278</v>
      </c>
      <c r="V631" t="s">
        <v>2215</v>
      </c>
    </row>
    <row r="632" spans="1:33" x14ac:dyDescent="0.3">
      <c r="A632">
        <v>1620</v>
      </c>
      <c r="B632" t="s">
        <v>3947</v>
      </c>
      <c r="C632" t="str">
        <f>"1100005708631"</f>
        <v>1100005708631</v>
      </c>
      <c r="D632" t="str">
        <f>"3A7NLLD00"</f>
        <v>3A7NLLD00</v>
      </c>
      <c r="E632" s="1">
        <v>34422</v>
      </c>
      <c r="F632" t="s">
        <v>3948</v>
      </c>
      <c r="G632" t="e">
        <f>INDEX(#REF!,MATCH(P632,#REF!,0),1)</f>
        <v>#REF!</v>
      </c>
      <c r="H632" t="s">
        <v>3949</v>
      </c>
      <c r="J632" t="s">
        <v>762</v>
      </c>
      <c r="K632" t="s">
        <v>763</v>
      </c>
      <c r="L632" t="s">
        <v>3950</v>
      </c>
      <c r="M632" t="s">
        <v>3951</v>
      </c>
      <c r="N632">
        <v>191</v>
      </c>
      <c r="O632" t="s">
        <v>760</v>
      </c>
      <c r="P632">
        <v>69815</v>
      </c>
      <c r="Q632" t="s">
        <v>3952</v>
      </c>
      <c r="R632" t="s">
        <v>3372</v>
      </c>
      <c r="S632" t="s">
        <v>3373</v>
      </c>
      <c r="T632" t="s">
        <v>2140</v>
      </c>
      <c r="U632" t="s">
        <v>2141</v>
      </c>
      <c r="V632" t="s">
        <v>1824</v>
      </c>
      <c r="AA632" t="s">
        <v>119</v>
      </c>
      <c r="AE632" t="s">
        <v>766</v>
      </c>
    </row>
    <row r="633" spans="1:33" x14ac:dyDescent="0.3">
      <c r="A633">
        <v>1625</v>
      </c>
      <c r="B633" t="s">
        <v>3953</v>
      </c>
      <c r="C633" t="str">
        <f>"1100003523861"</f>
        <v>1100003523861</v>
      </c>
      <c r="D633" t="str">
        <f>"611590M00"</f>
        <v>611590M00</v>
      </c>
      <c r="E633" s="1">
        <v>34455</v>
      </c>
      <c r="F633" t="s">
        <v>3954</v>
      </c>
      <c r="G633" t="e">
        <f>INDEX(#REF!,MATCH(P633,#REF!,0),1)</f>
        <v>#REF!</v>
      </c>
      <c r="H633" t="s">
        <v>3955</v>
      </c>
      <c r="J633" t="s">
        <v>3956</v>
      </c>
      <c r="K633" t="s">
        <v>283</v>
      </c>
      <c r="L633" t="s">
        <v>3957</v>
      </c>
      <c r="M633" t="s">
        <v>3958</v>
      </c>
      <c r="N633">
        <v>559</v>
      </c>
      <c r="O633" t="s">
        <v>2041</v>
      </c>
      <c r="P633">
        <v>559</v>
      </c>
      <c r="Q633" t="s">
        <v>2041</v>
      </c>
      <c r="R633" t="s">
        <v>611</v>
      </c>
      <c r="S633" t="s">
        <v>612</v>
      </c>
      <c r="T633" t="s">
        <v>44</v>
      </c>
      <c r="U633" t="s">
        <v>45</v>
      </c>
      <c r="AD633" t="s">
        <v>94</v>
      </c>
      <c r="AE633" t="s">
        <v>120</v>
      </c>
    </row>
    <row r="634" spans="1:33" x14ac:dyDescent="0.3">
      <c r="A634">
        <v>1636</v>
      </c>
      <c r="B634" t="s">
        <v>3959</v>
      </c>
      <c r="C634" t="str">
        <f>"1100005075603"</f>
        <v>1100005075603</v>
      </c>
      <c r="D634" t="str">
        <f>"640200C00"</f>
        <v>640200C00</v>
      </c>
      <c r="E634" s="1">
        <v>34455</v>
      </c>
      <c r="F634" t="s">
        <v>3960</v>
      </c>
      <c r="G634" t="e">
        <f>INDEX(#REF!,MATCH(P634,#REF!,0),1)</f>
        <v>#REF!</v>
      </c>
      <c r="H634" t="s">
        <v>1642</v>
      </c>
      <c r="J634" t="s">
        <v>1643</v>
      </c>
      <c r="K634" t="s">
        <v>191</v>
      </c>
      <c r="L634" t="s">
        <v>1644</v>
      </c>
      <c r="M634" t="s">
        <v>3961</v>
      </c>
      <c r="N634">
        <v>871561</v>
      </c>
      <c r="O634" t="s">
        <v>194</v>
      </c>
      <c r="P634">
        <v>1019376</v>
      </c>
      <c r="Q634" t="s">
        <v>3962</v>
      </c>
      <c r="R634" t="s">
        <v>196</v>
      </c>
      <c r="S634" t="s">
        <v>197</v>
      </c>
      <c r="T634" t="s">
        <v>44</v>
      </c>
      <c r="U634" t="s">
        <v>45</v>
      </c>
      <c r="AA634" t="s">
        <v>119</v>
      </c>
      <c r="AE634" t="s">
        <v>120</v>
      </c>
      <c r="AG634" t="s">
        <v>48</v>
      </c>
    </row>
    <row r="635" spans="1:33" x14ac:dyDescent="0.3">
      <c r="A635">
        <v>1637</v>
      </c>
      <c r="B635" t="s">
        <v>3963</v>
      </c>
      <c r="C635" t="str">
        <f>"1100005324169"</f>
        <v>1100005324169</v>
      </c>
      <c r="D635" t="str">
        <f>"54112HU00"</f>
        <v>54112HU00</v>
      </c>
      <c r="E635" s="1">
        <v>32324</v>
      </c>
      <c r="F635" t="s">
        <v>3964</v>
      </c>
      <c r="G635" t="e">
        <f>INDEX(#REF!,MATCH(P635,#REF!,0),1)</f>
        <v>#REF!</v>
      </c>
      <c r="H635" t="s">
        <v>3965</v>
      </c>
      <c r="J635" t="s">
        <v>3966</v>
      </c>
      <c r="K635" t="s">
        <v>149</v>
      </c>
      <c r="L635" t="s">
        <v>3967</v>
      </c>
      <c r="M635" t="s">
        <v>3968</v>
      </c>
      <c r="N635">
        <v>29</v>
      </c>
      <c r="O635" t="s">
        <v>136</v>
      </c>
      <c r="P635">
        <v>29</v>
      </c>
      <c r="Q635" t="s">
        <v>136</v>
      </c>
      <c r="R635" t="s">
        <v>142</v>
      </c>
      <c r="S635" t="s">
        <v>143</v>
      </c>
      <c r="T635" t="s">
        <v>44</v>
      </c>
      <c r="U635" t="s">
        <v>45</v>
      </c>
      <c r="Y635" t="s">
        <v>104</v>
      </c>
      <c r="Z635" s="1">
        <v>44593</v>
      </c>
      <c r="AA635" t="s">
        <v>93</v>
      </c>
      <c r="AE635" t="s">
        <v>144</v>
      </c>
      <c r="AG635" t="s">
        <v>48</v>
      </c>
    </row>
    <row r="636" spans="1:33" x14ac:dyDescent="0.3">
      <c r="A636">
        <v>1640</v>
      </c>
      <c r="B636" t="s">
        <v>3969</v>
      </c>
      <c r="C636" t="str">
        <f>""</f>
        <v/>
      </c>
      <c r="D636" t="str">
        <f>"530880O00"</f>
        <v>530880O00</v>
      </c>
      <c r="E636" s="1">
        <v>34455</v>
      </c>
      <c r="F636" t="s">
        <v>3970</v>
      </c>
      <c r="G636" t="e">
        <f>INDEX(#REF!,MATCH(P636,#REF!,0),1)</f>
        <v>#REF!</v>
      </c>
      <c r="H636" t="s">
        <v>3971</v>
      </c>
      <c r="J636" t="s">
        <v>1788</v>
      </c>
      <c r="K636" t="s">
        <v>125</v>
      </c>
      <c r="L636" t="s">
        <v>3972</v>
      </c>
      <c r="M636" t="s">
        <v>1790</v>
      </c>
      <c r="N636">
        <v>1667</v>
      </c>
      <c r="O636" t="s">
        <v>1791</v>
      </c>
      <c r="P636">
        <v>488</v>
      </c>
      <c r="Q636" t="s">
        <v>1786</v>
      </c>
      <c r="R636" t="s">
        <v>102</v>
      </c>
      <c r="S636" t="s">
        <v>103</v>
      </c>
      <c r="T636" t="s">
        <v>44</v>
      </c>
      <c r="U636" t="s">
        <v>45</v>
      </c>
      <c r="AA636" t="s">
        <v>105</v>
      </c>
      <c r="AE636" t="s">
        <v>106</v>
      </c>
    </row>
    <row r="637" spans="1:33" x14ac:dyDescent="0.3">
      <c r="A637">
        <v>1641</v>
      </c>
      <c r="B637" t="s">
        <v>3973</v>
      </c>
      <c r="C637" t="str">
        <f>"1100004086846"</f>
        <v>1100004086846</v>
      </c>
      <c r="D637" t="str">
        <f>"611870N00"</f>
        <v>611870N00</v>
      </c>
      <c r="E637" s="1">
        <v>34455</v>
      </c>
      <c r="F637" t="s">
        <v>3974</v>
      </c>
      <c r="G637" t="e">
        <f>INDEX(#REF!,MATCH(P637,#REF!,0),1)</f>
        <v>#REF!</v>
      </c>
      <c r="H637" t="s">
        <v>3975</v>
      </c>
      <c r="J637" t="s">
        <v>3976</v>
      </c>
      <c r="K637" t="s">
        <v>283</v>
      </c>
      <c r="L637" t="s">
        <v>3977</v>
      </c>
      <c r="M637" t="s">
        <v>3978</v>
      </c>
      <c r="N637">
        <v>871561</v>
      </c>
      <c r="O637" t="s">
        <v>194</v>
      </c>
      <c r="P637">
        <v>102627</v>
      </c>
      <c r="Q637" t="s">
        <v>3048</v>
      </c>
      <c r="R637" t="s">
        <v>196</v>
      </c>
      <c r="S637" t="s">
        <v>197</v>
      </c>
      <c r="T637" t="s">
        <v>44</v>
      </c>
      <c r="U637" t="s">
        <v>45</v>
      </c>
      <c r="AA637" t="s">
        <v>119</v>
      </c>
      <c r="AE637" t="s">
        <v>120</v>
      </c>
      <c r="AG637" t="s">
        <v>48</v>
      </c>
    </row>
    <row r="638" spans="1:33" x14ac:dyDescent="0.3">
      <c r="A638">
        <v>1642</v>
      </c>
      <c r="B638" t="s">
        <v>3979</v>
      </c>
      <c r="C638" t="str">
        <f>""</f>
        <v/>
      </c>
      <c r="D638" t="str">
        <f>"671150K00"</f>
        <v>671150K00</v>
      </c>
      <c r="E638" s="1">
        <v>42583</v>
      </c>
      <c r="F638" t="s">
        <v>3980</v>
      </c>
      <c r="G638" t="e">
        <f>INDEX(#REF!,MATCH(P638,#REF!,0),1)</f>
        <v>#REF!</v>
      </c>
      <c r="H638" t="s">
        <v>3981</v>
      </c>
      <c r="J638" t="s">
        <v>3982</v>
      </c>
      <c r="K638" t="s">
        <v>835</v>
      </c>
      <c r="L638" t="s">
        <v>3983</v>
      </c>
      <c r="M638" t="s">
        <v>3984</v>
      </c>
      <c r="N638">
        <v>2599</v>
      </c>
      <c r="O638" t="s">
        <v>1870</v>
      </c>
      <c r="P638">
        <v>2599</v>
      </c>
      <c r="Q638" t="s">
        <v>1870</v>
      </c>
      <c r="R638" t="s">
        <v>1895</v>
      </c>
      <c r="S638" t="s">
        <v>1896</v>
      </c>
      <c r="T638" t="s">
        <v>44</v>
      </c>
      <c r="U638" t="s">
        <v>45</v>
      </c>
      <c r="AA638" t="s">
        <v>327</v>
      </c>
      <c r="AD638" t="s">
        <v>94</v>
      </c>
      <c r="AE638" t="s">
        <v>1522</v>
      </c>
    </row>
    <row r="639" spans="1:33" x14ac:dyDescent="0.3">
      <c r="A639">
        <v>1650</v>
      </c>
      <c r="B639" t="s">
        <v>3985</v>
      </c>
      <c r="C639" t="str">
        <f>"1100005620711"</f>
        <v>1100005620711</v>
      </c>
      <c r="D639" t="str">
        <f>"211410900"</f>
        <v>211410900</v>
      </c>
      <c r="E639" s="1">
        <v>44501</v>
      </c>
      <c r="F639" t="s">
        <v>3986</v>
      </c>
      <c r="G639" t="e">
        <f>INDEX(#REF!,MATCH(P639,#REF!,0),1)</f>
        <v>#REF!</v>
      </c>
      <c r="H639" t="s">
        <v>3987</v>
      </c>
      <c r="J639" t="s">
        <v>1314</v>
      </c>
      <c r="K639" t="s">
        <v>2244</v>
      </c>
      <c r="L639" t="s">
        <v>3988</v>
      </c>
      <c r="M639" t="s">
        <v>3989</v>
      </c>
      <c r="N639">
        <v>1650</v>
      </c>
      <c r="O639" t="s">
        <v>3986</v>
      </c>
      <c r="P639">
        <v>1650</v>
      </c>
      <c r="Q639" t="s">
        <v>3986</v>
      </c>
      <c r="R639" t="s">
        <v>940</v>
      </c>
      <c r="S639" t="s">
        <v>941</v>
      </c>
      <c r="T639" t="s">
        <v>44</v>
      </c>
      <c r="U639" t="s">
        <v>45</v>
      </c>
    </row>
    <row r="640" spans="1:33" x14ac:dyDescent="0.3">
      <c r="A640">
        <v>1651</v>
      </c>
      <c r="B640" t="s">
        <v>3990</v>
      </c>
      <c r="C640" t="str">
        <f>"1100002296667"</f>
        <v>1100002296667</v>
      </c>
      <c r="D640" t="str">
        <f>"610340E00"</f>
        <v>610340E00</v>
      </c>
      <c r="E640" s="1">
        <v>34455</v>
      </c>
      <c r="F640" t="s">
        <v>2629</v>
      </c>
      <c r="G640" t="e">
        <f>INDEX(#REF!,MATCH(P640,#REF!,0),1)</f>
        <v>#REF!</v>
      </c>
      <c r="H640" t="s">
        <v>3991</v>
      </c>
      <c r="J640" t="s">
        <v>282</v>
      </c>
      <c r="K640" t="s">
        <v>283</v>
      </c>
      <c r="L640" t="s">
        <v>3992</v>
      </c>
      <c r="M640" t="s">
        <v>3993</v>
      </c>
      <c r="N640">
        <v>559</v>
      </c>
      <c r="O640" t="s">
        <v>2041</v>
      </c>
      <c r="P640">
        <v>559</v>
      </c>
      <c r="Q640" t="s">
        <v>2041</v>
      </c>
      <c r="R640" t="s">
        <v>611</v>
      </c>
      <c r="S640" t="s">
        <v>612</v>
      </c>
      <c r="T640" t="s">
        <v>44</v>
      </c>
      <c r="U640" t="s">
        <v>45</v>
      </c>
      <c r="AD640" t="s">
        <v>94</v>
      </c>
      <c r="AE640" t="s">
        <v>120</v>
      </c>
    </row>
    <row r="641" spans="1:33" x14ac:dyDescent="0.3">
      <c r="A641">
        <v>1652</v>
      </c>
      <c r="B641" t="s">
        <v>3994</v>
      </c>
      <c r="C641" t="str">
        <f>"1100002502645"</f>
        <v>1100002502645</v>
      </c>
      <c r="D641" t="str">
        <f>"610560I00"</f>
        <v>610560I00</v>
      </c>
      <c r="E641" s="1">
        <v>34455</v>
      </c>
      <c r="F641" t="s">
        <v>3995</v>
      </c>
      <c r="G641" t="e">
        <f>INDEX(#REF!,MATCH(P641,#REF!,0),1)</f>
        <v>#REF!</v>
      </c>
      <c r="H641" t="s">
        <v>3996</v>
      </c>
      <c r="J641" t="s">
        <v>3997</v>
      </c>
      <c r="K641" t="s">
        <v>283</v>
      </c>
      <c r="L641" t="s">
        <v>3998</v>
      </c>
      <c r="M641" t="s">
        <v>3999</v>
      </c>
      <c r="N641">
        <v>559</v>
      </c>
      <c r="O641" t="s">
        <v>2041</v>
      </c>
      <c r="P641">
        <v>559</v>
      </c>
      <c r="Q641" t="s">
        <v>2041</v>
      </c>
      <c r="R641" t="s">
        <v>611</v>
      </c>
      <c r="S641" t="s">
        <v>612</v>
      </c>
      <c r="T641" t="s">
        <v>44</v>
      </c>
      <c r="U641" t="s">
        <v>45</v>
      </c>
      <c r="AD641" t="s">
        <v>94</v>
      </c>
      <c r="AE641" t="s">
        <v>120</v>
      </c>
    </row>
    <row r="642" spans="1:33" x14ac:dyDescent="0.3">
      <c r="A642">
        <v>1653</v>
      </c>
      <c r="B642" t="s">
        <v>4000</v>
      </c>
      <c r="C642" t="str">
        <f>"1100005685765"</f>
        <v>1100005685765</v>
      </c>
      <c r="D642" t="str">
        <f>""</f>
        <v/>
      </c>
      <c r="E642" s="1">
        <v>34455</v>
      </c>
      <c r="F642" t="s">
        <v>4001</v>
      </c>
      <c r="G642" t="e">
        <f>INDEX(#REF!,MATCH(P642,#REF!,0),1)</f>
        <v>#REF!</v>
      </c>
      <c r="H642" t="s">
        <v>4002</v>
      </c>
      <c r="J642" t="s">
        <v>282</v>
      </c>
      <c r="K642" t="s">
        <v>283</v>
      </c>
      <c r="L642" t="s">
        <v>4003</v>
      </c>
      <c r="M642" t="s">
        <v>4004</v>
      </c>
      <c r="N642">
        <v>559</v>
      </c>
      <c r="O642" t="s">
        <v>2041</v>
      </c>
      <c r="P642">
        <v>559</v>
      </c>
      <c r="Q642" t="s">
        <v>2041</v>
      </c>
      <c r="R642" t="s">
        <v>611</v>
      </c>
      <c r="S642" t="s">
        <v>612</v>
      </c>
      <c r="T642" t="s">
        <v>44</v>
      </c>
      <c r="U642" t="s">
        <v>4005</v>
      </c>
      <c r="AD642" t="s">
        <v>94</v>
      </c>
      <c r="AE642" t="s">
        <v>120</v>
      </c>
    </row>
    <row r="643" spans="1:33" x14ac:dyDescent="0.3">
      <c r="A643">
        <v>1654</v>
      </c>
      <c r="B643" t="s">
        <v>4006</v>
      </c>
      <c r="C643" t="str">
        <f>"1100003257315"</f>
        <v>1100003257315</v>
      </c>
      <c r="D643" t="str">
        <f>"451380L00"</f>
        <v>451380L00</v>
      </c>
      <c r="E643" s="1">
        <v>34455</v>
      </c>
      <c r="F643" t="s">
        <v>4007</v>
      </c>
      <c r="G643" t="e">
        <f>INDEX(#REF!,MATCH(P643,#REF!,0),1)</f>
        <v>#REF!</v>
      </c>
      <c r="H643" t="s">
        <v>4008</v>
      </c>
      <c r="J643" t="s">
        <v>4009</v>
      </c>
      <c r="K643" t="s">
        <v>208</v>
      </c>
      <c r="L643" t="s">
        <v>4010</v>
      </c>
      <c r="M643" t="s">
        <v>4011</v>
      </c>
      <c r="N643">
        <v>559</v>
      </c>
      <c r="O643" t="s">
        <v>2041</v>
      </c>
      <c r="P643">
        <v>559</v>
      </c>
      <c r="Q643" t="s">
        <v>2041</v>
      </c>
      <c r="R643" t="s">
        <v>611</v>
      </c>
      <c r="S643" t="s">
        <v>612</v>
      </c>
      <c r="T643" t="s">
        <v>44</v>
      </c>
      <c r="U643" t="s">
        <v>45</v>
      </c>
      <c r="AD643" t="s">
        <v>94</v>
      </c>
      <c r="AE643" t="s">
        <v>120</v>
      </c>
    </row>
    <row r="644" spans="1:33" x14ac:dyDescent="0.3">
      <c r="A644">
        <v>1655</v>
      </c>
      <c r="B644" t="s">
        <v>4012</v>
      </c>
      <c r="C644" t="str">
        <f>"1100005325135"</f>
        <v>1100005325135</v>
      </c>
      <c r="D644" t="str">
        <f>"611190I00"</f>
        <v>611190I00</v>
      </c>
      <c r="E644" s="1">
        <v>34455</v>
      </c>
      <c r="F644" t="s">
        <v>4013</v>
      </c>
      <c r="G644" t="e">
        <f>INDEX(#REF!,MATCH(P644,#REF!,0),1)</f>
        <v>#REF!</v>
      </c>
      <c r="H644" t="s">
        <v>4014</v>
      </c>
      <c r="J644" t="s">
        <v>4015</v>
      </c>
      <c r="K644" t="s">
        <v>283</v>
      </c>
      <c r="L644" t="s">
        <v>4016</v>
      </c>
      <c r="M644" t="s">
        <v>4017</v>
      </c>
      <c r="N644">
        <v>559</v>
      </c>
      <c r="O644" t="s">
        <v>2041</v>
      </c>
      <c r="P644">
        <v>559</v>
      </c>
      <c r="Q644" t="s">
        <v>2041</v>
      </c>
      <c r="R644" t="s">
        <v>611</v>
      </c>
      <c r="S644" t="s">
        <v>612</v>
      </c>
      <c r="T644" t="s">
        <v>44</v>
      </c>
      <c r="U644" t="s">
        <v>45</v>
      </c>
      <c r="AD644" t="s">
        <v>94</v>
      </c>
      <c r="AE644" t="s">
        <v>120</v>
      </c>
    </row>
    <row r="645" spans="1:33" x14ac:dyDescent="0.3">
      <c r="A645">
        <v>1656</v>
      </c>
      <c r="B645" t="s">
        <v>4018</v>
      </c>
      <c r="C645" t="str">
        <f>"1100005265141"</f>
        <v>1100005265141</v>
      </c>
      <c r="D645" t="str">
        <f>"610210A00"</f>
        <v>610210A00</v>
      </c>
      <c r="E645" s="1">
        <v>34455</v>
      </c>
      <c r="F645" t="s">
        <v>4019</v>
      </c>
      <c r="G645" t="e">
        <f>INDEX(#REF!,MATCH(P645,#REF!,0),1)</f>
        <v>#REF!</v>
      </c>
      <c r="H645" t="s">
        <v>4020</v>
      </c>
      <c r="J645" t="s">
        <v>4021</v>
      </c>
      <c r="K645" t="s">
        <v>283</v>
      </c>
      <c r="L645" t="s">
        <v>4022</v>
      </c>
      <c r="M645" t="s">
        <v>4023</v>
      </c>
      <c r="N645">
        <v>559</v>
      </c>
      <c r="O645" t="s">
        <v>2041</v>
      </c>
      <c r="P645">
        <v>559</v>
      </c>
      <c r="Q645" t="s">
        <v>2041</v>
      </c>
      <c r="R645" t="s">
        <v>611</v>
      </c>
      <c r="S645" t="s">
        <v>612</v>
      </c>
      <c r="T645" t="s">
        <v>44</v>
      </c>
      <c r="U645" t="s">
        <v>45</v>
      </c>
      <c r="AD645" t="s">
        <v>94</v>
      </c>
      <c r="AE645" t="s">
        <v>120</v>
      </c>
    </row>
    <row r="646" spans="1:33" x14ac:dyDescent="0.3">
      <c r="A646">
        <v>1657</v>
      </c>
      <c r="B646" t="s">
        <v>4024</v>
      </c>
      <c r="C646" t="str">
        <f>""</f>
        <v/>
      </c>
      <c r="D646" t="str">
        <f>"610830I00"</f>
        <v>610830I00</v>
      </c>
      <c r="E646" s="1">
        <v>34455</v>
      </c>
      <c r="F646" t="s">
        <v>4025</v>
      </c>
      <c r="G646" t="e">
        <f>INDEX(#REF!,MATCH(P646,#REF!,0),1)</f>
        <v>#REF!</v>
      </c>
      <c r="H646" t="s">
        <v>4026</v>
      </c>
      <c r="J646" t="s">
        <v>4027</v>
      </c>
      <c r="K646" t="s">
        <v>283</v>
      </c>
      <c r="L646" t="s">
        <v>4028</v>
      </c>
      <c r="M646" t="s">
        <v>4029</v>
      </c>
      <c r="N646">
        <v>3460</v>
      </c>
      <c r="O646" t="s">
        <v>1155</v>
      </c>
      <c r="P646">
        <v>3460</v>
      </c>
      <c r="Q646" t="s">
        <v>1155</v>
      </c>
      <c r="R646" t="s">
        <v>1156</v>
      </c>
      <c r="S646" t="s">
        <v>1157</v>
      </c>
      <c r="T646" t="s">
        <v>44</v>
      </c>
      <c r="U646" t="s">
        <v>45</v>
      </c>
      <c r="AA646" t="s">
        <v>119</v>
      </c>
      <c r="AE646" t="s">
        <v>120</v>
      </c>
    </row>
    <row r="647" spans="1:33" x14ac:dyDescent="0.3">
      <c r="A647">
        <v>1659</v>
      </c>
      <c r="B647" t="s">
        <v>4030</v>
      </c>
      <c r="C647" t="str">
        <f>"1100002398033"</f>
        <v>1100002398033</v>
      </c>
      <c r="D647" t="str">
        <f>"611390K00"</f>
        <v>611390K00</v>
      </c>
      <c r="E647" s="1">
        <v>34455</v>
      </c>
      <c r="F647" t="s">
        <v>4031</v>
      </c>
      <c r="G647" t="e">
        <f>INDEX(#REF!,MATCH(P647,#REF!,0),1)</f>
        <v>#REF!</v>
      </c>
      <c r="H647" t="s">
        <v>4032</v>
      </c>
      <c r="J647" t="s">
        <v>4033</v>
      </c>
      <c r="K647" t="s">
        <v>283</v>
      </c>
      <c r="L647" t="s">
        <v>4034</v>
      </c>
      <c r="M647" t="s">
        <v>4035</v>
      </c>
      <c r="N647">
        <v>559</v>
      </c>
      <c r="O647" t="s">
        <v>2041</v>
      </c>
      <c r="P647">
        <v>559</v>
      </c>
      <c r="Q647" t="s">
        <v>2041</v>
      </c>
      <c r="R647" t="s">
        <v>611</v>
      </c>
      <c r="S647" t="s">
        <v>612</v>
      </c>
      <c r="T647" t="s">
        <v>44</v>
      </c>
      <c r="U647" t="s">
        <v>45</v>
      </c>
      <c r="AD647" t="s">
        <v>94</v>
      </c>
      <c r="AE647" t="s">
        <v>120</v>
      </c>
    </row>
    <row r="648" spans="1:33" x14ac:dyDescent="0.3">
      <c r="A648">
        <v>1667</v>
      </c>
      <c r="B648" t="s">
        <v>4036</v>
      </c>
      <c r="C648" t="str">
        <f>"1100002020828"</f>
        <v>1100002020828</v>
      </c>
      <c r="D648" t="str">
        <f>"85EM7L500"</f>
        <v>85EM7L500</v>
      </c>
      <c r="E648" s="1">
        <v>31320</v>
      </c>
      <c r="F648" t="s">
        <v>1791</v>
      </c>
      <c r="G648" t="e">
        <f>INDEX(#REF!,MATCH(P648,#REF!,0),1)</f>
        <v>#REF!</v>
      </c>
      <c r="H648" t="s">
        <v>1787</v>
      </c>
      <c r="I648" t="s">
        <v>4037</v>
      </c>
      <c r="J648" t="s">
        <v>1788</v>
      </c>
      <c r="K648" t="s">
        <v>125</v>
      </c>
      <c r="L648" t="s">
        <v>4038</v>
      </c>
      <c r="M648" t="s">
        <v>1790</v>
      </c>
      <c r="N648">
        <v>1667</v>
      </c>
      <c r="O648" t="s">
        <v>1791</v>
      </c>
      <c r="P648">
        <v>1667</v>
      </c>
      <c r="Q648" t="s">
        <v>1791</v>
      </c>
      <c r="R648" t="s">
        <v>102</v>
      </c>
      <c r="S648" t="s">
        <v>103</v>
      </c>
      <c r="T648" t="s">
        <v>44</v>
      </c>
      <c r="U648" t="s">
        <v>81</v>
      </c>
      <c r="AA648" t="s">
        <v>105</v>
      </c>
      <c r="AE648" t="s">
        <v>106</v>
      </c>
    </row>
    <row r="649" spans="1:33" x14ac:dyDescent="0.3">
      <c r="A649">
        <v>1668</v>
      </c>
      <c r="B649" t="s">
        <v>4039</v>
      </c>
      <c r="C649" t="str">
        <f>"1100004426710"</f>
        <v>1100004426710</v>
      </c>
      <c r="D649" t="str">
        <f>"611130C00"</f>
        <v>611130C00</v>
      </c>
      <c r="E649" s="1">
        <v>34455</v>
      </c>
      <c r="F649" t="s">
        <v>4040</v>
      </c>
      <c r="G649" t="e">
        <f>INDEX(#REF!,MATCH(P649,#REF!,0),1)</f>
        <v>#REF!</v>
      </c>
      <c r="H649" t="s">
        <v>4041</v>
      </c>
      <c r="J649" t="s">
        <v>4042</v>
      </c>
      <c r="K649" t="s">
        <v>283</v>
      </c>
      <c r="L649" t="s">
        <v>4043</v>
      </c>
      <c r="M649" t="s">
        <v>4044</v>
      </c>
      <c r="N649">
        <v>559</v>
      </c>
      <c r="O649" t="s">
        <v>2041</v>
      </c>
      <c r="P649">
        <v>559</v>
      </c>
      <c r="Q649" t="s">
        <v>2041</v>
      </c>
      <c r="R649" t="s">
        <v>611</v>
      </c>
      <c r="S649" t="s">
        <v>612</v>
      </c>
      <c r="T649" t="s">
        <v>44</v>
      </c>
      <c r="U649" t="s">
        <v>45</v>
      </c>
      <c r="AD649" t="s">
        <v>94</v>
      </c>
      <c r="AE649" t="s">
        <v>120</v>
      </c>
    </row>
    <row r="650" spans="1:33" x14ac:dyDescent="0.3">
      <c r="A650">
        <v>1672</v>
      </c>
      <c r="B650" t="s">
        <v>4045</v>
      </c>
      <c r="C650" t="str">
        <f>"1100004611635"</f>
        <v>1100004611635</v>
      </c>
      <c r="D650" t="str">
        <f>""</f>
        <v/>
      </c>
      <c r="E650" s="1">
        <v>44440</v>
      </c>
      <c r="F650" t="s">
        <v>4046</v>
      </c>
      <c r="G650" t="e">
        <f>INDEX(#REF!,MATCH(P650,#REF!,0),1)</f>
        <v>#REF!</v>
      </c>
      <c r="H650" t="s">
        <v>4047</v>
      </c>
      <c r="J650" t="s">
        <v>2367</v>
      </c>
      <c r="K650" t="s">
        <v>235</v>
      </c>
      <c r="L650" t="s">
        <v>4048</v>
      </c>
      <c r="M650" t="s">
        <v>3226</v>
      </c>
      <c r="N650">
        <v>3286</v>
      </c>
      <c r="O650" t="s">
        <v>4049</v>
      </c>
      <c r="P650">
        <v>3286</v>
      </c>
      <c r="Q650" t="s">
        <v>4049</v>
      </c>
      <c r="R650" t="s">
        <v>237</v>
      </c>
      <c r="S650" t="s">
        <v>238</v>
      </c>
      <c r="T650" t="s">
        <v>44</v>
      </c>
      <c r="U650" t="s">
        <v>45</v>
      </c>
      <c r="AC650" t="s">
        <v>547</v>
      </c>
    </row>
    <row r="651" spans="1:33" x14ac:dyDescent="0.3">
      <c r="A651">
        <v>1674</v>
      </c>
      <c r="B651" t="s">
        <v>4050</v>
      </c>
      <c r="C651" t="str">
        <f>""</f>
        <v/>
      </c>
      <c r="D651" t="str">
        <f>""</f>
        <v/>
      </c>
      <c r="E651" s="1">
        <v>43466</v>
      </c>
      <c r="F651" t="s">
        <v>4051</v>
      </c>
      <c r="G651" t="e">
        <f>INDEX(#REF!,MATCH(P651,#REF!,0),1)</f>
        <v>#REF!</v>
      </c>
      <c r="H651" t="s">
        <v>4052</v>
      </c>
      <c r="J651" t="s">
        <v>4053</v>
      </c>
      <c r="K651" t="s">
        <v>2244</v>
      </c>
      <c r="L651" t="s">
        <v>4054</v>
      </c>
      <c r="M651" t="s">
        <v>4055</v>
      </c>
      <c r="N651">
        <v>1922</v>
      </c>
      <c r="O651" t="s">
        <v>883</v>
      </c>
      <c r="P651">
        <v>1922</v>
      </c>
      <c r="Q651" t="s">
        <v>883</v>
      </c>
      <c r="R651" t="s">
        <v>884</v>
      </c>
      <c r="S651" t="s">
        <v>885</v>
      </c>
      <c r="T651" t="s">
        <v>44</v>
      </c>
      <c r="U651" t="s">
        <v>45</v>
      </c>
      <c r="AA651" t="s">
        <v>119</v>
      </c>
      <c r="AE651" t="s">
        <v>564</v>
      </c>
      <c r="AG651" t="s">
        <v>48</v>
      </c>
    </row>
    <row r="652" spans="1:33" x14ac:dyDescent="0.3">
      <c r="A652">
        <v>1682</v>
      </c>
      <c r="B652" t="s">
        <v>4056</v>
      </c>
      <c r="C652" t="str">
        <f>"1100002916220"</f>
        <v>1100002916220</v>
      </c>
      <c r="D652" t="str">
        <f>"710290J00"</f>
        <v>710290J00</v>
      </c>
      <c r="E652" s="1">
        <v>44593</v>
      </c>
      <c r="F652" t="s">
        <v>4057</v>
      </c>
      <c r="G652" t="e">
        <f>INDEX(#REF!,MATCH(P652,#REF!,0),1)</f>
        <v>#REF!</v>
      </c>
      <c r="H652" t="s">
        <v>4058</v>
      </c>
      <c r="J652" t="s">
        <v>4059</v>
      </c>
      <c r="K652" t="s">
        <v>111</v>
      </c>
      <c r="L652">
        <v>72632</v>
      </c>
      <c r="M652" t="s">
        <v>4060</v>
      </c>
      <c r="N652">
        <v>2883911</v>
      </c>
      <c r="O652" t="s">
        <v>3932</v>
      </c>
      <c r="P652">
        <v>2883911</v>
      </c>
      <c r="Q652" t="s">
        <v>3932</v>
      </c>
      <c r="R652" t="s">
        <v>356</v>
      </c>
      <c r="S652" t="s">
        <v>357</v>
      </c>
      <c r="T652" t="s">
        <v>44</v>
      </c>
      <c r="U652" t="s">
        <v>45</v>
      </c>
      <c r="AC652" t="s">
        <v>1100</v>
      </c>
    </row>
    <row r="653" spans="1:33" x14ac:dyDescent="0.3">
      <c r="A653">
        <v>1683</v>
      </c>
      <c r="B653" t="s">
        <v>4061</v>
      </c>
      <c r="C653" t="str">
        <f>"1100004833235"</f>
        <v>1100004833235</v>
      </c>
      <c r="D653" t="str">
        <f>"530800G00"</f>
        <v>530800G00</v>
      </c>
      <c r="E653" s="1">
        <v>44501</v>
      </c>
      <c r="F653" t="s">
        <v>4062</v>
      </c>
      <c r="G653" t="e">
        <f>INDEX(#REF!,MATCH(P653,#REF!,0),1)</f>
        <v>#REF!</v>
      </c>
      <c r="H653" t="s">
        <v>4063</v>
      </c>
      <c r="J653" t="s">
        <v>4064</v>
      </c>
      <c r="K653" t="s">
        <v>125</v>
      </c>
      <c r="L653" t="s">
        <v>4065</v>
      </c>
      <c r="M653" t="s">
        <v>4066</v>
      </c>
      <c r="N653">
        <v>1683</v>
      </c>
      <c r="O653" t="s">
        <v>4062</v>
      </c>
      <c r="P653">
        <v>1683</v>
      </c>
      <c r="Q653" t="s">
        <v>4062</v>
      </c>
      <c r="R653" t="s">
        <v>365</v>
      </c>
      <c r="S653" t="s">
        <v>366</v>
      </c>
      <c r="T653" t="s">
        <v>44</v>
      </c>
      <c r="U653" t="s">
        <v>45</v>
      </c>
      <c r="AC653" t="s">
        <v>2908</v>
      </c>
    </row>
    <row r="654" spans="1:33" x14ac:dyDescent="0.3">
      <c r="A654">
        <v>1684</v>
      </c>
      <c r="B654" t="s">
        <v>4067</v>
      </c>
      <c r="C654" t="str">
        <f>"1100004107756"</f>
        <v>1100004107756</v>
      </c>
      <c r="D654" t="str">
        <f>"534HZNF00"</f>
        <v>534HZNF00</v>
      </c>
      <c r="E654" s="1">
        <v>34486</v>
      </c>
      <c r="F654" t="s">
        <v>4068</v>
      </c>
      <c r="G654" t="e">
        <f>INDEX(#REF!,MATCH(P654,#REF!,0),1)</f>
        <v>#REF!</v>
      </c>
      <c r="H654" t="s">
        <v>4069</v>
      </c>
      <c r="J654" t="s">
        <v>2209</v>
      </c>
      <c r="K654" t="s">
        <v>307</v>
      </c>
      <c r="L654" t="s">
        <v>4070</v>
      </c>
      <c r="M654" t="s">
        <v>4071</v>
      </c>
      <c r="N654">
        <v>1684</v>
      </c>
      <c r="O654" t="s">
        <v>4068</v>
      </c>
      <c r="P654">
        <v>1684</v>
      </c>
      <c r="Q654" t="s">
        <v>4068</v>
      </c>
      <c r="R654" t="s">
        <v>2212</v>
      </c>
      <c r="S654" t="s">
        <v>2213</v>
      </c>
      <c r="T654" t="s">
        <v>117</v>
      </c>
      <c r="U654" t="s">
        <v>4072</v>
      </c>
      <c r="V654" t="s">
        <v>2215</v>
      </c>
    </row>
    <row r="655" spans="1:33" x14ac:dyDescent="0.3">
      <c r="A655">
        <v>1691</v>
      </c>
      <c r="B655" t="s">
        <v>4073</v>
      </c>
      <c r="C655" t="str">
        <f>""</f>
        <v/>
      </c>
      <c r="D655" t="str">
        <f>"F54F4AH00"</f>
        <v>F54F4AH00</v>
      </c>
      <c r="E655" s="1">
        <v>34486</v>
      </c>
      <c r="F655" t="s">
        <v>1570</v>
      </c>
      <c r="G655" t="e">
        <f>INDEX(#REF!,MATCH(P655,#REF!,0),1)</f>
        <v>#REF!</v>
      </c>
      <c r="H655" t="s">
        <v>4074</v>
      </c>
      <c r="J655" t="s">
        <v>4075</v>
      </c>
      <c r="K655" t="s">
        <v>88</v>
      </c>
      <c r="L655" t="s">
        <v>4076</v>
      </c>
      <c r="M655" t="s">
        <v>1569</v>
      </c>
      <c r="N655">
        <v>1691</v>
      </c>
      <c r="O655" t="s">
        <v>1570</v>
      </c>
      <c r="P655">
        <v>1691</v>
      </c>
      <c r="Q655" t="s">
        <v>1570</v>
      </c>
      <c r="R655" t="s">
        <v>1571</v>
      </c>
      <c r="S655" t="s">
        <v>1572</v>
      </c>
      <c r="T655" t="s">
        <v>44</v>
      </c>
      <c r="U655" t="s">
        <v>81</v>
      </c>
      <c r="AA655" t="s">
        <v>1032</v>
      </c>
      <c r="AD655" t="s">
        <v>94</v>
      </c>
      <c r="AE655" t="s">
        <v>1033</v>
      </c>
    </row>
    <row r="656" spans="1:33" x14ac:dyDescent="0.3">
      <c r="A656">
        <v>1692</v>
      </c>
      <c r="B656" t="s">
        <v>4077</v>
      </c>
      <c r="C656" t="str">
        <f>""</f>
        <v/>
      </c>
      <c r="D656" t="str">
        <f>"931040H00"</f>
        <v>931040H00</v>
      </c>
      <c r="E656" s="1">
        <v>34486</v>
      </c>
      <c r="F656" t="s">
        <v>4078</v>
      </c>
      <c r="G656" t="e">
        <f>INDEX(#REF!,MATCH(P656,#REF!,0),1)</f>
        <v>#REF!</v>
      </c>
      <c r="H656" t="s">
        <v>4079</v>
      </c>
      <c r="J656" t="s">
        <v>4075</v>
      </c>
      <c r="K656" t="s">
        <v>88</v>
      </c>
      <c r="L656" t="s">
        <v>4080</v>
      </c>
      <c r="M656" t="s">
        <v>4081</v>
      </c>
      <c r="N656">
        <v>1691</v>
      </c>
      <c r="O656" t="s">
        <v>1570</v>
      </c>
      <c r="P656">
        <v>1691</v>
      </c>
      <c r="Q656" t="s">
        <v>1570</v>
      </c>
      <c r="R656" t="s">
        <v>1571</v>
      </c>
      <c r="S656" t="s">
        <v>1572</v>
      </c>
      <c r="T656" t="s">
        <v>44</v>
      </c>
      <c r="U656" t="s">
        <v>45</v>
      </c>
      <c r="AA656" t="s">
        <v>1032</v>
      </c>
      <c r="AD656" t="s">
        <v>94</v>
      </c>
      <c r="AE656" t="s">
        <v>1033</v>
      </c>
    </row>
    <row r="657" spans="1:33" x14ac:dyDescent="0.3">
      <c r="A657">
        <v>1696</v>
      </c>
      <c r="B657" t="s">
        <v>4082</v>
      </c>
      <c r="C657" t="str">
        <f>"1100004870612"</f>
        <v>1100004870612</v>
      </c>
      <c r="D657" t="str">
        <f>"390460M00"</f>
        <v>390460M00</v>
      </c>
      <c r="E657" s="1">
        <v>31187</v>
      </c>
      <c r="F657" t="s">
        <v>4083</v>
      </c>
      <c r="G657" t="e">
        <f>INDEX(#REF!,MATCH(P657,#REF!,0),1)</f>
        <v>#REF!</v>
      </c>
      <c r="H657" t="s">
        <v>1496</v>
      </c>
      <c r="J657" t="s">
        <v>1497</v>
      </c>
      <c r="K657" t="s">
        <v>167</v>
      </c>
      <c r="L657" t="s">
        <v>4084</v>
      </c>
      <c r="M657" t="s">
        <v>4085</v>
      </c>
      <c r="N657">
        <v>407</v>
      </c>
      <c r="O657" t="s">
        <v>1495</v>
      </c>
      <c r="P657">
        <v>407</v>
      </c>
      <c r="Q657" t="s">
        <v>1495</v>
      </c>
      <c r="R657" t="s">
        <v>571</v>
      </c>
      <c r="S657" t="s">
        <v>572</v>
      </c>
      <c r="T657" t="s">
        <v>44</v>
      </c>
      <c r="U657" t="s">
        <v>45</v>
      </c>
      <c r="AA657" t="s">
        <v>105</v>
      </c>
    </row>
    <row r="658" spans="1:33" x14ac:dyDescent="0.3">
      <c r="A658">
        <v>1698</v>
      </c>
      <c r="B658" t="s">
        <v>4086</v>
      </c>
      <c r="C658" t="str">
        <f>""</f>
        <v/>
      </c>
      <c r="D658" t="str">
        <f>"432590N00"</f>
        <v>432590N00</v>
      </c>
      <c r="E658" s="1">
        <v>31093</v>
      </c>
      <c r="F658" t="s">
        <v>4087</v>
      </c>
      <c r="G658" t="e">
        <f>INDEX(#REF!,MATCH(P658,#REF!,0),1)</f>
        <v>#REF!</v>
      </c>
      <c r="H658" t="s">
        <v>1247</v>
      </c>
      <c r="J658" t="s">
        <v>1248</v>
      </c>
      <c r="K658" t="s">
        <v>342</v>
      </c>
      <c r="L658" t="s">
        <v>1249</v>
      </c>
      <c r="M658" t="s">
        <v>1250</v>
      </c>
      <c r="N658">
        <v>332</v>
      </c>
      <c r="O658" t="s">
        <v>345</v>
      </c>
      <c r="P658">
        <v>332</v>
      </c>
      <c r="Q658" t="s">
        <v>345</v>
      </c>
      <c r="R658" t="s">
        <v>346</v>
      </c>
      <c r="S658" t="s">
        <v>347</v>
      </c>
      <c r="T658" t="s">
        <v>44</v>
      </c>
      <c r="U658" t="s">
        <v>45</v>
      </c>
      <c r="AA658" t="s">
        <v>119</v>
      </c>
      <c r="AE658" t="s">
        <v>348</v>
      </c>
      <c r="AG658" t="s">
        <v>48</v>
      </c>
    </row>
    <row r="659" spans="1:33" x14ac:dyDescent="0.3">
      <c r="A659">
        <v>1701</v>
      </c>
      <c r="B659" t="s">
        <v>4088</v>
      </c>
      <c r="C659" t="str">
        <f>""</f>
        <v/>
      </c>
      <c r="D659" t="str">
        <f>"120080B00"</f>
        <v>120080B00</v>
      </c>
      <c r="E659" s="1">
        <v>34516</v>
      </c>
      <c r="F659" t="s">
        <v>4089</v>
      </c>
      <c r="G659" t="e">
        <f>INDEX(#REF!,MATCH(P659,#REF!,0),1)</f>
        <v>#REF!</v>
      </c>
      <c r="H659" t="s">
        <v>4090</v>
      </c>
      <c r="J659" t="s">
        <v>1346</v>
      </c>
      <c r="K659" t="s">
        <v>53</v>
      </c>
      <c r="L659" t="str">
        <f>"03820-2526"</f>
        <v>03820-2526</v>
      </c>
      <c r="M659" t="s">
        <v>4091</v>
      </c>
      <c r="N659">
        <v>2598</v>
      </c>
      <c r="O659" t="s">
        <v>2136</v>
      </c>
      <c r="P659">
        <v>2598</v>
      </c>
      <c r="Q659" t="s">
        <v>2136</v>
      </c>
      <c r="R659" t="s">
        <v>2492</v>
      </c>
      <c r="S659" t="s">
        <v>2493</v>
      </c>
      <c r="T659" t="s">
        <v>44</v>
      </c>
      <c r="U659" t="s">
        <v>45</v>
      </c>
      <c r="AE659" t="s">
        <v>72</v>
      </c>
      <c r="AG659" t="s">
        <v>48</v>
      </c>
    </row>
    <row r="660" spans="1:33" x14ac:dyDescent="0.3">
      <c r="A660">
        <v>1702</v>
      </c>
      <c r="B660" t="s">
        <v>4092</v>
      </c>
      <c r="C660" t="str">
        <f>"1100005827264"</f>
        <v>1100005827264</v>
      </c>
      <c r="D660" t="str">
        <f>"631650L00"</f>
        <v>631650L00</v>
      </c>
      <c r="E660" s="1">
        <v>34639</v>
      </c>
      <c r="F660" t="s">
        <v>4093</v>
      </c>
      <c r="G660" t="e">
        <f>INDEX(#REF!,MATCH(P660,#REF!,0),1)</f>
        <v>#REF!</v>
      </c>
      <c r="H660" t="s">
        <v>4094</v>
      </c>
      <c r="J660" t="s">
        <v>176</v>
      </c>
      <c r="K660" t="s">
        <v>177</v>
      </c>
      <c r="L660" t="s">
        <v>4095</v>
      </c>
      <c r="M660" t="s">
        <v>4096</v>
      </c>
      <c r="N660">
        <v>6104582</v>
      </c>
      <c r="O660" t="s">
        <v>180</v>
      </c>
      <c r="P660">
        <v>1351</v>
      </c>
      <c r="Q660" t="s">
        <v>181</v>
      </c>
      <c r="R660" t="s">
        <v>182</v>
      </c>
      <c r="S660" t="s">
        <v>183</v>
      </c>
      <c r="T660" t="s">
        <v>44</v>
      </c>
      <c r="U660" t="s">
        <v>45</v>
      </c>
      <c r="AA660" t="s">
        <v>185</v>
      </c>
      <c r="AE660" t="s">
        <v>186</v>
      </c>
    </row>
    <row r="661" spans="1:33" x14ac:dyDescent="0.3">
      <c r="A661">
        <v>1703</v>
      </c>
      <c r="B661" t="s">
        <v>4097</v>
      </c>
      <c r="C661" t="str">
        <f>"1100005280236"</f>
        <v>1100005280236</v>
      </c>
      <c r="D661" t="str">
        <f>"230550F00"</f>
        <v>230550F00</v>
      </c>
      <c r="E661" s="1">
        <v>34731</v>
      </c>
      <c r="F661" t="s">
        <v>4098</v>
      </c>
      <c r="G661" t="e">
        <f>INDEX(#REF!,MATCH(P661,#REF!,0),1)</f>
        <v>#REF!</v>
      </c>
      <c r="H661" t="s">
        <v>4099</v>
      </c>
      <c r="J661" t="s">
        <v>1526</v>
      </c>
      <c r="K661" t="s">
        <v>65</v>
      </c>
      <c r="L661" t="s">
        <v>4100</v>
      </c>
      <c r="M661" t="s">
        <v>4101</v>
      </c>
      <c r="N661">
        <v>4007</v>
      </c>
      <c r="O661" t="s">
        <v>276</v>
      </c>
      <c r="P661">
        <v>2139</v>
      </c>
      <c r="Q661" t="s">
        <v>1999</v>
      </c>
      <c r="R661" t="s">
        <v>4102</v>
      </c>
      <c r="S661" t="s">
        <v>4103</v>
      </c>
      <c r="T661" t="s">
        <v>2277</v>
      </c>
      <c r="U661" t="s">
        <v>2278</v>
      </c>
      <c r="V661" t="s">
        <v>1824</v>
      </c>
      <c r="AG661" t="s">
        <v>48</v>
      </c>
    </row>
    <row r="662" spans="1:33" x14ac:dyDescent="0.3">
      <c r="A662">
        <v>1704</v>
      </c>
      <c r="B662" t="s">
        <v>4104</v>
      </c>
      <c r="C662" t="str">
        <f>""</f>
        <v/>
      </c>
      <c r="D662" t="str">
        <f>"FNETRMM00"</f>
        <v>FNETRMM00</v>
      </c>
      <c r="E662" s="1">
        <v>42583</v>
      </c>
      <c r="F662" t="s">
        <v>4105</v>
      </c>
      <c r="G662" t="e">
        <f>INDEX(#REF!,MATCH(P662,#REF!,0),1)</f>
        <v>#REF!</v>
      </c>
      <c r="H662" t="s">
        <v>4106</v>
      </c>
      <c r="J662" t="s">
        <v>2298</v>
      </c>
      <c r="K662" t="s">
        <v>2244</v>
      </c>
      <c r="L662">
        <v>14624</v>
      </c>
      <c r="M662" t="s">
        <v>4107</v>
      </c>
      <c r="N662">
        <v>1362</v>
      </c>
      <c r="O662" t="s">
        <v>2316</v>
      </c>
      <c r="P662">
        <v>1789</v>
      </c>
      <c r="Q662" t="s">
        <v>2317</v>
      </c>
      <c r="R662" t="s">
        <v>940</v>
      </c>
      <c r="S662" t="s">
        <v>941</v>
      </c>
      <c r="T662" t="s">
        <v>117</v>
      </c>
      <c r="U662" t="s">
        <v>4108</v>
      </c>
    </row>
    <row r="663" spans="1:33" x14ac:dyDescent="0.3">
      <c r="A663">
        <v>1705</v>
      </c>
      <c r="B663" t="s">
        <v>4109</v>
      </c>
      <c r="C663" t="str">
        <f>"1100004945112"</f>
        <v>1100004945112</v>
      </c>
      <c r="D663" t="str">
        <f>"640430H00"</f>
        <v>640430H00</v>
      </c>
      <c r="E663" s="1">
        <v>39694</v>
      </c>
      <c r="F663" t="s">
        <v>4110</v>
      </c>
      <c r="G663" t="e">
        <f>INDEX(#REF!,MATCH(P663,#REF!,0),1)</f>
        <v>#REF!</v>
      </c>
      <c r="H663" t="s">
        <v>4111</v>
      </c>
      <c r="J663" t="s">
        <v>4112</v>
      </c>
      <c r="K663" t="s">
        <v>191</v>
      </c>
      <c r="L663" t="s">
        <v>4113</v>
      </c>
      <c r="M663" t="s">
        <v>4114</v>
      </c>
      <c r="N663">
        <v>871561</v>
      </c>
      <c r="O663" t="s">
        <v>194</v>
      </c>
      <c r="P663">
        <v>102627</v>
      </c>
      <c r="Q663" t="s">
        <v>3048</v>
      </c>
      <c r="R663" t="s">
        <v>196</v>
      </c>
      <c r="S663" t="s">
        <v>197</v>
      </c>
      <c r="T663" t="s">
        <v>44</v>
      </c>
      <c r="U663" t="s">
        <v>45</v>
      </c>
      <c r="AA663" t="s">
        <v>119</v>
      </c>
      <c r="AE663" t="s">
        <v>120</v>
      </c>
      <c r="AG663" t="s">
        <v>48</v>
      </c>
    </row>
    <row r="664" spans="1:33" x14ac:dyDescent="0.3">
      <c r="A664">
        <v>1706</v>
      </c>
      <c r="B664" t="s">
        <v>4115</v>
      </c>
      <c r="C664" t="str">
        <f>"1100004638144"</f>
        <v>1100004638144</v>
      </c>
      <c r="D664" t="str">
        <f>"820220E00"</f>
        <v>820220E00</v>
      </c>
      <c r="E664" s="1">
        <v>34516</v>
      </c>
      <c r="F664" t="s">
        <v>4116</v>
      </c>
      <c r="G664" t="e">
        <f>INDEX(#REF!,MATCH(P664,#REF!,0),1)</f>
        <v>#REF!</v>
      </c>
      <c r="H664" t="s">
        <v>4117</v>
      </c>
      <c r="J664" t="s">
        <v>4118</v>
      </c>
      <c r="K664" t="s">
        <v>533</v>
      </c>
      <c r="L664" t="s">
        <v>4119</v>
      </c>
      <c r="M664" t="s">
        <v>4120</v>
      </c>
      <c r="N664">
        <v>1706</v>
      </c>
      <c r="O664" t="s">
        <v>4116</v>
      </c>
      <c r="P664">
        <v>1706</v>
      </c>
      <c r="Q664" t="s">
        <v>4116</v>
      </c>
      <c r="R664" t="s">
        <v>245</v>
      </c>
      <c r="S664" t="s">
        <v>246</v>
      </c>
      <c r="T664" t="s">
        <v>44</v>
      </c>
      <c r="U664" t="s">
        <v>45</v>
      </c>
      <c r="AC664" t="s">
        <v>1265</v>
      </c>
    </row>
    <row r="665" spans="1:33" x14ac:dyDescent="0.3">
      <c r="A665">
        <v>1711</v>
      </c>
      <c r="B665" t="s">
        <v>4121</v>
      </c>
      <c r="C665" t="str">
        <f>""</f>
        <v/>
      </c>
      <c r="D665" t="str">
        <f>"412330D00"</f>
        <v>412330D00</v>
      </c>
      <c r="E665" s="1">
        <v>42655</v>
      </c>
      <c r="F665" t="s">
        <v>4122</v>
      </c>
      <c r="G665" t="e">
        <f>INDEX(#REF!,MATCH(P665,#REF!,0),1)</f>
        <v>#REF!</v>
      </c>
      <c r="H665" t="s">
        <v>4123</v>
      </c>
      <c r="J665" t="s">
        <v>4124</v>
      </c>
      <c r="K665" t="s">
        <v>37</v>
      </c>
      <c r="L665" t="s">
        <v>4125</v>
      </c>
      <c r="M665" t="s">
        <v>4126</v>
      </c>
      <c r="N665">
        <v>1711</v>
      </c>
      <c r="O665" t="s">
        <v>4122</v>
      </c>
      <c r="P665">
        <v>1711</v>
      </c>
      <c r="Q665" t="s">
        <v>4122</v>
      </c>
      <c r="R665" t="s">
        <v>940</v>
      </c>
      <c r="S665" t="s">
        <v>941</v>
      </c>
      <c r="T665" t="s">
        <v>44</v>
      </c>
      <c r="U665" t="s">
        <v>45</v>
      </c>
      <c r="AA665" t="s">
        <v>337</v>
      </c>
      <c r="AB665" t="s">
        <v>211</v>
      </c>
      <c r="AD665" t="s">
        <v>94</v>
      </c>
      <c r="AE665" t="s">
        <v>404</v>
      </c>
    </row>
    <row r="666" spans="1:33" x14ac:dyDescent="0.3">
      <c r="A666">
        <v>1713</v>
      </c>
      <c r="B666" t="s">
        <v>4127</v>
      </c>
      <c r="C666" t="str">
        <f>""</f>
        <v/>
      </c>
      <c r="D666" t="str">
        <f>"C74GQMF00"</f>
        <v>C74GQMF00</v>
      </c>
      <c r="E666" s="1">
        <v>25569</v>
      </c>
      <c r="F666" t="s">
        <v>4128</v>
      </c>
      <c r="G666" t="e">
        <f>INDEX(#REF!,MATCH(P666,#REF!,0),1)</f>
        <v>#REF!</v>
      </c>
      <c r="H666" t="s">
        <v>4129</v>
      </c>
      <c r="J666" t="s">
        <v>2145</v>
      </c>
      <c r="K666" t="s">
        <v>2451</v>
      </c>
      <c r="L666" t="s">
        <v>4130</v>
      </c>
      <c r="M666" t="s">
        <v>4131</v>
      </c>
      <c r="N666">
        <v>1713</v>
      </c>
      <c r="O666" t="s">
        <v>4128</v>
      </c>
      <c r="P666">
        <v>1713</v>
      </c>
      <c r="Q666" t="s">
        <v>4128</v>
      </c>
      <c r="T666" t="s">
        <v>3674</v>
      </c>
      <c r="U666" t="s">
        <v>4132</v>
      </c>
    </row>
    <row r="667" spans="1:33" x14ac:dyDescent="0.3">
      <c r="A667">
        <v>1716</v>
      </c>
      <c r="B667" t="s">
        <v>4133</v>
      </c>
      <c r="C667" t="str">
        <f>""</f>
        <v/>
      </c>
      <c r="D667" t="str">
        <f>""</f>
        <v/>
      </c>
      <c r="E667" s="1">
        <v>25569</v>
      </c>
      <c r="F667" t="s">
        <v>4134</v>
      </c>
      <c r="G667" t="e">
        <f>INDEX(#REF!,MATCH(P667,#REF!,0),1)</f>
        <v>#REF!</v>
      </c>
      <c r="H667" t="s">
        <v>4135</v>
      </c>
      <c r="J667" t="s">
        <v>4136</v>
      </c>
      <c r="K667" t="s">
        <v>676</v>
      </c>
      <c r="L667" t="s">
        <v>4137</v>
      </c>
      <c r="M667" t="s">
        <v>4138</v>
      </c>
      <c r="N667">
        <v>1716</v>
      </c>
      <c r="O667" t="s">
        <v>4134</v>
      </c>
      <c r="P667">
        <v>1716</v>
      </c>
      <c r="Q667" t="s">
        <v>4134</v>
      </c>
      <c r="R667" t="s">
        <v>245</v>
      </c>
      <c r="S667" t="s">
        <v>246</v>
      </c>
      <c r="T667" t="s">
        <v>3674</v>
      </c>
      <c r="U667" t="s">
        <v>4139</v>
      </c>
      <c r="V667" t="s">
        <v>2215</v>
      </c>
      <c r="X667" t="s">
        <v>289</v>
      </c>
      <c r="Y667" t="s">
        <v>46</v>
      </c>
      <c r="Z667" s="1">
        <v>41582</v>
      </c>
    </row>
    <row r="668" spans="1:33" x14ac:dyDescent="0.3">
      <c r="A668">
        <v>1722</v>
      </c>
      <c r="B668" t="s">
        <v>4140</v>
      </c>
      <c r="C668" t="str">
        <f>""</f>
        <v/>
      </c>
      <c r="D668" t="str">
        <f>"X63RB3B00"</f>
        <v>X63RB3B00</v>
      </c>
      <c r="E668" s="1">
        <v>25569</v>
      </c>
      <c r="F668" t="s">
        <v>4141</v>
      </c>
      <c r="G668" t="e">
        <f>INDEX(#REF!,MATCH(P668,#REF!,0),1)</f>
        <v>#REF!</v>
      </c>
      <c r="H668" t="s">
        <v>4142</v>
      </c>
      <c r="J668" t="s">
        <v>4143</v>
      </c>
      <c r="K668" t="s">
        <v>65</v>
      </c>
      <c r="L668" t="s">
        <v>4144</v>
      </c>
      <c r="M668" t="s">
        <v>4145</v>
      </c>
      <c r="N668">
        <v>1722</v>
      </c>
      <c r="O668" t="s">
        <v>4141</v>
      </c>
      <c r="P668">
        <v>1722</v>
      </c>
      <c r="Q668" t="s">
        <v>4141</v>
      </c>
      <c r="T668" t="s">
        <v>3674</v>
      </c>
      <c r="U668" t="s">
        <v>4132</v>
      </c>
    </row>
    <row r="669" spans="1:33" x14ac:dyDescent="0.3">
      <c r="A669">
        <v>1724</v>
      </c>
      <c r="B669" t="s">
        <v>4146</v>
      </c>
      <c r="C669" t="str">
        <f>""</f>
        <v/>
      </c>
      <c r="D669" t="str">
        <f>"PO8BXYR00"</f>
        <v>PO8BXYR00</v>
      </c>
      <c r="E669" s="1">
        <v>25569</v>
      </c>
      <c r="F669" t="s">
        <v>4147</v>
      </c>
      <c r="G669" t="e">
        <f>INDEX(#REF!,MATCH(P669,#REF!,0),1)</f>
        <v>#REF!</v>
      </c>
      <c r="H669" t="s">
        <v>4148</v>
      </c>
      <c r="J669" t="s">
        <v>4149</v>
      </c>
      <c r="K669" t="s">
        <v>177</v>
      </c>
      <c r="L669">
        <v>63043</v>
      </c>
      <c r="M669" t="s">
        <v>4150</v>
      </c>
      <c r="N669">
        <v>1724</v>
      </c>
      <c r="O669" t="s">
        <v>4147</v>
      </c>
      <c r="P669">
        <v>1724</v>
      </c>
      <c r="Q669" t="s">
        <v>4147</v>
      </c>
      <c r="T669" t="s">
        <v>3674</v>
      </c>
      <c r="U669" t="s">
        <v>4132</v>
      </c>
    </row>
    <row r="670" spans="1:33" x14ac:dyDescent="0.3">
      <c r="A670">
        <v>1725</v>
      </c>
      <c r="B670" t="s">
        <v>4151</v>
      </c>
      <c r="C670" t="str">
        <f>""</f>
        <v/>
      </c>
      <c r="D670" t="str">
        <f>"10FC93400"</f>
        <v>10FC93400</v>
      </c>
      <c r="E670" s="1">
        <v>25569</v>
      </c>
      <c r="F670" t="s">
        <v>4152</v>
      </c>
      <c r="G670" t="e">
        <f>INDEX(#REF!,MATCH(P670,#REF!,0),1)</f>
        <v>#REF!</v>
      </c>
      <c r="H670" t="s">
        <v>4153</v>
      </c>
      <c r="J670" t="s">
        <v>260</v>
      </c>
      <c r="K670" t="s">
        <v>261</v>
      </c>
      <c r="L670" t="s">
        <v>4154</v>
      </c>
      <c r="M670" t="s">
        <v>4155</v>
      </c>
      <c r="N670">
        <v>1725</v>
      </c>
      <c r="O670" t="s">
        <v>4152</v>
      </c>
      <c r="P670">
        <v>1725</v>
      </c>
      <c r="Q670" t="s">
        <v>4152</v>
      </c>
      <c r="T670" t="s">
        <v>3674</v>
      </c>
      <c r="U670" t="s">
        <v>4132</v>
      </c>
    </row>
    <row r="671" spans="1:33" x14ac:dyDescent="0.3">
      <c r="A671">
        <v>1726</v>
      </c>
      <c r="B671" t="s">
        <v>4156</v>
      </c>
      <c r="C671" t="str">
        <f>""</f>
        <v/>
      </c>
      <c r="D671" t="str">
        <f>"5KDK7TM00"</f>
        <v>5KDK7TM00</v>
      </c>
      <c r="E671" s="1">
        <v>25569</v>
      </c>
      <c r="F671" t="s">
        <v>4157</v>
      </c>
      <c r="G671" t="e">
        <f>INDEX(#REF!,MATCH(P671,#REF!,0),1)</f>
        <v>#REF!</v>
      </c>
      <c r="H671" t="s">
        <v>4158</v>
      </c>
      <c r="J671" t="s">
        <v>4159</v>
      </c>
      <c r="K671" t="s">
        <v>283</v>
      </c>
      <c r="L671" t="s">
        <v>4160</v>
      </c>
      <c r="M671" t="s">
        <v>4161</v>
      </c>
      <c r="N671">
        <v>1726</v>
      </c>
      <c r="O671" t="s">
        <v>4157</v>
      </c>
      <c r="P671">
        <v>1726</v>
      </c>
      <c r="Q671" t="s">
        <v>4157</v>
      </c>
      <c r="T671" t="s">
        <v>3674</v>
      </c>
      <c r="U671" t="s">
        <v>4132</v>
      </c>
    </row>
    <row r="672" spans="1:33" x14ac:dyDescent="0.3">
      <c r="A672">
        <v>1727</v>
      </c>
      <c r="B672" t="s">
        <v>4162</v>
      </c>
      <c r="C672" t="str">
        <f>""</f>
        <v/>
      </c>
      <c r="D672" t="str">
        <f>""</f>
        <v/>
      </c>
      <c r="E672" s="1">
        <v>28126</v>
      </c>
      <c r="F672" t="s">
        <v>4163</v>
      </c>
      <c r="G672" t="e">
        <f>INDEX(#REF!,MATCH(P672,#REF!,0),1)</f>
        <v>#REF!</v>
      </c>
      <c r="H672" t="s">
        <v>4158</v>
      </c>
      <c r="I672" t="s">
        <v>4164</v>
      </c>
      <c r="J672" t="s">
        <v>4159</v>
      </c>
      <c r="K672" t="s">
        <v>283</v>
      </c>
      <c r="L672" t="s">
        <v>4160</v>
      </c>
      <c r="M672" t="s">
        <v>4165</v>
      </c>
      <c r="N672">
        <v>1727</v>
      </c>
      <c r="O672" t="s">
        <v>4163</v>
      </c>
      <c r="P672">
        <v>1727</v>
      </c>
      <c r="Q672" t="s">
        <v>4163</v>
      </c>
      <c r="T672" t="s">
        <v>3674</v>
      </c>
      <c r="U672" t="s">
        <v>4132</v>
      </c>
    </row>
    <row r="673" spans="1:33" x14ac:dyDescent="0.3">
      <c r="A673">
        <v>1728</v>
      </c>
      <c r="B673" t="s">
        <v>4166</v>
      </c>
      <c r="C673" t="str">
        <f>""</f>
        <v/>
      </c>
      <c r="D673" t="str">
        <f>"A6H7FP800"</f>
        <v>A6H7FP800</v>
      </c>
      <c r="E673" s="1">
        <v>25569</v>
      </c>
      <c r="F673" t="s">
        <v>4167</v>
      </c>
      <c r="G673" t="e">
        <f>INDEX(#REF!,MATCH(P673,#REF!,0),1)</f>
        <v>#REF!</v>
      </c>
      <c r="H673" t="s">
        <v>4168</v>
      </c>
      <c r="J673" t="s">
        <v>306</v>
      </c>
      <c r="K673" t="s">
        <v>307</v>
      </c>
      <c r="L673" t="s">
        <v>4169</v>
      </c>
      <c r="M673" t="s">
        <v>4170</v>
      </c>
      <c r="N673">
        <v>1728</v>
      </c>
      <c r="O673" t="s">
        <v>4167</v>
      </c>
      <c r="P673">
        <v>1728</v>
      </c>
      <c r="Q673" t="s">
        <v>4167</v>
      </c>
      <c r="T673" t="s">
        <v>3674</v>
      </c>
      <c r="U673" t="s">
        <v>4132</v>
      </c>
    </row>
    <row r="674" spans="1:33" x14ac:dyDescent="0.3">
      <c r="A674">
        <v>1731</v>
      </c>
      <c r="B674" t="s">
        <v>4171</v>
      </c>
      <c r="C674" t="str">
        <f>""</f>
        <v/>
      </c>
      <c r="D674" t="str">
        <f>""</f>
        <v/>
      </c>
      <c r="E674" s="1">
        <v>25569</v>
      </c>
      <c r="F674" t="s">
        <v>4172</v>
      </c>
      <c r="G674" t="e">
        <f>INDEX(#REF!,MATCH(P674,#REF!,0),1)</f>
        <v>#REF!</v>
      </c>
      <c r="H674" t="s">
        <v>4173</v>
      </c>
      <c r="J674" t="s">
        <v>64</v>
      </c>
      <c r="K674" t="s">
        <v>65</v>
      </c>
      <c r="L674">
        <v>15275</v>
      </c>
      <c r="M674" t="s">
        <v>4174</v>
      </c>
      <c r="N674">
        <v>1731</v>
      </c>
      <c r="O674" t="s">
        <v>4172</v>
      </c>
      <c r="P674">
        <v>1731</v>
      </c>
      <c r="Q674" t="s">
        <v>4172</v>
      </c>
      <c r="T674" t="s">
        <v>3674</v>
      </c>
      <c r="U674" t="s">
        <v>4132</v>
      </c>
    </row>
    <row r="675" spans="1:33" x14ac:dyDescent="0.3">
      <c r="A675">
        <v>1733</v>
      </c>
      <c r="B675" t="s">
        <v>4175</v>
      </c>
      <c r="C675" t="str">
        <f>""</f>
        <v/>
      </c>
      <c r="D675" t="str">
        <f>"L9NF72500"</f>
        <v>L9NF72500</v>
      </c>
      <c r="E675" s="1">
        <v>25569</v>
      </c>
      <c r="F675" t="s">
        <v>4176</v>
      </c>
      <c r="G675" t="e">
        <f>INDEX(#REF!,MATCH(P675,#REF!,0),1)</f>
        <v>#REF!</v>
      </c>
      <c r="H675" t="s">
        <v>4177</v>
      </c>
      <c r="J675" t="s">
        <v>4178</v>
      </c>
      <c r="K675" t="s">
        <v>2004</v>
      </c>
      <c r="L675" t="str">
        <f>"02184-4963"</f>
        <v>02184-4963</v>
      </c>
      <c r="M675" t="s">
        <v>4179</v>
      </c>
      <c r="N675">
        <v>1733</v>
      </c>
      <c r="O675" t="s">
        <v>4176</v>
      </c>
      <c r="P675">
        <v>1733</v>
      </c>
      <c r="Q675" t="s">
        <v>4176</v>
      </c>
      <c r="T675" t="s">
        <v>3674</v>
      </c>
      <c r="U675" t="s">
        <v>4132</v>
      </c>
    </row>
    <row r="676" spans="1:33" x14ac:dyDescent="0.3">
      <c r="A676">
        <v>1734</v>
      </c>
      <c r="B676" t="s">
        <v>4180</v>
      </c>
      <c r="C676" t="str">
        <f>""</f>
        <v/>
      </c>
      <c r="D676" t="str">
        <f>"AP24LQG00"</f>
        <v>AP24LQG00</v>
      </c>
      <c r="E676" s="1">
        <v>25569</v>
      </c>
      <c r="F676" t="s">
        <v>4181</v>
      </c>
      <c r="G676" t="e">
        <f>INDEX(#REF!,MATCH(P676,#REF!,0),1)</f>
        <v>#REF!</v>
      </c>
      <c r="H676" t="s">
        <v>4182</v>
      </c>
      <c r="J676" t="s">
        <v>4183</v>
      </c>
      <c r="K676" t="s">
        <v>2244</v>
      </c>
      <c r="L676" t="s">
        <v>4184</v>
      </c>
      <c r="M676" t="s">
        <v>4185</v>
      </c>
      <c r="N676">
        <v>1734</v>
      </c>
      <c r="O676" t="s">
        <v>4181</v>
      </c>
      <c r="P676">
        <v>1734</v>
      </c>
      <c r="Q676" t="s">
        <v>4181</v>
      </c>
      <c r="T676" t="s">
        <v>3674</v>
      </c>
      <c r="U676" t="s">
        <v>4132</v>
      </c>
    </row>
    <row r="677" spans="1:33" x14ac:dyDescent="0.3">
      <c r="A677">
        <v>1736</v>
      </c>
      <c r="B677" t="s">
        <v>4186</v>
      </c>
      <c r="C677" t="str">
        <f>""</f>
        <v/>
      </c>
      <c r="D677" t="str">
        <f>"D5PV10300"</f>
        <v>D5PV10300</v>
      </c>
      <c r="E677" s="1">
        <v>25569</v>
      </c>
      <c r="F677" t="s">
        <v>4187</v>
      </c>
      <c r="G677" t="e">
        <f>INDEX(#REF!,MATCH(P677,#REF!,0),1)</f>
        <v>#REF!</v>
      </c>
      <c r="H677" t="s">
        <v>4188</v>
      </c>
      <c r="J677" t="s">
        <v>4189</v>
      </c>
      <c r="K677" t="s">
        <v>835</v>
      </c>
      <c r="L677" t="s">
        <v>4190</v>
      </c>
      <c r="M677" t="s">
        <v>4191</v>
      </c>
      <c r="N677">
        <v>1736</v>
      </c>
      <c r="O677" t="s">
        <v>4187</v>
      </c>
      <c r="P677">
        <v>1736</v>
      </c>
      <c r="Q677" t="s">
        <v>4187</v>
      </c>
      <c r="T677" t="s">
        <v>3674</v>
      </c>
      <c r="U677" t="s">
        <v>4132</v>
      </c>
    </row>
    <row r="678" spans="1:33" x14ac:dyDescent="0.3">
      <c r="A678">
        <v>1739</v>
      </c>
      <c r="B678" t="s">
        <v>4192</v>
      </c>
      <c r="C678" t="str">
        <f>""</f>
        <v/>
      </c>
      <c r="D678" t="str">
        <f>"7EXGG9N00"</f>
        <v>7EXGG9N00</v>
      </c>
      <c r="E678" s="1">
        <v>25569</v>
      </c>
      <c r="F678" t="s">
        <v>4193</v>
      </c>
      <c r="G678" t="e">
        <f>INDEX(#REF!,MATCH(P678,#REF!,0),1)</f>
        <v>#REF!</v>
      </c>
      <c r="H678" t="s">
        <v>4194</v>
      </c>
      <c r="J678" t="s">
        <v>762</v>
      </c>
      <c r="K678" t="s">
        <v>763</v>
      </c>
      <c r="L678">
        <v>73116</v>
      </c>
      <c r="M678" t="s">
        <v>4195</v>
      </c>
      <c r="N678">
        <v>1739</v>
      </c>
      <c r="O678" t="s">
        <v>4193</v>
      </c>
      <c r="P678">
        <v>1739</v>
      </c>
      <c r="Q678" t="s">
        <v>4193</v>
      </c>
      <c r="T678" t="s">
        <v>3674</v>
      </c>
      <c r="U678" t="s">
        <v>4132</v>
      </c>
    </row>
    <row r="679" spans="1:33" x14ac:dyDescent="0.3">
      <c r="A679">
        <v>1741</v>
      </c>
      <c r="B679" t="s">
        <v>4196</v>
      </c>
      <c r="C679" t="str">
        <f>""</f>
        <v/>
      </c>
      <c r="D679" t="str">
        <f>"BL91A5L00"</f>
        <v>BL91A5L00</v>
      </c>
      <c r="E679" s="1">
        <v>25569</v>
      </c>
      <c r="F679" t="s">
        <v>4197</v>
      </c>
      <c r="G679" t="e">
        <f>INDEX(#REF!,MATCH(P679,#REF!,0),1)</f>
        <v>#REF!</v>
      </c>
      <c r="H679" t="s">
        <v>4198</v>
      </c>
      <c r="J679" t="s">
        <v>4199</v>
      </c>
      <c r="K679" t="s">
        <v>167</v>
      </c>
      <c r="L679">
        <v>33607</v>
      </c>
      <c r="M679" t="s">
        <v>4200</v>
      </c>
      <c r="N679">
        <v>1741</v>
      </c>
      <c r="O679" t="s">
        <v>4197</v>
      </c>
      <c r="P679">
        <v>1741</v>
      </c>
      <c r="Q679" t="s">
        <v>4197</v>
      </c>
      <c r="T679" t="s">
        <v>3674</v>
      </c>
      <c r="U679" t="s">
        <v>4132</v>
      </c>
    </row>
    <row r="680" spans="1:33" x14ac:dyDescent="0.3">
      <c r="A680">
        <v>1742</v>
      </c>
      <c r="B680" t="s">
        <v>4201</v>
      </c>
      <c r="C680" t="str">
        <f>""</f>
        <v/>
      </c>
      <c r="D680" t="str">
        <f>"7LBL91Y00"</f>
        <v>7LBL91Y00</v>
      </c>
      <c r="E680" s="1">
        <v>25569</v>
      </c>
      <c r="F680" t="s">
        <v>4202</v>
      </c>
      <c r="G680" t="e">
        <f>INDEX(#REF!,MATCH(P680,#REF!,0),1)</f>
        <v>#REF!</v>
      </c>
      <c r="H680" t="s">
        <v>4203</v>
      </c>
      <c r="J680" t="s">
        <v>781</v>
      </c>
      <c r="K680" t="s">
        <v>353</v>
      </c>
      <c r="L680" t="s">
        <v>4204</v>
      </c>
      <c r="M680" t="s">
        <v>4205</v>
      </c>
      <c r="N680">
        <v>1742</v>
      </c>
      <c r="O680" t="s">
        <v>4202</v>
      </c>
      <c r="P680">
        <v>1742</v>
      </c>
      <c r="Q680" t="s">
        <v>4202</v>
      </c>
      <c r="T680" t="s">
        <v>3674</v>
      </c>
      <c r="U680" t="s">
        <v>4132</v>
      </c>
    </row>
    <row r="681" spans="1:33" x14ac:dyDescent="0.3">
      <c r="A681">
        <v>1743</v>
      </c>
      <c r="B681" t="s">
        <v>4206</v>
      </c>
      <c r="C681" t="str">
        <f>""</f>
        <v/>
      </c>
      <c r="D681" t="str">
        <f>"093GJGR00"</f>
        <v>093GJGR00</v>
      </c>
      <c r="E681" s="1">
        <v>25569</v>
      </c>
      <c r="F681" t="s">
        <v>4207</v>
      </c>
      <c r="G681" t="e">
        <f>INDEX(#REF!,MATCH(P681,#REF!,0),1)</f>
        <v>#REF!</v>
      </c>
      <c r="H681" t="s">
        <v>4208</v>
      </c>
      <c r="J681" t="s">
        <v>1510</v>
      </c>
      <c r="K681" t="s">
        <v>99</v>
      </c>
      <c r="L681" t="s">
        <v>4209</v>
      </c>
      <c r="M681" t="s">
        <v>4210</v>
      </c>
      <c r="N681">
        <v>1743</v>
      </c>
      <c r="O681" t="s">
        <v>4207</v>
      </c>
      <c r="P681">
        <v>1743</v>
      </c>
      <c r="Q681" t="s">
        <v>4207</v>
      </c>
      <c r="T681" t="s">
        <v>3674</v>
      </c>
      <c r="U681" t="s">
        <v>4132</v>
      </c>
    </row>
    <row r="682" spans="1:33" x14ac:dyDescent="0.3">
      <c r="A682">
        <v>1744</v>
      </c>
      <c r="B682" t="s">
        <v>4211</v>
      </c>
      <c r="C682" t="str">
        <f>""</f>
        <v/>
      </c>
      <c r="D682" t="str">
        <f>"732GW7V00"</f>
        <v>732GW7V00</v>
      </c>
      <c r="E682" s="1">
        <v>25569</v>
      </c>
      <c r="F682" t="s">
        <v>4212</v>
      </c>
      <c r="G682" t="e">
        <f>INDEX(#REF!,MATCH(P682,#REF!,0),1)</f>
        <v>#REF!</v>
      </c>
      <c r="H682" t="s">
        <v>4213</v>
      </c>
      <c r="J682" t="s">
        <v>2328</v>
      </c>
      <c r="K682" t="s">
        <v>384</v>
      </c>
      <c r="L682" t="s">
        <v>4214</v>
      </c>
      <c r="M682" t="s">
        <v>4215</v>
      </c>
      <c r="N682">
        <v>1744</v>
      </c>
      <c r="O682" t="s">
        <v>4212</v>
      </c>
      <c r="P682">
        <v>1744</v>
      </c>
      <c r="Q682" t="s">
        <v>4212</v>
      </c>
      <c r="T682" t="s">
        <v>3674</v>
      </c>
      <c r="U682" t="s">
        <v>4132</v>
      </c>
    </row>
    <row r="683" spans="1:33" x14ac:dyDescent="0.3">
      <c r="A683">
        <v>1745</v>
      </c>
      <c r="B683" t="s">
        <v>4216</v>
      </c>
      <c r="C683" t="str">
        <f>""</f>
        <v/>
      </c>
      <c r="D683" t="str">
        <f>"HER9CV200"</f>
        <v>HER9CV200</v>
      </c>
      <c r="E683" s="1">
        <v>25569</v>
      </c>
      <c r="F683" t="s">
        <v>4217</v>
      </c>
      <c r="G683" t="e">
        <f>INDEX(#REF!,MATCH(P683,#REF!,0),1)</f>
        <v>#REF!</v>
      </c>
      <c r="H683" t="s">
        <v>4218</v>
      </c>
      <c r="J683" t="s">
        <v>4219</v>
      </c>
      <c r="K683" t="s">
        <v>225</v>
      </c>
      <c r="L683" t="s">
        <v>4220</v>
      </c>
      <c r="M683" t="s">
        <v>4221</v>
      </c>
      <c r="N683">
        <v>1745</v>
      </c>
      <c r="O683" t="s">
        <v>4217</v>
      </c>
      <c r="P683">
        <v>1745</v>
      </c>
      <c r="Q683" t="s">
        <v>4217</v>
      </c>
      <c r="T683" t="s">
        <v>3674</v>
      </c>
      <c r="U683" t="s">
        <v>4132</v>
      </c>
    </row>
    <row r="684" spans="1:33" x14ac:dyDescent="0.3">
      <c r="A684">
        <v>1746</v>
      </c>
      <c r="B684" t="s">
        <v>4222</v>
      </c>
      <c r="C684" t="str">
        <f>"1100008013886"</f>
        <v>1100008013886</v>
      </c>
      <c r="D684" t="str">
        <f>"412140CFQ"</f>
        <v>412140CFQ</v>
      </c>
      <c r="E684" s="1">
        <v>42752</v>
      </c>
      <c r="F684" t="s">
        <v>4223</v>
      </c>
      <c r="G684" t="e">
        <f>INDEX(#REF!,MATCH(P684,#REF!,0),1)</f>
        <v>#REF!</v>
      </c>
      <c r="H684" t="s">
        <v>4224</v>
      </c>
      <c r="J684" t="s">
        <v>4225</v>
      </c>
      <c r="K684" t="s">
        <v>37</v>
      </c>
      <c r="L684">
        <v>43614</v>
      </c>
      <c r="M684" t="s">
        <v>4226</v>
      </c>
      <c r="N684">
        <v>1746</v>
      </c>
      <c r="O684" t="s">
        <v>4223</v>
      </c>
      <c r="P684">
        <v>1746</v>
      </c>
      <c r="Q684" t="s">
        <v>4223</v>
      </c>
      <c r="R684" t="s">
        <v>520</v>
      </c>
      <c r="S684" t="s">
        <v>521</v>
      </c>
      <c r="T684" t="s">
        <v>44</v>
      </c>
      <c r="U684" t="s">
        <v>45</v>
      </c>
      <c r="Y684" t="s">
        <v>4227</v>
      </c>
      <c r="Z684" s="1">
        <v>45474</v>
      </c>
      <c r="AA684" t="s">
        <v>337</v>
      </c>
      <c r="AD684" t="s">
        <v>94</v>
      </c>
      <c r="AE684" t="s">
        <v>47</v>
      </c>
      <c r="AG684" t="s">
        <v>48</v>
      </c>
    </row>
    <row r="685" spans="1:33" x14ac:dyDescent="0.3">
      <c r="A685">
        <v>1747</v>
      </c>
      <c r="B685" t="s">
        <v>4228</v>
      </c>
      <c r="C685" t="str">
        <f>""</f>
        <v/>
      </c>
      <c r="D685" t="str">
        <f>"1GYPE1J00"</f>
        <v>1GYPE1J00</v>
      </c>
      <c r="E685" s="1">
        <v>25569</v>
      </c>
      <c r="F685" t="s">
        <v>4229</v>
      </c>
      <c r="G685" t="e">
        <f>INDEX(#REF!,MATCH(P685,#REF!,0),1)</f>
        <v>#REF!</v>
      </c>
      <c r="H685" t="s">
        <v>4230</v>
      </c>
      <c r="J685" t="s">
        <v>4231</v>
      </c>
      <c r="K685" t="s">
        <v>88</v>
      </c>
      <c r="L685" t="s">
        <v>4232</v>
      </c>
      <c r="M685" t="s">
        <v>4233</v>
      </c>
      <c r="N685">
        <v>1747</v>
      </c>
      <c r="O685" t="s">
        <v>4229</v>
      </c>
      <c r="P685">
        <v>1747</v>
      </c>
      <c r="Q685" t="s">
        <v>4229</v>
      </c>
      <c r="T685" t="s">
        <v>3674</v>
      </c>
      <c r="U685" t="s">
        <v>4132</v>
      </c>
    </row>
    <row r="686" spans="1:33" x14ac:dyDescent="0.3">
      <c r="A686">
        <v>1748</v>
      </c>
      <c r="B686" t="s">
        <v>4234</v>
      </c>
      <c r="C686" t="str">
        <f>""</f>
        <v/>
      </c>
      <c r="D686" t="str">
        <f>"DG6E16K00"</f>
        <v>DG6E16K00</v>
      </c>
      <c r="E686" s="1">
        <v>25569</v>
      </c>
      <c r="F686" t="s">
        <v>4235</v>
      </c>
      <c r="G686" t="e">
        <f>INDEX(#REF!,MATCH(P686,#REF!,0),1)</f>
        <v>#REF!</v>
      </c>
      <c r="H686" t="s">
        <v>4236</v>
      </c>
      <c r="J686" t="s">
        <v>4237</v>
      </c>
      <c r="K686" t="s">
        <v>88</v>
      </c>
      <c r="L686" t="s">
        <v>4238</v>
      </c>
      <c r="M686" t="s">
        <v>4239</v>
      </c>
      <c r="N686">
        <v>1748</v>
      </c>
      <c r="O686" t="s">
        <v>4235</v>
      </c>
      <c r="P686">
        <v>1748</v>
      </c>
      <c r="Q686" t="s">
        <v>4235</v>
      </c>
      <c r="T686" t="s">
        <v>3674</v>
      </c>
      <c r="U686" t="s">
        <v>4132</v>
      </c>
    </row>
    <row r="687" spans="1:33" x14ac:dyDescent="0.3">
      <c r="A687">
        <v>1749</v>
      </c>
      <c r="B687" t="s">
        <v>4240</v>
      </c>
      <c r="C687" t="str">
        <f>"1100002762186"</f>
        <v>1100002762186</v>
      </c>
      <c r="D687" t="str">
        <f>"EDQBWG400"</f>
        <v>EDQBWG400</v>
      </c>
      <c r="E687" s="1">
        <v>39306</v>
      </c>
      <c r="F687" t="s">
        <v>4241</v>
      </c>
      <c r="G687" t="e">
        <f>INDEX(#REF!,MATCH(P687,#REF!,0),1)</f>
        <v>#REF!</v>
      </c>
      <c r="H687" t="s">
        <v>4242</v>
      </c>
      <c r="J687" t="s">
        <v>696</v>
      </c>
      <c r="K687" t="s">
        <v>111</v>
      </c>
      <c r="L687" t="s">
        <v>4243</v>
      </c>
      <c r="M687" t="s">
        <v>4244</v>
      </c>
      <c r="N687">
        <v>174</v>
      </c>
      <c r="O687" t="s">
        <v>694</v>
      </c>
      <c r="P687">
        <v>174</v>
      </c>
      <c r="Q687" t="s">
        <v>694</v>
      </c>
      <c r="R687" t="s">
        <v>3751</v>
      </c>
      <c r="S687" t="s">
        <v>3752</v>
      </c>
      <c r="T687" t="s">
        <v>4245</v>
      </c>
      <c r="U687" t="s">
        <v>4246</v>
      </c>
      <c r="V687" t="s">
        <v>2215</v>
      </c>
      <c r="AA687" t="s">
        <v>119</v>
      </c>
      <c r="AE687" t="s">
        <v>120</v>
      </c>
    </row>
    <row r="688" spans="1:33" x14ac:dyDescent="0.3">
      <c r="A688">
        <v>1750</v>
      </c>
      <c r="B688" t="s">
        <v>4247</v>
      </c>
      <c r="C688" t="str">
        <f>"1100005520813"</f>
        <v>1100005520813</v>
      </c>
      <c r="D688" t="str">
        <f>"432460J00"</f>
        <v>432460J00</v>
      </c>
      <c r="E688" s="1">
        <v>34516</v>
      </c>
      <c r="F688" t="s">
        <v>4248</v>
      </c>
      <c r="G688" t="e">
        <f>INDEX(#REF!,MATCH(P688,#REF!,0),1)</f>
        <v>#REF!</v>
      </c>
      <c r="H688" t="s">
        <v>4249</v>
      </c>
      <c r="J688" t="s">
        <v>4250</v>
      </c>
      <c r="K688" t="s">
        <v>342</v>
      </c>
      <c r="L688" t="s">
        <v>4251</v>
      </c>
      <c r="M688" t="s">
        <v>4252</v>
      </c>
      <c r="N688">
        <v>1750</v>
      </c>
      <c r="O688" t="s">
        <v>4248</v>
      </c>
      <c r="P688">
        <v>1750</v>
      </c>
      <c r="Q688" t="s">
        <v>4248</v>
      </c>
      <c r="R688" t="s">
        <v>492</v>
      </c>
      <c r="S688" t="s">
        <v>493</v>
      </c>
      <c r="T688" t="s">
        <v>44</v>
      </c>
      <c r="U688" t="s">
        <v>45</v>
      </c>
    </row>
    <row r="689" spans="1:33" x14ac:dyDescent="0.3">
      <c r="A689">
        <v>1752</v>
      </c>
      <c r="B689" t="s">
        <v>4253</v>
      </c>
      <c r="C689" t="str">
        <f>"1100005129504"</f>
        <v>1100005129504</v>
      </c>
      <c r="D689" t="str">
        <f>"830240H00"</f>
        <v>830240H00</v>
      </c>
      <c r="E689" s="1">
        <v>44378</v>
      </c>
      <c r="F689" t="s">
        <v>4254</v>
      </c>
      <c r="G689" t="e">
        <f>INDEX(#REF!,MATCH(P689,#REF!,0),1)</f>
        <v>#REF!</v>
      </c>
      <c r="H689" t="s">
        <v>4255</v>
      </c>
      <c r="J689" t="s">
        <v>4256</v>
      </c>
      <c r="K689" t="s">
        <v>1275</v>
      </c>
      <c r="L689" t="s">
        <v>4257</v>
      </c>
      <c r="M689" t="s">
        <v>4258</v>
      </c>
      <c r="N689">
        <v>1752</v>
      </c>
      <c r="O689" t="s">
        <v>4254</v>
      </c>
      <c r="P689">
        <v>1752</v>
      </c>
      <c r="Q689" t="s">
        <v>4254</v>
      </c>
      <c r="R689" t="s">
        <v>245</v>
      </c>
      <c r="S689" t="s">
        <v>246</v>
      </c>
      <c r="T689" t="s">
        <v>44</v>
      </c>
      <c r="U689" t="s">
        <v>45</v>
      </c>
    </row>
    <row r="690" spans="1:33" x14ac:dyDescent="0.3">
      <c r="A690">
        <v>1753</v>
      </c>
      <c r="B690" t="s">
        <v>4259</v>
      </c>
      <c r="C690" t="str">
        <f>""</f>
        <v/>
      </c>
      <c r="D690" t="str">
        <f>"231940J00"</f>
        <v>231940J00</v>
      </c>
      <c r="E690" s="1">
        <v>42583</v>
      </c>
      <c r="F690" t="s">
        <v>4260</v>
      </c>
      <c r="G690" t="e">
        <f>INDEX(#REF!,MATCH(P690,#REF!,0),1)</f>
        <v>#REF!</v>
      </c>
      <c r="H690" t="s">
        <v>4261</v>
      </c>
      <c r="J690" t="s">
        <v>786</v>
      </c>
      <c r="K690" t="s">
        <v>65</v>
      </c>
      <c r="L690">
        <v>19148</v>
      </c>
      <c r="M690" t="s">
        <v>4262</v>
      </c>
      <c r="N690">
        <v>767149</v>
      </c>
      <c r="O690" t="s">
        <v>1953</v>
      </c>
      <c r="P690">
        <v>4330</v>
      </c>
      <c r="Q690" t="s">
        <v>1954</v>
      </c>
      <c r="R690" t="s">
        <v>266</v>
      </c>
      <c r="S690" t="s">
        <v>267</v>
      </c>
      <c r="T690" t="s">
        <v>44</v>
      </c>
      <c r="U690" t="s">
        <v>45</v>
      </c>
      <c r="AA690" t="s">
        <v>105</v>
      </c>
      <c r="AE690" t="s">
        <v>72</v>
      </c>
      <c r="AG690" t="s">
        <v>48</v>
      </c>
    </row>
    <row r="691" spans="1:33" x14ac:dyDescent="0.3">
      <c r="A691">
        <v>1762</v>
      </c>
      <c r="B691" t="s">
        <v>4263</v>
      </c>
      <c r="C691" t="str">
        <f>"1100008072340"</f>
        <v>1100008072340</v>
      </c>
      <c r="D691" t="str">
        <f>"FEVG38F00"</f>
        <v>FEVG38F00</v>
      </c>
      <c r="E691" s="1">
        <v>41487</v>
      </c>
      <c r="F691" t="s">
        <v>4264</v>
      </c>
      <c r="G691" t="e">
        <f>INDEX(#REF!,MATCH(P691,#REF!,0),1)</f>
        <v>#REF!</v>
      </c>
      <c r="H691" t="s">
        <v>4265</v>
      </c>
      <c r="J691" t="s">
        <v>4266</v>
      </c>
      <c r="K691" t="s">
        <v>88</v>
      </c>
      <c r="L691" t="s">
        <v>4267</v>
      </c>
      <c r="M691" t="s">
        <v>4268</v>
      </c>
      <c r="N691">
        <v>1762</v>
      </c>
      <c r="O691" t="s">
        <v>4264</v>
      </c>
      <c r="P691">
        <v>1762</v>
      </c>
      <c r="Q691" t="s">
        <v>4264</v>
      </c>
      <c r="R691" t="s">
        <v>1625</v>
      </c>
      <c r="S691" t="s">
        <v>1626</v>
      </c>
      <c r="T691" t="s">
        <v>44</v>
      </c>
      <c r="U691" t="s">
        <v>81</v>
      </c>
      <c r="AA691" t="s">
        <v>119</v>
      </c>
      <c r="AE691" t="s">
        <v>120</v>
      </c>
    </row>
    <row r="692" spans="1:33" x14ac:dyDescent="0.3">
      <c r="A692">
        <v>1772</v>
      </c>
      <c r="B692" t="s">
        <v>4269</v>
      </c>
      <c r="C692" t="str">
        <f>""</f>
        <v/>
      </c>
      <c r="D692" t="str">
        <f>"931050I00"</f>
        <v>931050I00</v>
      </c>
      <c r="E692" s="1">
        <v>32353</v>
      </c>
      <c r="F692" t="s">
        <v>4270</v>
      </c>
      <c r="G692" t="e">
        <f>INDEX(#REF!,MATCH(P692,#REF!,0),1)</f>
        <v>#REF!</v>
      </c>
      <c r="H692" t="s">
        <v>4271</v>
      </c>
      <c r="J692" t="s">
        <v>4272</v>
      </c>
      <c r="K692" t="s">
        <v>88</v>
      </c>
      <c r="L692">
        <v>95531</v>
      </c>
      <c r="M692" t="s">
        <v>4273</v>
      </c>
      <c r="N692">
        <v>251</v>
      </c>
      <c r="O692" t="s">
        <v>90</v>
      </c>
      <c r="P692">
        <v>251</v>
      </c>
      <c r="Q692" t="s">
        <v>90</v>
      </c>
      <c r="R692" t="s">
        <v>91</v>
      </c>
      <c r="S692" t="s">
        <v>92</v>
      </c>
      <c r="T692" t="s">
        <v>44</v>
      </c>
      <c r="U692" t="s">
        <v>45</v>
      </c>
      <c r="AA692" t="s">
        <v>93</v>
      </c>
      <c r="AC692" t="s">
        <v>90</v>
      </c>
      <c r="AD692" t="s">
        <v>94</v>
      </c>
      <c r="AE692" t="s">
        <v>72</v>
      </c>
      <c r="AG692" t="s">
        <v>48</v>
      </c>
    </row>
    <row r="693" spans="1:33" x14ac:dyDescent="0.3">
      <c r="A693">
        <v>1777</v>
      </c>
      <c r="B693" t="s">
        <v>4274</v>
      </c>
      <c r="C693" t="str">
        <f>"1100003735813"</f>
        <v>1100003735813</v>
      </c>
      <c r="D693" t="str">
        <f>"380900K00"</f>
        <v>380900K00</v>
      </c>
      <c r="E693" s="1">
        <v>42548</v>
      </c>
      <c r="F693" t="s">
        <v>4275</v>
      </c>
      <c r="G693" t="e">
        <f>INDEX(#REF!,MATCH(P693,#REF!,0),1)</f>
        <v>#REF!</v>
      </c>
      <c r="H693" t="s">
        <v>4276</v>
      </c>
      <c r="J693" t="s">
        <v>341</v>
      </c>
      <c r="K693" t="s">
        <v>99</v>
      </c>
      <c r="L693" t="s">
        <v>4277</v>
      </c>
      <c r="M693" t="s">
        <v>4278</v>
      </c>
      <c r="N693">
        <v>41456</v>
      </c>
      <c r="O693" t="s">
        <v>1835</v>
      </c>
      <c r="P693">
        <v>495</v>
      </c>
      <c r="Q693" t="s">
        <v>1831</v>
      </c>
      <c r="R693" t="s">
        <v>1799</v>
      </c>
      <c r="S693" t="s">
        <v>1800</v>
      </c>
      <c r="T693" t="s">
        <v>44</v>
      </c>
      <c r="U693" t="s">
        <v>45</v>
      </c>
      <c r="AA693" t="s">
        <v>219</v>
      </c>
      <c r="AG693" t="s">
        <v>48</v>
      </c>
    </row>
    <row r="694" spans="1:33" x14ac:dyDescent="0.3">
      <c r="A694">
        <v>1780</v>
      </c>
      <c r="B694" t="s">
        <v>4279</v>
      </c>
      <c r="C694" t="str">
        <f>""</f>
        <v/>
      </c>
      <c r="D694" t="str">
        <f>""</f>
        <v/>
      </c>
      <c r="E694" s="1">
        <v>44531</v>
      </c>
      <c r="F694" t="s">
        <v>4280</v>
      </c>
      <c r="G694" t="e">
        <f>INDEX(#REF!,MATCH(P694,#REF!,0),1)</f>
        <v>#REF!</v>
      </c>
      <c r="H694" t="s">
        <v>4281</v>
      </c>
      <c r="J694" t="s">
        <v>3893</v>
      </c>
      <c r="K694" t="s">
        <v>261</v>
      </c>
      <c r="L694" t="s">
        <v>4282</v>
      </c>
      <c r="M694" t="s">
        <v>4283</v>
      </c>
      <c r="N694">
        <v>1780</v>
      </c>
      <c r="O694" t="s">
        <v>4280</v>
      </c>
      <c r="P694">
        <v>1780</v>
      </c>
      <c r="Q694" t="s">
        <v>4280</v>
      </c>
      <c r="R694" t="s">
        <v>465</v>
      </c>
      <c r="S694" t="s">
        <v>466</v>
      </c>
      <c r="T694" t="s">
        <v>44</v>
      </c>
      <c r="U694" t="s">
        <v>45</v>
      </c>
    </row>
    <row r="695" spans="1:33" x14ac:dyDescent="0.3">
      <c r="A695">
        <v>1782</v>
      </c>
      <c r="B695" t="s">
        <v>4284</v>
      </c>
      <c r="C695" t="str">
        <f>""</f>
        <v/>
      </c>
      <c r="D695" t="str">
        <f>"130080C00"</f>
        <v>130080C00</v>
      </c>
      <c r="E695" s="1">
        <v>34547</v>
      </c>
      <c r="F695" t="s">
        <v>4285</v>
      </c>
      <c r="G695" t="e">
        <f>INDEX(#REF!,MATCH(P695,#REF!,0),1)</f>
        <v>#REF!</v>
      </c>
      <c r="H695" t="s">
        <v>4286</v>
      </c>
      <c r="J695" t="s">
        <v>4287</v>
      </c>
      <c r="K695" t="s">
        <v>425</v>
      </c>
      <c r="L695" t="str">
        <f>"05661-8973"</f>
        <v>05661-8973</v>
      </c>
      <c r="M695" t="s">
        <v>4288</v>
      </c>
      <c r="N695">
        <v>53941</v>
      </c>
      <c r="O695" t="s">
        <v>4289</v>
      </c>
      <c r="P695">
        <v>53941</v>
      </c>
      <c r="Q695" t="s">
        <v>4289</v>
      </c>
      <c r="R695" t="s">
        <v>245</v>
      </c>
      <c r="S695" t="s">
        <v>246</v>
      </c>
      <c r="T695" t="s">
        <v>44</v>
      </c>
      <c r="U695" t="s">
        <v>45</v>
      </c>
    </row>
    <row r="696" spans="1:33" x14ac:dyDescent="0.3">
      <c r="A696">
        <v>1789</v>
      </c>
      <c r="B696" t="s">
        <v>4290</v>
      </c>
      <c r="C696" t="str">
        <f>""</f>
        <v/>
      </c>
      <c r="D696" t="str">
        <f>"FRBY17K00"</f>
        <v>FRBY17K00</v>
      </c>
      <c r="E696" s="1">
        <v>42583</v>
      </c>
      <c r="F696" t="s">
        <v>2317</v>
      </c>
      <c r="G696" t="e">
        <f>INDEX(#REF!,MATCH(P696,#REF!,0),1)</f>
        <v>#REF!</v>
      </c>
      <c r="H696" t="s">
        <v>4291</v>
      </c>
      <c r="J696" t="s">
        <v>2298</v>
      </c>
      <c r="K696" t="s">
        <v>2244</v>
      </c>
      <c r="L696" t="s">
        <v>4292</v>
      </c>
      <c r="M696" t="s">
        <v>4293</v>
      </c>
      <c r="N696">
        <v>1362</v>
      </c>
      <c r="O696" t="s">
        <v>2316</v>
      </c>
      <c r="P696">
        <v>1362</v>
      </c>
      <c r="Q696" t="s">
        <v>2316</v>
      </c>
      <c r="R696" t="s">
        <v>940</v>
      </c>
      <c r="S696" t="s">
        <v>941</v>
      </c>
      <c r="T696" t="s">
        <v>44</v>
      </c>
      <c r="U696" t="s">
        <v>81</v>
      </c>
      <c r="AC696" t="s">
        <v>2310</v>
      </c>
    </row>
    <row r="697" spans="1:33" x14ac:dyDescent="0.3">
      <c r="A697">
        <v>1790</v>
      </c>
      <c r="B697" t="s">
        <v>4294</v>
      </c>
      <c r="C697" t="str">
        <f>""</f>
        <v/>
      </c>
      <c r="D697" t="str">
        <f>"R06XXC300"</f>
        <v>R06XXC300</v>
      </c>
      <c r="E697" s="1">
        <v>28417</v>
      </c>
      <c r="F697" t="s">
        <v>4295</v>
      </c>
      <c r="G697" t="e">
        <f>INDEX(#REF!,MATCH(P697,#REF!,0),1)</f>
        <v>#REF!</v>
      </c>
      <c r="H697" t="s">
        <v>3360</v>
      </c>
      <c r="J697" t="s">
        <v>2367</v>
      </c>
      <c r="K697" t="s">
        <v>235</v>
      </c>
      <c r="L697" t="s">
        <v>4296</v>
      </c>
      <c r="M697" t="s">
        <v>3226</v>
      </c>
      <c r="N697">
        <v>4240221</v>
      </c>
      <c r="O697" t="s">
        <v>3362</v>
      </c>
      <c r="P697">
        <v>2623076</v>
      </c>
      <c r="Q697" t="s">
        <v>3363</v>
      </c>
      <c r="R697" t="s">
        <v>588</v>
      </c>
      <c r="S697" t="s">
        <v>589</v>
      </c>
      <c r="T697" t="s">
        <v>44</v>
      </c>
      <c r="U697" t="s">
        <v>184</v>
      </c>
      <c r="AA697" t="s">
        <v>105</v>
      </c>
      <c r="AE697" t="s">
        <v>106</v>
      </c>
      <c r="AG697" t="s">
        <v>48</v>
      </c>
    </row>
    <row r="698" spans="1:33" x14ac:dyDescent="0.3">
      <c r="A698">
        <v>1791</v>
      </c>
      <c r="B698" t="s">
        <v>4297</v>
      </c>
      <c r="C698" t="str">
        <f>""</f>
        <v/>
      </c>
      <c r="D698" t="str">
        <f>"350140D00"</f>
        <v>350140D00</v>
      </c>
      <c r="E698" s="1">
        <v>28417</v>
      </c>
      <c r="F698" t="s">
        <v>4298</v>
      </c>
      <c r="G698" t="e">
        <f>INDEX(#REF!,MATCH(P698,#REF!,0),1)</f>
        <v>#REF!</v>
      </c>
      <c r="H698" t="s">
        <v>4299</v>
      </c>
      <c r="J698" t="s">
        <v>2367</v>
      </c>
      <c r="K698" t="s">
        <v>235</v>
      </c>
      <c r="L698" t="s">
        <v>4300</v>
      </c>
      <c r="M698" t="s">
        <v>4301</v>
      </c>
      <c r="N698">
        <v>4240221</v>
      </c>
      <c r="O698" t="s">
        <v>3362</v>
      </c>
      <c r="P698">
        <v>2623076</v>
      </c>
      <c r="Q698" t="s">
        <v>3363</v>
      </c>
      <c r="R698" t="s">
        <v>588</v>
      </c>
      <c r="S698" t="s">
        <v>589</v>
      </c>
      <c r="T698" t="s">
        <v>44</v>
      </c>
      <c r="U698" t="s">
        <v>45</v>
      </c>
      <c r="AA698" t="s">
        <v>105</v>
      </c>
      <c r="AE698" t="s">
        <v>106</v>
      </c>
      <c r="AG698" t="s">
        <v>48</v>
      </c>
    </row>
    <row r="699" spans="1:33" x14ac:dyDescent="0.3">
      <c r="A699">
        <v>1793</v>
      </c>
      <c r="B699" t="s">
        <v>4302</v>
      </c>
      <c r="C699" t="str">
        <f>"1100003614538"</f>
        <v>1100003614538</v>
      </c>
      <c r="D699" t="str">
        <f>"630460J00"</f>
        <v>630460J00</v>
      </c>
      <c r="E699" s="1">
        <v>34318</v>
      </c>
      <c r="F699" t="s">
        <v>4303</v>
      </c>
      <c r="G699" t="e">
        <f>INDEX(#REF!,MATCH(P699,#REF!,0),1)</f>
        <v>#REF!</v>
      </c>
      <c r="H699" t="s">
        <v>4304</v>
      </c>
      <c r="J699" t="s">
        <v>4305</v>
      </c>
      <c r="K699" t="s">
        <v>177</v>
      </c>
      <c r="L699" t="s">
        <v>4306</v>
      </c>
      <c r="M699" t="s">
        <v>3226</v>
      </c>
      <c r="N699">
        <v>6104582</v>
      </c>
      <c r="O699" t="s">
        <v>180</v>
      </c>
      <c r="P699">
        <v>1142</v>
      </c>
      <c r="Q699" t="s">
        <v>3219</v>
      </c>
      <c r="R699" t="s">
        <v>182</v>
      </c>
      <c r="S699" t="s">
        <v>183</v>
      </c>
      <c r="T699" t="s">
        <v>44</v>
      </c>
      <c r="U699" t="s">
        <v>45</v>
      </c>
      <c r="AA699" t="s">
        <v>185</v>
      </c>
      <c r="AE699" t="s">
        <v>186</v>
      </c>
    </row>
    <row r="700" spans="1:33" x14ac:dyDescent="0.3">
      <c r="A700">
        <v>1794</v>
      </c>
      <c r="B700" t="s">
        <v>4307</v>
      </c>
      <c r="C700" t="str">
        <f>""</f>
        <v/>
      </c>
      <c r="D700" t="str">
        <f>"39ZZUFJ00"</f>
        <v>39ZZUFJ00</v>
      </c>
      <c r="E700" s="1">
        <v>34606</v>
      </c>
      <c r="F700" t="s">
        <v>4308</v>
      </c>
      <c r="G700" t="e">
        <f>INDEX(#REF!,MATCH(P700,#REF!,0),1)</f>
        <v>#REF!</v>
      </c>
      <c r="H700" t="s">
        <v>4309</v>
      </c>
      <c r="J700" t="s">
        <v>770</v>
      </c>
      <c r="K700" t="s">
        <v>167</v>
      </c>
      <c r="L700" t="s">
        <v>4310</v>
      </c>
      <c r="M700" t="s">
        <v>4311</v>
      </c>
      <c r="N700">
        <v>37497</v>
      </c>
      <c r="O700" t="s">
        <v>128</v>
      </c>
      <c r="P700">
        <v>192</v>
      </c>
      <c r="Q700" t="s">
        <v>768</v>
      </c>
      <c r="R700" t="s">
        <v>129</v>
      </c>
      <c r="S700" t="s">
        <v>130</v>
      </c>
      <c r="T700" t="s">
        <v>44</v>
      </c>
      <c r="U700" t="s">
        <v>288</v>
      </c>
    </row>
    <row r="701" spans="1:33" x14ac:dyDescent="0.3">
      <c r="A701">
        <v>1796</v>
      </c>
      <c r="B701" t="s">
        <v>4312</v>
      </c>
      <c r="C701" t="str">
        <f>""</f>
        <v/>
      </c>
      <c r="D701" t="str">
        <f>"934950U00"</f>
        <v>934950U00</v>
      </c>
      <c r="E701" s="1">
        <v>30494</v>
      </c>
      <c r="F701" t="s">
        <v>4313</v>
      </c>
      <c r="G701" t="e">
        <f>INDEX(#REF!,MATCH(P701,#REF!,0),1)</f>
        <v>#REF!</v>
      </c>
      <c r="H701" t="s">
        <v>4314</v>
      </c>
      <c r="J701" t="s">
        <v>2075</v>
      </c>
      <c r="K701" t="s">
        <v>88</v>
      </c>
      <c r="L701" t="s">
        <v>4315</v>
      </c>
      <c r="M701" t="s">
        <v>4316</v>
      </c>
      <c r="N701">
        <v>251</v>
      </c>
      <c r="O701" t="s">
        <v>90</v>
      </c>
      <c r="P701">
        <v>251</v>
      </c>
      <c r="Q701" t="s">
        <v>90</v>
      </c>
      <c r="R701" t="s">
        <v>91</v>
      </c>
      <c r="S701" t="s">
        <v>92</v>
      </c>
      <c r="T701" t="s">
        <v>2277</v>
      </c>
      <c r="U701" t="s">
        <v>2278</v>
      </c>
      <c r="AA701" t="s">
        <v>93</v>
      </c>
      <c r="AC701" t="s">
        <v>90</v>
      </c>
      <c r="AD701" t="s">
        <v>94</v>
      </c>
      <c r="AE701" t="s">
        <v>72</v>
      </c>
      <c r="AG701" t="s">
        <v>48</v>
      </c>
    </row>
    <row r="702" spans="1:33" x14ac:dyDescent="0.3">
      <c r="A702">
        <v>1803</v>
      </c>
      <c r="B702" t="s">
        <v>4317</v>
      </c>
      <c r="C702" t="str">
        <f>""</f>
        <v/>
      </c>
      <c r="D702" t="str">
        <f>"420970M00"</f>
        <v>420970M00</v>
      </c>
      <c r="E702" s="1">
        <v>34578</v>
      </c>
      <c r="F702" t="s">
        <v>4318</v>
      </c>
      <c r="G702" t="e">
        <f>INDEX(#REF!,MATCH(P702,#REF!,0),1)</f>
        <v>#REF!</v>
      </c>
      <c r="H702" t="s">
        <v>4319</v>
      </c>
      <c r="J702" t="s">
        <v>607</v>
      </c>
      <c r="K702" t="s">
        <v>307</v>
      </c>
      <c r="L702" t="s">
        <v>4320</v>
      </c>
      <c r="M702" t="s">
        <v>4321</v>
      </c>
      <c r="N702">
        <v>1803</v>
      </c>
      <c r="O702" t="s">
        <v>4318</v>
      </c>
      <c r="P702">
        <v>1803</v>
      </c>
      <c r="Q702" t="s">
        <v>4318</v>
      </c>
      <c r="R702" t="s">
        <v>465</v>
      </c>
      <c r="S702" t="s">
        <v>466</v>
      </c>
      <c r="T702" t="s">
        <v>44</v>
      </c>
      <c r="U702" t="s">
        <v>45</v>
      </c>
    </row>
    <row r="703" spans="1:33" x14ac:dyDescent="0.3">
      <c r="A703">
        <v>1805</v>
      </c>
      <c r="B703" t="s">
        <v>4322</v>
      </c>
      <c r="C703" t="str">
        <f>"1100003022579"</f>
        <v>1100003022579</v>
      </c>
      <c r="D703" t="str">
        <f>"5J89DM400"</f>
        <v>5J89DM400</v>
      </c>
      <c r="E703" s="1">
        <v>42583</v>
      </c>
      <c r="F703" t="s">
        <v>2341</v>
      </c>
      <c r="G703" t="e">
        <f>INDEX(#REF!,MATCH(P703,#REF!,0),1)</f>
        <v>#REF!</v>
      </c>
      <c r="H703" t="s">
        <v>4323</v>
      </c>
      <c r="J703" t="s">
        <v>2337</v>
      </c>
      <c r="K703" t="s">
        <v>384</v>
      </c>
      <c r="L703" t="s">
        <v>4324</v>
      </c>
      <c r="M703" t="s">
        <v>4325</v>
      </c>
      <c r="N703">
        <v>2472612</v>
      </c>
      <c r="O703" t="s">
        <v>2340</v>
      </c>
      <c r="P703">
        <v>2472612</v>
      </c>
      <c r="Q703" t="s">
        <v>2340</v>
      </c>
      <c r="R703" t="s">
        <v>2342</v>
      </c>
      <c r="S703" t="s">
        <v>2343</v>
      </c>
      <c r="T703" t="s">
        <v>44</v>
      </c>
      <c r="U703" t="s">
        <v>81</v>
      </c>
      <c r="AE703" t="s">
        <v>72</v>
      </c>
      <c r="AG703" t="s">
        <v>48</v>
      </c>
    </row>
    <row r="704" spans="1:33" x14ac:dyDescent="0.3">
      <c r="A704">
        <v>1806</v>
      </c>
      <c r="B704" t="s">
        <v>4326</v>
      </c>
      <c r="C704" t="str">
        <f>"1100004479365"</f>
        <v>1100004479365</v>
      </c>
      <c r="D704" t="str">
        <f>"390470N00"</f>
        <v>390470N00</v>
      </c>
      <c r="E704" s="1">
        <v>31187</v>
      </c>
      <c r="F704" t="s">
        <v>4327</v>
      </c>
      <c r="G704" t="e">
        <f>INDEX(#REF!,MATCH(P704,#REF!,0),1)</f>
        <v>#REF!</v>
      </c>
      <c r="H704" t="s">
        <v>4328</v>
      </c>
      <c r="J704" t="s">
        <v>1497</v>
      </c>
      <c r="K704" t="s">
        <v>167</v>
      </c>
      <c r="L704" t="s">
        <v>4329</v>
      </c>
      <c r="M704" t="s">
        <v>4330</v>
      </c>
      <c r="N704">
        <v>407</v>
      </c>
      <c r="O704" t="s">
        <v>1495</v>
      </c>
      <c r="P704">
        <v>407</v>
      </c>
      <c r="Q704" t="s">
        <v>1495</v>
      </c>
      <c r="R704" t="s">
        <v>571</v>
      </c>
      <c r="S704" t="s">
        <v>572</v>
      </c>
      <c r="T704" t="s">
        <v>44</v>
      </c>
      <c r="U704" t="s">
        <v>1823</v>
      </c>
      <c r="AA704" t="s">
        <v>105</v>
      </c>
    </row>
    <row r="705" spans="1:33" x14ac:dyDescent="0.3">
      <c r="A705">
        <v>1807</v>
      </c>
      <c r="B705" t="s">
        <v>4331</v>
      </c>
      <c r="C705" t="str">
        <f>"1100004772510"</f>
        <v>1100004772510</v>
      </c>
      <c r="D705" t="str">
        <f>"J9BAPVX00"</f>
        <v>J9BAPVX00</v>
      </c>
      <c r="E705" s="1">
        <v>31187</v>
      </c>
      <c r="F705" t="s">
        <v>4332</v>
      </c>
      <c r="G705" t="e">
        <f>INDEX(#REF!,MATCH(P705,#REF!,0),1)</f>
        <v>#REF!</v>
      </c>
      <c r="H705" t="s">
        <v>4333</v>
      </c>
      <c r="J705" t="s">
        <v>4334</v>
      </c>
      <c r="K705" t="s">
        <v>167</v>
      </c>
      <c r="L705" t="s">
        <v>4335</v>
      </c>
      <c r="M705" t="s">
        <v>4085</v>
      </c>
      <c r="N705">
        <v>407</v>
      </c>
      <c r="O705" t="s">
        <v>1495</v>
      </c>
      <c r="P705">
        <v>1696</v>
      </c>
      <c r="Q705" t="s">
        <v>4083</v>
      </c>
      <c r="R705" t="s">
        <v>571</v>
      </c>
      <c r="S705" t="s">
        <v>572</v>
      </c>
      <c r="T705" t="s">
        <v>44</v>
      </c>
      <c r="U705" t="s">
        <v>45</v>
      </c>
      <c r="AA705" t="s">
        <v>105</v>
      </c>
    </row>
    <row r="706" spans="1:33" x14ac:dyDescent="0.3">
      <c r="A706">
        <v>1814</v>
      </c>
      <c r="B706" t="s">
        <v>4336</v>
      </c>
      <c r="C706" t="str">
        <f>"1100003733017"</f>
        <v>1100003733017</v>
      </c>
      <c r="D706" t="str">
        <f>"74YLD0700"</f>
        <v>74YLD0700</v>
      </c>
      <c r="E706" s="1">
        <v>28417</v>
      </c>
      <c r="F706" t="s">
        <v>4337</v>
      </c>
      <c r="G706" t="e">
        <f>INDEX(#REF!,MATCH(P706,#REF!,0),1)</f>
        <v>#REF!</v>
      </c>
      <c r="H706" t="s">
        <v>4338</v>
      </c>
      <c r="J706" t="s">
        <v>675</v>
      </c>
      <c r="K706" t="s">
        <v>676</v>
      </c>
      <c r="L706" t="s">
        <v>4339</v>
      </c>
      <c r="M706" t="s">
        <v>4340</v>
      </c>
      <c r="N706">
        <v>170</v>
      </c>
      <c r="O706" t="s">
        <v>673</v>
      </c>
      <c r="P706">
        <v>170</v>
      </c>
      <c r="Q706" t="s">
        <v>673</v>
      </c>
      <c r="R706" t="s">
        <v>679</v>
      </c>
      <c r="S706" t="s">
        <v>680</v>
      </c>
      <c r="T706" t="s">
        <v>44</v>
      </c>
      <c r="U706" t="s">
        <v>3640</v>
      </c>
      <c r="AA706" t="s">
        <v>105</v>
      </c>
      <c r="AE706" t="s">
        <v>106</v>
      </c>
      <c r="AG706" t="s">
        <v>48</v>
      </c>
    </row>
    <row r="707" spans="1:33" x14ac:dyDescent="0.3">
      <c r="A707">
        <v>1815</v>
      </c>
      <c r="B707" t="s">
        <v>4341</v>
      </c>
      <c r="C707" t="str">
        <f>"1100005534155"</f>
        <v>1100005534155</v>
      </c>
      <c r="D707" t="str">
        <f>"743220I00"</f>
        <v>743220I00</v>
      </c>
      <c r="E707" s="1">
        <v>28417</v>
      </c>
      <c r="F707" t="s">
        <v>4342</v>
      </c>
      <c r="G707" t="e">
        <f>INDEX(#REF!,MATCH(P707,#REF!,0),1)</f>
        <v>#REF!</v>
      </c>
      <c r="H707" t="s">
        <v>4343</v>
      </c>
      <c r="J707" t="s">
        <v>675</v>
      </c>
      <c r="K707" t="s">
        <v>676</v>
      </c>
      <c r="L707" t="s">
        <v>4344</v>
      </c>
      <c r="M707" t="s">
        <v>4345</v>
      </c>
      <c r="N707">
        <v>170</v>
      </c>
      <c r="O707" t="s">
        <v>673</v>
      </c>
      <c r="P707">
        <v>1415</v>
      </c>
      <c r="Q707" t="s">
        <v>3664</v>
      </c>
      <c r="R707" t="s">
        <v>679</v>
      </c>
      <c r="S707" t="s">
        <v>680</v>
      </c>
      <c r="T707" t="s">
        <v>44</v>
      </c>
      <c r="U707" t="s">
        <v>45</v>
      </c>
      <c r="AA707" t="s">
        <v>105</v>
      </c>
      <c r="AE707" t="s">
        <v>106</v>
      </c>
      <c r="AG707" t="s">
        <v>48</v>
      </c>
    </row>
    <row r="708" spans="1:33" x14ac:dyDescent="0.3">
      <c r="A708">
        <v>1820</v>
      </c>
      <c r="B708" t="s">
        <v>4346</v>
      </c>
      <c r="C708" t="str">
        <f>""</f>
        <v/>
      </c>
      <c r="D708" t="str">
        <f>"670380O00"</f>
        <v>670380O00</v>
      </c>
      <c r="E708" s="1">
        <v>32386</v>
      </c>
      <c r="F708" t="s">
        <v>4347</v>
      </c>
      <c r="G708" t="e">
        <f>INDEX(#REF!,MATCH(P708,#REF!,0),1)</f>
        <v>#REF!</v>
      </c>
      <c r="H708" t="s">
        <v>4348</v>
      </c>
      <c r="J708" t="s">
        <v>4349</v>
      </c>
      <c r="K708" t="s">
        <v>835</v>
      </c>
      <c r="L708" t="s">
        <v>4350</v>
      </c>
      <c r="M708" t="s">
        <v>4351</v>
      </c>
      <c r="N708">
        <v>2599</v>
      </c>
      <c r="O708" t="s">
        <v>1870</v>
      </c>
      <c r="P708">
        <v>871</v>
      </c>
      <c r="Q708" t="s">
        <v>1871</v>
      </c>
      <c r="R708" t="s">
        <v>649</v>
      </c>
      <c r="S708" t="s">
        <v>650</v>
      </c>
      <c r="T708" t="s">
        <v>44</v>
      </c>
      <c r="U708" t="s">
        <v>45</v>
      </c>
      <c r="AA708" t="s">
        <v>327</v>
      </c>
      <c r="AD708" t="s">
        <v>94</v>
      </c>
      <c r="AE708" t="s">
        <v>1522</v>
      </c>
    </row>
    <row r="709" spans="1:33" x14ac:dyDescent="0.3">
      <c r="A709">
        <v>1822</v>
      </c>
      <c r="B709" t="s">
        <v>4352</v>
      </c>
      <c r="C709" t="str">
        <f>"1100003357114"</f>
        <v>1100003357114</v>
      </c>
      <c r="D709" t="str">
        <f>"220830F00"</f>
        <v>220830F00</v>
      </c>
      <c r="E709" s="1">
        <v>42583</v>
      </c>
      <c r="F709" t="s">
        <v>4353</v>
      </c>
      <c r="G709" t="e">
        <f>INDEX(#REF!,MATCH(P709,#REF!,0),1)</f>
        <v>#REF!</v>
      </c>
      <c r="H709" t="s">
        <v>4354</v>
      </c>
      <c r="J709" t="s">
        <v>2490</v>
      </c>
      <c r="K709" t="s">
        <v>251</v>
      </c>
      <c r="L709" t="str">
        <f>"07860-1099"</f>
        <v>07860-1099</v>
      </c>
      <c r="M709" t="s">
        <v>4355</v>
      </c>
      <c r="N709">
        <v>37243</v>
      </c>
      <c r="O709" t="s">
        <v>2668</v>
      </c>
      <c r="P709">
        <v>37243</v>
      </c>
      <c r="Q709" t="s">
        <v>2668</v>
      </c>
      <c r="R709" t="s">
        <v>254</v>
      </c>
      <c r="S709" t="s">
        <v>255</v>
      </c>
      <c r="T709" t="s">
        <v>44</v>
      </c>
      <c r="U709" t="s">
        <v>45</v>
      </c>
    </row>
    <row r="710" spans="1:33" x14ac:dyDescent="0.3">
      <c r="A710">
        <v>1823</v>
      </c>
      <c r="B710" t="s">
        <v>4356</v>
      </c>
      <c r="C710" t="str">
        <f>"1100096457180"</f>
        <v>1100096457180</v>
      </c>
      <c r="D710" t="str">
        <f>"530960N00"</f>
        <v>530960N00</v>
      </c>
      <c r="E710" s="1">
        <v>44593</v>
      </c>
      <c r="F710" t="s">
        <v>4357</v>
      </c>
      <c r="G710" t="e">
        <f>INDEX(#REF!,MATCH(P710,#REF!,0),1)</f>
        <v>#REF!</v>
      </c>
      <c r="H710" t="s">
        <v>4358</v>
      </c>
      <c r="J710" t="s">
        <v>4359</v>
      </c>
      <c r="K710" t="s">
        <v>125</v>
      </c>
      <c r="L710" t="s">
        <v>4360</v>
      </c>
      <c r="M710" t="s">
        <v>4361</v>
      </c>
      <c r="N710">
        <v>1823</v>
      </c>
      <c r="O710" t="s">
        <v>4357</v>
      </c>
      <c r="P710">
        <v>1823</v>
      </c>
      <c r="Q710" t="s">
        <v>4357</v>
      </c>
      <c r="R710" t="s">
        <v>365</v>
      </c>
      <c r="S710" t="s">
        <v>366</v>
      </c>
      <c r="T710" t="s">
        <v>44</v>
      </c>
      <c r="U710" t="s">
        <v>1823</v>
      </c>
      <c r="AA710" t="s">
        <v>211</v>
      </c>
    </row>
    <row r="711" spans="1:33" x14ac:dyDescent="0.3">
      <c r="A711">
        <v>1824</v>
      </c>
      <c r="B711" t="s">
        <v>4362</v>
      </c>
      <c r="C711" t="str">
        <f>""</f>
        <v/>
      </c>
      <c r="D711" t="str">
        <f>"220140900"</f>
        <v>220140900</v>
      </c>
      <c r="E711" s="1">
        <v>42583</v>
      </c>
      <c r="F711" t="s">
        <v>4363</v>
      </c>
      <c r="G711" t="e">
        <f>INDEX(#REF!,MATCH(P711,#REF!,0),1)</f>
        <v>#REF!</v>
      </c>
      <c r="H711" t="s">
        <v>4364</v>
      </c>
      <c r="J711" t="s">
        <v>4365</v>
      </c>
      <c r="K711" t="s">
        <v>251</v>
      </c>
      <c r="L711" t="str">
        <f>"08103"</f>
        <v>08103</v>
      </c>
      <c r="M711" t="s">
        <v>4366</v>
      </c>
      <c r="N711">
        <v>32686</v>
      </c>
      <c r="O711" t="s">
        <v>4367</v>
      </c>
      <c r="P711">
        <v>32686</v>
      </c>
      <c r="Q711" t="s">
        <v>4367</v>
      </c>
      <c r="R711" t="s">
        <v>254</v>
      </c>
      <c r="S711" t="s">
        <v>255</v>
      </c>
      <c r="T711" t="s">
        <v>44</v>
      </c>
      <c r="U711" t="s">
        <v>45</v>
      </c>
    </row>
    <row r="712" spans="1:33" x14ac:dyDescent="0.3">
      <c r="A712">
        <v>1825</v>
      </c>
      <c r="B712" t="s">
        <v>4368</v>
      </c>
      <c r="C712" t="str">
        <f>""</f>
        <v/>
      </c>
      <c r="D712" t="str">
        <f>"OX04SHY00"</f>
        <v>OX04SHY00</v>
      </c>
      <c r="E712" s="1">
        <v>34578</v>
      </c>
      <c r="F712" t="s">
        <v>4369</v>
      </c>
      <c r="G712" t="e">
        <f>INDEX(#REF!,MATCH(P712,#REF!,0),1)</f>
        <v>#REF!</v>
      </c>
      <c r="H712" t="s">
        <v>4370</v>
      </c>
      <c r="J712" t="s">
        <v>4371</v>
      </c>
      <c r="K712" t="s">
        <v>2244</v>
      </c>
      <c r="L712" t="s">
        <v>4372</v>
      </c>
      <c r="M712" t="s">
        <v>4373</v>
      </c>
      <c r="N712">
        <v>604</v>
      </c>
      <c r="O712" t="s">
        <v>2241</v>
      </c>
      <c r="P712">
        <v>604</v>
      </c>
      <c r="Q712" t="s">
        <v>2241</v>
      </c>
      <c r="R712" t="s">
        <v>3751</v>
      </c>
      <c r="S712" t="s">
        <v>3752</v>
      </c>
      <c r="T712" t="s">
        <v>2214</v>
      </c>
      <c r="U712" t="s">
        <v>2214</v>
      </c>
      <c r="V712" t="s">
        <v>1824</v>
      </c>
      <c r="AA712" t="s">
        <v>93</v>
      </c>
      <c r="AE712" t="s">
        <v>564</v>
      </c>
    </row>
    <row r="713" spans="1:33" x14ac:dyDescent="0.3">
      <c r="A713">
        <v>1826</v>
      </c>
      <c r="B713" t="s">
        <v>4374</v>
      </c>
      <c r="C713" t="str">
        <f>"1100002425593"</f>
        <v>1100002425593</v>
      </c>
      <c r="D713" t="str">
        <f>"440850L00"</f>
        <v>440850L00</v>
      </c>
      <c r="E713" s="1">
        <v>32386</v>
      </c>
      <c r="F713" t="s">
        <v>4375</v>
      </c>
      <c r="G713" t="e">
        <f>INDEX(#REF!,MATCH(P713,#REF!,0),1)</f>
        <v>#REF!</v>
      </c>
      <c r="H713" t="s">
        <v>4376</v>
      </c>
      <c r="J713" t="s">
        <v>2219</v>
      </c>
      <c r="K713" t="s">
        <v>261</v>
      </c>
      <c r="L713" t="s">
        <v>4377</v>
      </c>
      <c r="M713" t="s">
        <v>4378</v>
      </c>
      <c r="N713">
        <v>4168349</v>
      </c>
      <c r="O713" t="s">
        <v>264</v>
      </c>
      <c r="P713">
        <v>43714</v>
      </c>
      <c r="Q713" t="s">
        <v>265</v>
      </c>
      <c r="R713" t="s">
        <v>266</v>
      </c>
      <c r="S713" t="s">
        <v>267</v>
      </c>
      <c r="T713" t="s">
        <v>44</v>
      </c>
      <c r="U713" t="s">
        <v>45</v>
      </c>
      <c r="Y713" t="s">
        <v>46</v>
      </c>
      <c r="Z713" s="1">
        <v>44835</v>
      </c>
      <c r="AC713" t="s">
        <v>268</v>
      </c>
      <c r="AE713" t="s">
        <v>269</v>
      </c>
      <c r="AG713" t="s">
        <v>48</v>
      </c>
    </row>
    <row r="714" spans="1:33" x14ac:dyDescent="0.3">
      <c r="A714">
        <v>1827</v>
      </c>
      <c r="B714" t="s">
        <v>4379</v>
      </c>
      <c r="C714" t="str">
        <f>""</f>
        <v/>
      </c>
      <c r="D714" t="str">
        <f>"9R68VNW00"</f>
        <v>9R68VNW00</v>
      </c>
      <c r="E714" s="1">
        <v>34578</v>
      </c>
      <c r="F714" t="s">
        <v>4380</v>
      </c>
      <c r="G714" t="e">
        <f>INDEX(#REF!,MATCH(P714,#REF!,0),1)</f>
        <v>#REF!</v>
      </c>
      <c r="H714" t="s">
        <v>4381</v>
      </c>
      <c r="J714" t="s">
        <v>4382</v>
      </c>
      <c r="K714" t="s">
        <v>2244</v>
      </c>
      <c r="L714">
        <v>13790</v>
      </c>
      <c r="M714" t="s">
        <v>4383</v>
      </c>
      <c r="N714">
        <v>604</v>
      </c>
      <c r="O714" t="s">
        <v>2241</v>
      </c>
      <c r="P714">
        <v>604</v>
      </c>
      <c r="Q714" t="s">
        <v>2241</v>
      </c>
      <c r="R714" t="s">
        <v>3751</v>
      </c>
      <c r="S714" t="s">
        <v>3752</v>
      </c>
      <c r="T714" t="s">
        <v>3141</v>
      </c>
      <c r="U714" t="s">
        <v>3142</v>
      </c>
      <c r="V714" t="s">
        <v>1824</v>
      </c>
      <c r="AA714" t="s">
        <v>93</v>
      </c>
      <c r="AE714" t="s">
        <v>564</v>
      </c>
    </row>
    <row r="715" spans="1:33" x14ac:dyDescent="0.3">
      <c r="A715">
        <v>1830</v>
      </c>
      <c r="B715" t="s">
        <v>4384</v>
      </c>
      <c r="C715" t="str">
        <f>""</f>
        <v/>
      </c>
      <c r="D715" t="str">
        <f>"231040A00"</f>
        <v>231040A00</v>
      </c>
      <c r="E715" s="1">
        <v>41426</v>
      </c>
      <c r="F715" t="s">
        <v>4385</v>
      </c>
      <c r="G715" t="e">
        <f>INDEX(#REF!,MATCH(P715,#REF!,0),1)</f>
        <v>#REF!</v>
      </c>
      <c r="H715" t="s">
        <v>4386</v>
      </c>
      <c r="J715" t="s">
        <v>4387</v>
      </c>
      <c r="K715" t="s">
        <v>65</v>
      </c>
      <c r="L715" t="s">
        <v>4388</v>
      </c>
      <c r="M715" t="s">
        <v>4389</v>
      </c>
      <c r="N715">
        <v>1830</v>
      </c>
      <c r="O715" t="s">
        <v>4385</v>
      </c>
      <c r="P715">
        <v>1830</v>
      </c>
      <c r="Q715" t="s">
        <v>4385</v>
      </c>
      <c r="R715" t="s">
        <v>940</v>
      </c>
      <c r="S715" t="s">
        <v>941</v>
      </c>
      <c r="T715" t="s">
        <v>44</v>
      </c>
      <c r="U715" t="s">
        <v>45</v>
      </c>
    </row>
    <row r="716" spans="1:33" x14ac:dyDescent="0.3">
      <c r="A716">
        <v>1832</v>
      </c>
      <c r="B716" t="s">
        <v>4390</v>
      </c>
      <c r="C716" t="str">
        <f>"1100006342346"</f>
        <v>1100006342346</v>
      </c>
      <c r="D716" t="str">
        <f>"HG9XTGC00"</f>
        <v>HG9XTGC00</v>
      </c>
      <c r="E716" s="1">
        <v>39176</v>
      </c>
      <c r="F716" t="s">
        <v>4391</v>
      </c>
      <c r="G716" t="e">
        <f>INDEX(#REF!,MATCH(P716,#REF!,0),1)</f>
        <v>#REF!</v>
      </c>
      <c r="H716" t="s">
        <v>4392</v>
      </c>
      <c r="J716" t="s">
        <v>775</v>
      </c>
      <c r="K716" t="s">
        <v>353</v>
      </c>
      <c r="L716" t="s">
        <v>4393</v>
      </c>
      <c r="M716" t="s">
        <v>4394</v>
      </c>
      <c r="N716">
        <v>2623348</v>
      </c>
      <c r="O716" t="s">
        <v>773</v>
      </c>
      <c r="P716">
        <v>193</v>
      </c>
      <c r="Q716" t="s">
        <v>773</v>
      </c>
      <c r="R716" t="s">
        <v>171</v>
      </c>
      <c r="S716" t="s">
        <v>172</v>
      </c>
      <c r="T716" t="s">
        <v>44</v>
      </c>
      <c r="U716" t="s">
        <v>45</v>
      </c>
      <c r="AA716" t="s">
        <v>93</v>
      </c>
      <c r="AE716" t="s">
        <v>220</v>
      </c>
      <c r="AG716" t="s">
        <v>48</v>
      </c>
    </row>
    <row r="717" spans="1:33" x14ac:dyDescent="0.3">
      <c r="A717">
        <v>1842</v>
      </c>
      <c r="B717" t="s">
        <v>4395</v>
      </c>
      <c r="C717" t="str">
        <f>"1100004116369"</f>
        <v>1100004116369</v>
      </c>
      <c r="D717" t="str">
        <f>"420790MF0"</f>
        <v>420790MF0</v>
      </c>
      <c r="E717" s="1">
        <v>42583</v>
      </c>
      <c r="F717" t="s">
        <v>4396</v>
      </c>
      <c r="G717" t="e">
        <f>INDEX(#REF!,MATCH(P717,#REF!,0),1)</f>
        <v>#REF!</v>
      </c>
      <c r="H717" t="s">
        <v>4397</v>
      </c>
      <c r="J717" t="s">
        <v>4398</v>
      </c>
      <c r="K717" t="s">
        <v>307</v>
      </c>
      <c r="L717" t="s">
        <v>4399</v>
      </c>
      <c r="M717" t="s">
        <v>4400</v>
      </c>
      <c r="N717">
        <v>1842</v>
      </c>
      <c r="O717" t="s">
        <v>4396</v>
      </c>
      <c r="P717">
        <v>1842</v>
      </c>
      <c r="Q717" t="s">
        <v>4396</v>
      </c>
      <c r="R717" t="s">
        <v>465</v>
      </c>
      <c r="S717" t="s">
        <v>466</v>
      </c>
      <c r="T717" t="s">
        <v>44</v>
      </c>
      <c r="U717" t="s">
        <v>45</v>
      </c>
    </row>
    <row r="718" spans="1:33" x14ac:dyDescent="0.3">
      <c r="A718">
        <v>1846</v>
      </c>
      <c r="B718" t="s">
        <v>4401</v>
      </c>
      <c r="C718" t="str">
        <f>"1100003056437"</f>
        <v>1100003056437</v>
      </c>
      <c r="D718" t="str">
        <f>"421260F00"</f>
        <v>421260F00</v>
      </c>
      <c r="E718" s="1">
        <v>41640</v>
      </c>
      <c r="F718" t="s">
        <v>4402</v>
      </c>
      <c r="G718" t="e">
        <f>INDEX(#REF!,MATCH(P718,#REF!,0),1)</f>
        <v>#REF!</v>
      </c>
      <c r="H718" t="s">
        <v>4403</v>
      </c>
      <c r="J718" t="s">
        <v>2298</v>
      </c>
      <c r="K718" t="s">
        <v>307</v>
      </c>
      <c r="L718" t="s">
        <v>4404</v>
      </c>
      <c r="M718" t="s">
        <v>4405</v>
      </c>
      <c r="N718">
        <v>1846</v>
      </c>
      <c r="O718" t="s">
        <v>4402</v>
      </c>
      <c r="P718">
        <v>1846</v>
      </c>
      <c r="Q718" t="s">
        <v>4402</v>
      </c>
      <c r="R718" t="s">
        <v>492</v>
      </c>
      <c r="S718" t="s">
        <v>493</v>
      </c>
      <c r="T718" t="s">
        <v>44</v>
      </c>
      <c r="U718" t="s">
        <v>45</v>
      </c>
      <c r="AA718" t="s">
        <v>211</v>
      </c>
      <c r="AD718" t="s">
        <v>94</v>
      </c>
      <c r="AE718" t="s">
        <v>72</v>
      </c>
    </row>
    <row r="719" spans="1:33" x14ac:dyDescent="0.3">
      <c r="A719">
        <v>1848</v>
      </c>
      <c r="B719" t="s">
        <v>4406</v>
      </c>
      <c r="C719" t="str">
        <f>""</f>
        <v/>
      </c>
      <c r="D719" t="str">
        <f>"MFJXBE600"</f>
        <v>MFJXBE600</v>
      </c>
      <c r="E719" s="1">
        <v>44854</v>
      </c>
      <c r="F719" t="s">
        <v>4407</v>
      </c>
      <c r="G719" t="e">
        <f>INDEX(#REF!,MATCH(P719,#REF!,0),1)</f>
        <v>#REF!</v>
      </c>
      <c r="H719" t="s">
        <v>4408</v>
      </c>
      <c r="J719" t="s">
        <v>4409</v>
      </c>
      <c r="K719" t="s">
        <v>283</v>
      </c>
      <c r="L719">
        <v>55124</v>
      </c>
      <c r="M719" t="s">
        <v>4410</v>
      </c>
      <c r="N719">
        <v>559</v>
      </c>
      <c r="O719" t="s">
        <v>2041</v>
      </c>
      <c r="P719">
        <v>559</v>
      </c>
      <c r="Q719" t="s">
        <v>2041</v>
      </c>
      <c r="R719" t="s">
        <v>3864</v>
      </c>
      <c r="S719" t="s">
        <v>3865</v>
      </c>
      <c r="T719" t="s">
        <v>2277</v>
      </c>
      <c r="U719" t="s">
        <v>2278</v>
      </c>
      <c r="V719" t="s">
        <v>1824</v>
      </c>
      <c r="AD719" t="s">
        <v>94</v>
      </c>
      <c r="AE719" t="s">
        <v>120</v>
      </c>
    </row>
    <row r="720" spans="1:33" x14ac:dyDescent="0.3">
      <c r="A720">
        <v>1860</v>
      </c>
      <c r="B720" t="s">
        <v>4411</v>
      </c>
      <c r="C720" t="str">
        <f>"1100002618940"</f>
        <v>1100002618940</v>
      </c>
      <c r="D720" t="str">
        <f>"BK0CT4400"</f>
        <v>BK0CT4400</v>
      </c>
      <c r="E720" s="1">
        <v>38001</v>
      </c>
      <c r="F720" t="s">
        <v>4412</v>
      </c>
      <c r="G720" t="e">
        <f>INDEX(#REF!,MATCH(P720,#REF!,0),1)</f>
        <v>#REF!</v>
      </c>
      <c r="H720" t="s">
        <v>4413</v>
      </c>
      <c r="J720" t="s">
        <v>282</v>
      </c>
      <c r="K720" t="s">
        <v>283</v>
      </c>
      <c r="L720" t="s">
        <v>4414</v>
      </c>
      <c r="M720" t="s">
        <v>3226</v>
      </c>
      <c r="N720">
        <v>559</v>
      </c>
      <c r="O720" t="s">
        <v>2041</v>
      </c>
      <c r="P720">
        <v>1258</v>
      </c>
      <c r="Q720" t="s">
        <v>3329</v>
      </c>
      <c r="R720" t="s">
        <v>3864</v>
      </c>
      <c r="S720" t="s">
        <v>3865</v>
      </c>
      <c r="T720" t="s">
        <v>2277</v>
      </c>
      <c r="U720" t="s">
        <v>3938</v>
      </c>
      <c r="V720" t="s">
        <v>1824</v>
      </c>
      <c r="AD720" t="s">
        <v>94</v>
      </c>
      <c r="AE720" t="s">
        <v>120</v>
      </c>
    </row>
    <row r="721" spans="1:33" x14ac:dyDescent="0.3">
      <c r="A721">
        <v>1862</v>
      </c>
      <c r="B721" t="s">
        <v>4415</v>
      </c>
      <c r="C721" t="str">
        <f>"1100002914332"</f>
        <v>1100002914332</v>
      </c>
      <c r="D721" t="str">
        <f>"LP51NKN00"</f>
        <v>LP51NKN00</v>
      </c>
      <c r="E721" s="1">
        <v>38470</v>
      </c>
      <c r="F721" t="s">
        <v>4416</v>
      </c>
      <c r="G721" t="e">
        <f>INDEX(#REF!,MATCH(P721,#REF!,0),1)</f>
        <v>#REF!</v>
      </c>
      <c r="H721" t="s">
        <v>4417</v>
      </c>
      <c r="J721" t="s">
        <v>282</v>
      </c>
      <c r="K721" t="s">
        <v>283</v>
      </c>
      <c r="L721">
        <v>55404</v>
      </c>
      <c r="M721" t="s">
        <v>4418</v>
      </c>
      <c r="N721">
        <v>1862</v>
      </c>
      <c r="O721" t="s">
        <v>4416</v>
      </c>
      <c r="P721">
        <v>1862</v>
      </c>
      <c r="Q721" t="s">
        <v>4416</v>
      </c>
      <c r="R721" t="s">
        <v>2212</v>
      </c>
      <c r="S721" t="s">
        <v>2213</v>
      </c>
      <c r="T721" t="s">
        <v>2277</v>
      </c>
      <c r="U721" t="s">
        <v>4419</v>
      </c>
      <c r="V721" t="s">
        <v>2215</v>
      </c>
    </row>
    <row r="722" spans="1:33" x14ac:dyDescent="0.3">
      <c r="A722">
        <v>1865</v>
      </c>
      <c r="B722" t="s">
        <v>4420</v>
      </c>
      <c r="C722" t="str">
        <f>"1100009037096"</f>
        <v>1100009037096</v>
      </c>
      <c r="D722" t="str">
        <f>"1YCPWKG00"</f>
        <v>1YCPWKG00</v>
      </c>
      <c r="E722" s="1">
        <v>43121</v>
      </c>
      <c r="F722" t="s">
        <v>4421</v>
      </c>
      <c r="G722" t="e">
        <f>INDEX(#REF!,MATCH(P722,#REF!,0),1)</f>
        <v>#REF!</v>
      </c>
      <c r="H722" t="s">
        <v>4422</v>
      </c>
      <c r="J722" t="s">
        <v>4423</v>
      </c>
      <c r="K722" t="s">
        <v>208</v>
      </c>
      <c r="L722">
        <v>54853</v>
      </c>
      <c r="M722" t="s">
        <v>4424</v>
      </c>
      <c r="N722">
        <v>83951</v>
      </c>
      <c r="O722" t="s">
        <v>4425</v>
      </c>
      <c r="P722">
        <v>55400</v>
      </c>
      <c r="Q722" t="s">
        <v>4426</v>
      </c>
      <c r="R722" t="s">
        <v>245</v>
      </c>
      <c r="S722" t="s">
        <v>246</v>
      </c>
      <c r="T722" t="s">
        <v>2277</v>
      </c>
      <c r="U722" t="s">
        <v>2278</v>
      </c>
      <c r="AG722" t="s">
        <v>48</v>
      </c>
    </row>
    <row r="723" spans="1:33" x14ac:dyDescent="0.3">
      <c r="A723">
        <v>1876</v>
      </c>
      <c r="B723" t="s">
        <v>4427</v>
      </c>
      <c r="C723" t="str">
        <f>""</f>
        <v/>
      </c>
      <c r="D723" t="str">
        <f>"610960M00"</f>
        <v>610960M00</v>
      </c>
      <c r="E723" s="1">
        <v>40946</v>
      </c>
      <c r="F723" t="s">
        <v>4428</v>
      </c>
      <c r="G723" t="e">
        <f>INDEX(#REF!,MATCH(P723,#REF!,0),1)</f>
        <v>#REF!</v>
      </c>
      <c r="H723" t="s">
        <v>4429</v>
      </c>
      <c r="J723" t="s">
        <v>282</v>
      </c>
      <c r="K723" t="s">
        <v>283</v>
      </c>
      <c r="L723">
        <v>55415</v>
      </c>
      <c r="M723" t="s">
        <v>4430</v>
      </c>
      <c r="N723">
        <v>559</v>
      </c>
      <c r="O723" t="s">
        <v>2041</v>
      </c>
      <c r="P723">
        <v>559</v>
      </c>
      <c r="Q723" t="s">
        <v>2041</v>
      </c>
      <c r="R723" t="s">
        <v>611</v>
      </c>
      <c r="S723" t="s">
        <v>612</v>
      </c>
      <c r="T723" t="s">
        <v>44</v>
      </c>
      <c r="U723" t="s">
        <v>45</v>
      </c>
      <c r="AD723" t="s">
        <v>94</v>
      </c>
      <c r="AG723" t="s">
        <v>48</v>
      </c>
    </row>
    <row r="724" spans="1:33" x14ac:dyDescent="0.3">
      <c r="A724">
        <v>1877</v>
      </c>
      <c r="B724" t="s">
        <v>4431</v>
      </c>
      <c r="C724" t="str">
        <f>""</f>
        <v/>
      </c>
      <c r="D724" t="str">
        <f>"620070F00"</f>
        <v>620070F00</v>
      </c>
      <c r="E724" s="1">
        <v>44409</v>
      </c>
      <c r="F724" t="s">
        <v>4432</v>
      </c>
      <c r="G724" t="e">
        <f>INDEX(#REF!,MATCH(P724,#REF!,0),1)</f>
        <v>#REF!</v>
      </c>
      <c r="H724" t="s">
        <v>4433</v>
      </c>
      <c r="J724" t="s">
        <v>4434</v>
      </c>
      <c r="K724" t="s">
        <v>1603</v>
      </c>
      <c r="L724">
        <v>50025</v>
      </c>
      <c r="M724" t="s">
        <v>3226</v>
      </c>
      <c r="N724">
        <v>1877</v>
      </c>
      <c r="O724" t="s">
        <v>4432</v>
      </c>
      <c r="P724">
        <v>1877</v>
      </c>
      <c r="Q724" t="s">
        <v>4432</v>
      </c>
      <c r="R724" t="s">
        <v>1046</v>
      </c>
      <c r="S724" t="s">
        <v>1047</v>
      </c>
      <c r="T724" t="s">
        <v>44</v>
      </c>
      <c r="U724" t="s">
        <v>45</v>
      </c>
      <c r="AA724" t="s">
        <v>211</v>
      </c>
    </row>
    <row r="725" spans="1:33" x14ac:dyDescent="0.3">
      <c r="A725">
        <v>1882</v>
      </c>
      <c r="B725" t="s">
        <v>4435</v>
      </c>
      <c r="C725" t="str">
        <f>"1100094024858"</f>
        <v>1100094024858</v>
      </c>
      <c r="D725" t="str">
        <f>"611040C00"</f>
        <v>611040C00</v>
      </c>
      <c r="E725" s="1">
        <v>44378</v>
      </c>
      <c r="F725" t="s">
        <v>4436</v>
      </c>
      <c r="G725" t="e">
        <f>INDEX(#REF!,MATCH(P725,#REF!,0),1)</f>
        <v>#REF!</v>
      </c>
      <c r="H725" t="s">
        <v>4437</v>
      </c>
      <c r="J725" t="s">
        <v>4438</v>
      </c>
      <c r="K725" t="s">
        <v>283</v>
      </c>
      <c r="L725">
        <v>56265</v>
      </c>
      <c r="M725" t="s">
        <v>4439</v>
      </c>
      <c r="N725">
        <v>1882</v>
      </c>
      <c r="O725" t="s">
        <v>4436</v>
      </c>
      <c r="P725">
        <v>1882</v>
      </c>
      <c r="Q725" t="s">
        <v>4436</v>
      </c>
      <c r="R725" t="s">
        <v>4440</v>
      </c>
      <c r="S725" t="s">
        <v>4441</v>
      </c>
      <c r="T725" t="s">
        <v>44</v>
      </c>
      <c r="U725" t="s">
        <v>45</v>
      </c>
      <c r="AA725" t="s">
        <v>328</v>
      </c>
      <c r="AC725" t="s">
        <v>4442</v>
      </c>
    </row>
    <row r="726" spans="1:33" x14ac:dyDescent="0.3">
      <c r="A726">
        <v>1884</v>
      </c>
      <c r="B726" t="s">
        <v>4443</v>
      </c>
      <c r="C726" t="str">
        <f>""</f>
        <v/>
      </c>
      <c r="D726" t="str">
        <f>"450240F00"</f>
        <v>450240F00</v>
      </c>
      <c r="E726" s="1">
        <v>44392</v>
      </c>
      <c r="F726" t="s">
        <v>4444</v>
      </c>
      <c r="G726" t="e">
        <f>INDEX(#REF!,MATCH(P726,#REF!,0),1)</f>
        <v>#REF!</v>
      </c>
      <c r="H726" t="s">
        <v>4445</v>
      </c>
      <c r="J726" t="s">
        <v>446</v>
      </c>
      <c r="K726" t="s">
        <v>208</v>
      </c>
      <c r="L726" t="s">
        <v>4446</v>
      </c>
      <c r="M726" t="s">
        <v>3226</v>
      </c>
      <c r="N726">
        <v>2969443</v>
      </c>
      <c r="O726" t="s">
        <v>4447</v>
      </c>
      <c r="P726">
        <v>2969443</v>
      </c>
      <c r="Q726" t="s">
        <v>4447</v>
      </c>
      <c r="R726" t="s">
        <v>1309</v>
      </c>
      <c r="S726" t="s">
        <v>1310</v>
      </c>
      <c r="T726" t="s">
        <v>44</v>
      </c>
      <c r="U726" t="s">
        <v>45</v>
      </c>
      <c r="AA726" t="s">
        <v>119</v>
      </c>
      <c r="AE726" t="s">
        <v>72</v>
      </c>
    </row>
    <row r="727" spans="1:33" x14ac:dyDescent="0.3">
      <c r="A727">
        <v>1887</v>
      </c>
      <c r="B727" t="s">
        <v>4448</v>
      </c>
      <c r="C727" t="str">
        <f>"1100005275751"</f>
        <v>1100005275751</v>
      </c>
      <c r="D727" t="str">
        <f>""</f>
        <v/>
      </c>
      <c r="E727" s="1">
        <v>39297</v>
      </c>
      <c r="F727" t="s">
        <v>4449</v>
      </c>
      <c r="G727" t="e">
        <f>INDEX(#REF!,MATCH(P727,#REF!,0),1)</f>
        <v>#REF!</v>
      </c>
      <c r="H727" t="s">
        <v>4450</v>
      </c>
      <c r="J727" t="s">
        <v>4451</v>
      </c>
      <c r="K727" t="s">
        <v>283</v>
      </c>
      <c r="L727" t="s">
        <v>4452</v>
      </c>
      <c r="M727" t="s">
        <v>4453</v>
      </c>
      <c r="N727">
        <v>559</v>
      </c>
      <c r="O727" t="s">
        <v>2041</v>
      </c>
      <c r="P727">
        <v>559</v>
      </c>
      <c r="Q727" t="s">
        <v>2041</v>
      </c>
      <c r="R727" t="s">
        <v>611</v>
      </c>
      <c r="S727" t="s">
        <v>612</v>
      </c>
      <c r="T727" t="s">
        <v>44</v>
      </c>
      <c r="U727" t="s">
        <v>45</v>
      </c>
      <c r="AD727" t="s">
        <v>94</v>
      </c>
      <c r="AE727" t="s">
        <v>120</v>
      </c>
    </row>
    <row r="728" spans="1:33" x14ac:dyDescent="0.3">
      <c r="A728">
        <v>1890</v>
      </c>
      <c r="B728" t="s">
        <v>4454</v>
      </c>
      <c r="C728" t="str">
        <f>""</f>
        <v/>
      </c>
      <c r="D728" t="str">
        <f>"621260H00"</f>
        <v>621260H00</v>
      </c>
      <c r="E728" s="1">
        <v>39014</v>
      </c>
      <c r="F728" t="s">
        <v>4455</v>
      </c>
      <c r="G728" t="e">
        <f>INDEX(#REF!,MATCH(P728,#REF!,0),1)</f>
        <v>#REF!</v>
      </c>
      <c r="H728" t="s">
        <v>4456</v>
      </c>
      <c r="J728" t="s">
        <v>4457</v>
      </c>
      <c r="K728" t="s">
        <v>1603</v>
      </c>
      <c r="L728">
        <v>52591</v>
      </c>
      <c r="M728" t="s">
        <v>4458</v>
      </c>
      <c r="N728">
        <v>40098</v>
      </c>
      <c r="O728" t="s">
        <v>4459</v>
      </c>
      <c r="P728">
        <v>40098</v>
      </c>
      <c r="Q728" t="s">
        <v>4459</v>
      </c>
      <c r="R728" t="s">
        <v>245</v>
      </c>
      <c r="S728" t="s">
        <v>246</v>
      </c>
      <c r="T728" t="s">
        <v>44</v>
      </c>
      <c r="U728" t="s">
        <v>45</v>
      </c>
    </row>
    <row r="729" spans="1:33" x14ac:dyDescent="0.3">
      <c r="A729">
        <v>1892</v>
      </c>
      <c r="B729" t="s">
        <v>4460</v>
      </c>
      <c r="C729" t="str">
        <f>"1100002538101"</f>
        <v>1100002538101</v>
      </c>
      <c r="D729" t="str">
        <f>"610910H00"</f>
        <v>610910H00</v>
      </c>
      <c r="E729" s="1">
        <v>34820</v>
      </c>
      <c r="F729" t="s">
        <v>4461</v>
      </c>
      <c r="G729" t="e">
        <f>INDEX(#REF!,MATCH(P729,#REF!,0),1)</f>
        <v>#REF!</v>
      </c>
      <c r="H729" t="s">
        <v>4462</v>
      </c>
      <c r="J729" t="s">
        <v>2925</v>
      </c>
      <c r="K729" t="s">
        <v>283</v>
      </c>
      <c r="L729" t="s">
        <v>4463</v>
      </c>
      <c r="M729" t="s">
        <v>4464</v>
      </c>
      <c r="N729">
        <v>3460</v>
      </c>
      <c r="O729" t="s">
        <v>1155</v>
      </c>
      <c r="P729">
        <v>3460</v>
      </c>
      <c r="Q729" t="s">
        <v>1155</v>
      </c>
      <c r="R729" t="s">
        <v>1156</v>
      </c>
      <c r="S729" t="s">
        <v>1157</v>
      </c>
      <c r="T729" t="s">
        <v>44</v>
      </c>
      <c r="U729" t="s">
        <v>45</v>
      </c>
      <c r="AA729" t="s">
        <v>119</v>
      </c>
      <c r="AE729" t="s">
        <v>120</v>
      </c>
    </row>
    <row r="730" spans="1:33" x14ac:dyDescent="0.3">
      <c r="A730">
        <v>1893</v>
      </c>
      <c r="B730" t="s">
        <v>4465</v>
      </c>
      <c r="C730" t="str">
        <f>""</f>
        <v/>
      </c>
      <c r="D730" t="str">
        <f>"HH43Y7A00"</f>
        <v>HH43Y7A00</v>
      </c>
      <c r="E730" s="1">
        <v>44284</v>
      </c>
      <c r="F730" t="s">
        <v>4466</v>
      </c>
      <c r="G730" t="e">
        <f>INDEX(#REF!,MATCH(P730,#REF!,0),1)</f>
        <v>#REF!</v>
      </c>
      <c r="H730" t="s">
        <v>4467</v>
      </c>
      <c r="J730" t="s">
        <v>4468</v>
      </c>
      <c r="K730" t="s">
        <v>261</v>
      </c>
      <c r="L730">
        <v>49519</v>
      </c>
      <c r="M730" t="s">
        <v>4469</v>
      </c>
      <c r="N730">
        <v>3691178</v>
      </c>
      <c r="O730" t="s">
        <v>4470</v>
      </c>
      <c r="P730">
        <v>3691178</v>
      </c>
      <c r="Q730" t="s">
        <v>4470</v>
      </c>
      <c r="R730" t="s">
        <v>396</v>
      </c>
      <c r="S730" t="s">
        <v>397</v>
      </c>
      <c r="T730" t="s">
        <v>44</v>
      </c>
      <c r="U730" t="s">
        <v>45</v>
      </c>
      <c r="AC730" t="s">
        <v>4471</v>
      </c>
      <c r="AD730" t="s">
        <v>94</v>
      </c>
    </row>
    <row r="731" spans="1:33" x14ac:dyDescent="0.3">
      <c r="A731">
        <v>1895</v>
      </c>
      <c r="B731" t="s">
        <v>4472</v>
      </c>
      <c r="C731" t="str">
        <f>""</f>
        <v/>
      </c>
      <c r="D731" t="str">
        <f>"610790N00"</f>
        <v>610790N00</v>
      </c>
      <c r="E731" s="1">
        <v>43703</v>
      </c>
      <c r="F731" t="s">
        <v>4473</v>
      </c>
      <c r="G731" t="e">
        <f>INDEX(#REF!,MATCH(P731,#REF!,0),1)</f>
        <v>#REF!</v>
      </c>
      <c r="H731" t="s">
        <v>4474</v>
      </c>
      <c r="J731" t="s">
        <v>4475</v>
      </c>
      <c r="K731" t="s">
        <v>283</v>
      </c>
      <c r="L731">
        <v>56058</v>
      </c>
      <c r="M731" t="s">
        <v>4476</v>
      </c>
      <c r="N731">
        <v>742</v>
      </c>
      <c r="O731" t="s">
        <v>1117</v>
      </c>
      <c r="P731">
        <v>742</v>
      </c>
      <c r="Q731" t="s">
        <v>1117</v>
      </c>
      <c r="R731" t="s">
        <v>1046</v>
      </c>
      <c r="S731" t="s">
        <v>1047</v>
      </c>
      <c r="T731" t="s">
        <v>44</v>
      </c>
      <c r="U731" t="s">
        <v>45</v>
      </c>
      <c r="AA731" t="s">
        <v>119</v>
      </c>
      <c r="AE731" t="s">
        <v>120</v>
      </c>
    </row>
    <row r="732" spans="1:33" x14ac:dyDescent="0.3">
      <c r="A732">
        <v>1898</v>
      </c>
      <c r="B732" t="s">
        <v>4477</v>
      </c>
      <c r="C732" t="str">
        <f>""</f>
        <v/>
      </c>
      <c r="D732" t="str">
        <f>"611150E00"</f>
        <v>611150E00</v>
      </c>
      <c r="E732" s="1">
        <v>44257</v>
      </c>
      <c r="F732" t="s">
        <v>4478</v>
      </c>
      <c r="G732" t="e">
        <f>INDEX(#REF!,MATCH(P732,#REF!,0),1)</f>
        <v>#REF!</v>
      </c>
      <c r="H732" t="s">
        <v>4479</v>
      </c>
      <c r="J732" t="s">
        <v>4480</v>
      </c>
      <c r="K732" t="s">
        <v>283</v>
      </c>
      <c r="L732" t="s">
        <v>4481</v>
      </c>
      <c r="M732" t="s">
        <v>4482</v>
      </c>
      <c r="N732">
        <v>83951</v>
      </c>
      <c r="O732" t="s">
        <v>4425</v>
      </c>
      <c r="P732">
        <v>83951</v>
      </c>
      <c r="Q732" t="s">
        <v>4425</v>
      </c>
      <c r="R732" t="s">
        <v>245</v>
      </c>
      <c r="S732" t="s">
        <v>246</v>
      </c>
      <c r="T732" t="s">
        <v>44</v>
      </c>
      <c r="U732" t="s">
        <v>45</v>
      </c>
      <c r="AG732" t="s">
        <v>48</v>
      </c>
    </row>
    <row r="733" spans="1:33" x14ac:dyDescent="0.3">
      <c r="A733">
        <v>1899</v>
      </c>
      <c r="B733" t="s">
        <v>4483</v>
      </c>
      <c r="C733" t="str">
        <f>"1100006348546"</f>
        <v>1100006348546</v>
      </c>
      <c r="D733" t="str">
        <f>"610350F00"</f>
        <v>610350F00</v>
      </c>
      <c r="E733" s="1">
        <v>40742</v>
      </c>
      <c r="F733" t="s">
        <v>4484</v>
      </c>
      <c r="G733" t="e">
        <f>INDEX(#REF!,MATCH(P733,#REF!,0),1)</f>
        <v>#REF!</v>
      </c>
      <c r="H733" t="s">
        <v>4485</v>
      </c>
      <c r="J733" t="s">
        <v>4486</v>
      </c>
      <c r="K733" t="s">
        <v>283</v>
      </c>
      <c r="L733">
        <v>56716</v>
      </c>
      <c r="M733" t="s">
        <v>4487</v>
      </c>
      <c r="N733">
        <v>871561</v>
      </c>
      <c r="O733" t="s">
        <v>194</v>
      </c>
      <c r="P733">
        <v>6179343</v>
      </c>
      <c r="Q733" t="s">
        <v>1137</v>
      </c>
      <c r="R733" t="s">
        <v>196</v>
      </c>
      <c r="S733" t="s">
        <v>197</v>
      </c>
      <c r="T733" t="s">
        <v>44</v>
      </c>
      <c r="U733" t="s">
        <v>45</v>
      </c>
      <c r="AA733" t="s">
        <v>119</v>
      </c>
      <c r="AE733" t="s">
        <v>120</v>
      </c>
      <c r="AG733" t="s">
        <v>48</v>
      </c>
    </row>
    <row r="734" spans="1:33" x14ac:dyDescent="0.3">
      <c r="A734">
        <v>1901</v>
      </c>
      <c r="B734" t="s">
        <v>4488</v>
      </c>
      <c r="C734" t="str">
        <f>""</f>
        <v/>
      </c>
      <c r="D734" t="str">
        <f>"611410D00"</f>
        <v>611410D00</v>
      </c>
      <c r="E734" s="1">
        <v>42583</v>
      </c>
      <c r="F734" t="s">
        <v>4489</v>
      </c>
      <c r="G734" t="e">
        <f>INDEX(#REF!,MATCH(P734,#REF!,0),1)</f>
        <v>#REF!</v>
      </c>
      <c r="H734" t="s">
        <v>4490</v>
      </c>
      <c r="J734" t="s">
        <v>4491</v>
      </c>
      <c r="K734" t="s">
        <v>283</v>
      </c>
      <c r="L734">
        <v>56085</v>
      </c>
      <c r="M734" t="s">
        <v>4492</v>
      </c>
      <c r="N734">
        <v>1901</v>
      </c>
      <c r="O734" t="s">
        <v>4489</v>
      </c>
      <c r="P734">
        <v>1901</v>
      </c>
      <c r="Q734" t="s">
        <v>4489</v>
      </c>
      <c r="R734" t="s">
        <v>1046</v>
      </c>
      <c r="S734" t="s">
        <v>1047</v>
      </c>
      <c r="T734" t="s">
        <v>44</v>
      </c>
      <c r="U734" t="s">
        <v>45</v>
      </c>
    </row>
    <row r="735" spans="1:33" x14ac:dyDescent="0.3">
      <c r="A735">
        <v>1904</v>
      </c>
      <c r="B735" t="s">
        <v>4493</v>
      </c>
      <c r="C735" t="str">
        <f>""</f>
        <v/>
      </c>
      <c r="D735" t="str">
        <f>"QQA71GE00"</f>
        <v>QQA71GE00</v>
      </c>
      <c r="E735" s="1">
        <v>44488</v>
      </c>
      <c r="F735" t="s">
        <v>4494</v>
      </c>
      <c r="G735" t="e">
        <f>INDEX(#REF!,MATCH(P735,#REF!,0),1)</f>
        <v>#REF!</v>
      </c>
      <c r="H735" t="s">
        <v>4495</v>
      </c>
      <c r="J735" t="s">
        <v>4496</v>
      </c>
      <c r="K735" t="s">
        <v>283</v>
      </c>
      <c r="L735" t="s">
        <v>4497</v>
      </c>
      <c r="M735" t="s">
        <v>4498</v>
      </c>
      <c r="N735">
        <v>2623199</v>
      </c>
      <c r="O735" t="s">
        <v>4499</v>
      </c>
      <c r="P735">
        <v>2623199</v>
      </c>
      <c r="Q735" t="s">
        <v>4499</v>
      </c>
      <c r="R735" t="s">
        <v>4500</v>
      </c>
      <c r="S735" t="s">
        <v>4501</v>
      </c>
      <c r="T735" t="s">
        <v>2277</v>
      </c>
      <c r="U735" t="s">
        <v>4502</v>
      </c>
      <c r="V735" t="s">
        <v>2215</v>
      </c>
    </row>
    <row r="736" spans="1:33" x14ac:dyDescent="0.3">
      <c r="A736">
        <v>1909</v>
      </c>
      <c r="B736" t="s">
        <v>4503</v>
      </c>
      <c r="C736" t="str">
        <f>"1100003801587"</f>
        <v>1100003801587</v>
      </c>
      <c r="D736" t="str">
        <f>"0WYAJL800"</f>
        <v>0WYAJL800</v>
      </c>
      <c r="E736" s="1">
        <v>35309</v>
      </c>
      <c r="F736" t="s">
        <v>4504</v>
      </c>
      <c r="G736" t="e">
        <f>INDEX(#REF!,MATCH(P736,#REF!,0),1)</f>
        <v>#REF!</v>
      </c>
      <c r="H736" t="s">
        <v>4505</v>
      </c>
      <c r="I736" t="s">
        <v>4506</v>
      </c>
      <c r="J736" t="s">
        <v>4507</v>
      </c>
      <c r="K736" t="s">
        <v>283</v>
      </c>
      <c r="L736" t="s">
        <v>4508</v>
      </c>
      <c r="M736" t="s">
        <v>4509</v>
      </c>
      <c r="N736">
        <v>559</v>
      </c>
      <c r="O736" t="s">
        <v>2041</v>
      </c>
      <c r="P736">
        <v>3834</v>
      </c>
      <c r="Q736" t="s">
        <v>4510</v>
      </c>
      <c r="R736" t="s">
        <v>3864</v>
      </c>
      <c r="S736" t="s">
        <v>3865</v>
      </c>
      <c r="T736" t="s">
        <v>2277</v>
      </c>
      <c r="U736" t="s">
        <v>2278</v>
      </c>
      <c r="V736" t="s">
        <v>1824</v>
      </c>
      <c r="AD736" t="s">
        <v>94</v>
      </c>
      <c r="AE736" t="s">
        <v>120</v>
      </c>
    </row>
    <row r="737" spans="1:33" x14ac:dyDescent="0.3">
      <c r="A737">
        <v>1910</v>
      </c>
      <c r="B737" t="s">
        <v>4511</v>
      </c>
      <c r="C737" t="str">
        <f>"1100004443878"</f>
        <v>1100004443878</v>
      </c>
      <c r="D737" t="str">
        <f>"BL9K4HA00"</f>
        <v>BL9K4HA00</v>
      </c>
      <c r="E737" s="1">
        <v>35309</v>
      </c>
      <c r="F737" t="s">
        <v>4512</v>
      </c>
      <c r="G737" t="e">
        <f>INDEX(#REF!,MATCH(P737,#REF!,0),1)</f>
        <v>#REF!</v>
      </c>
      <c r="H737" t="s">
        <v>4513</v>
      </c>
      <c r="J737" t="s">
        <v>4514</v>
      </c>
      <c r="K737" t="s">
        <v>283</v>
      </c>
      <c r="L737" t="s">
        <v>4515</v>
      </c>
      <c r="M737" t="s">
        <v>4516</v>
      </c>
      <c r="N737">
        <v>559</v>
      </c>
      <c r="O737" t="s">
        <v>2041</v>
      </c>
      <c r="P737">
        <v>3834</v>
      </c>
      <c r="Q737" t="s">
        <v>4510</v>
      </c>
      <c r="R737" t="s">
        <v>3864</v>
      </c>
      <c r="S737" t="s">
        <v>3865</v>
      </c>
      <c r="T737" t="s">
        <v>2277</v>
      </c>
      <c r="U737" t="s">
        <v>2278</v>
      </c>
      <c r="V737" t="s">
        <v>1824</v>
      </c>
      <c r="AD737" t="s">
        <v>94</v>
      </c>
      <c r="AE737" t="s">
        <v>120</v>
      </c>
    </row>
    <row r="738" spans="1:33" x14ac:dyDescent="0.3">
      <c r="A738">
        <v>1922</v>
      </c>
      <c r="B738" t="s">
        <v>4517</v>
      </c>
      <c r="C738" t="str">
        <f>""</f>
        <v/>
      </c>
      <c r="D738" t="str">
        <f>"2G7HD0J00"</f>
        <v>2G7HD0J00</v>
      </c>
      <c r="E738" s="1">
        <v>31330</v>
      </c>
      <c r="F738" t="s">
        <v>883</v>
      </c>
      <c r="G738" t="e">
        <f>INDEX(#REF!,MATCH(P738,#REF!,0),1)</f>
        <v>#REF!</v>
      </c>
      <c r="H738" t="s">
        <v>1446</v>
      </c>
      <c r="J738" t="s">
        <v>1447</v>
      </c>
      <c r="K738" t="s">
        <v>65</v>
      </c>
      <c r="L738" t="s">
        <v>1448</v>
      </c>
      <c r="M738" t="s">
        <v>1449</v>
      </c>
      <c r="N738">
        <v>1922</v>
      </c>
      <c r="O738" t="s">
        <v>883</v>
      </c>
      <c r="P738">
        <v>1922</v>
      </c>
      <c r="Q738" t="s">
        <v>883</v>
      </c>
      <c r="R738" t="s">
        <v>884</v>
      </c>
      <c r="S738" t="s">
        <v>885</v>
      </c>
      <c r="T738" t="s">
        <v>44</v>
      </c>
      <c r="U738" t="s">
        <v>81</v>
      </c>
      <c r="AA738" t="s">
        <v>119</v>
      </c>
      <c r="AE738" t="s">
        <v>564</v>
      </c>
      <c r="AG738" t="s">
        <v>48</v>
      </c>
    </row>
    <row r="739" spans="1:33" x14ac:dyDescent="0.3">
      <c r="A739">
        <v>1923</v>
      </c>
      <c r="B739" t="s">
        <v>4518</v>
      </c>
      <c r="C739" t="str">
        <f>"1100094718573"</f>
        <v>1100094718573</v>
      </c>
      <c r="D739" t="str">
        <f>"141190G00"</f>
        <v>141190G00</v>
      </c>
      <c r="E739" s="1">
        <v>34578</v>
      </c>
      <c r="F739" t="s">
        <v>4519</v>
      </c>
      <c r="G739" t="e">
        <f>INDEX(#REF!,MATCH(P739,#REF!,0),1)</f>
        <v>#REF!</v>
      </c>
      <c r="H739" t="s">
        <v>4520</v>
      </c>
      <c r="J739" t="s">
        <v>4521</v>
      </c>
      <c r="K739" t="s">
        <v>2004</v>
      </c>
      <c r="L739" t="str">
        <f>"01060-2052"</f>
        <v>01060-2052</v>
      </c>
      <c r="M739" t="s">
        <v>4522</v>
      </c>
      <c r="N739">
        <v>2598</v>
      </c>
      <c r="O739" t="s">
        <v>2136</v>
      </c>
      <c r="P739">
        <v>81623</v>
      </c>
      <c r="Q739" t="s">
        <v>4523</v>
      </c>
      <c r="R739" t="s">
        <v>2492</v>
      </c>
      <c r="S739" t="s">
        <v>2493</v>
      </c>
      <c r="T739" t="s">
        <v>44</v>
      </c>
      <c r="U739" t="s">
        <v>45</v>
      </c>
      <c r="AE739" t="s">
        <v>72</v>
      </c>
      <c r="AG739" t="s">
        <v>48</v>
      </c>
    </row>
    <row r="740" spans="1:33" x14ac:dyDescent="0.3">
      <c r="A740">
        <v>1927</v>
      </c>
      <c r="B740" t="s">
        <v>4524</v>
      </c>
      <c r="C740" t="str">
        <f>"1100004172198"</f>
        <v>1100004172198</v>
      </c>
      <c r="D740" t="str">
        <f>"0K5VX9Q00"</f>
        <v>0K5VX9Q00</v>
      </c>
      <c r="E740" s="1">
        <v>34608</v>
      </c>
      <c r="F740" t="s">
        <v>4525</v>
      </c>
      <c r="G740" t="e">
        <f>INDEX(#REF!,MATCH(P740,#REF!,0),1)</f>
        <v>#REF!</v>
      </c>
      <c r="H740" t="s">
        <v>4526</v>
      </c>
      <c r="J740" t="s">
        <v>4527</v>
      </c>
      <c r="K740" t="s">
        <v>727</v>
      </c>
      <c r="L740" t="s">
        <v>4528</v>
      </c>
      <c r="M740" t="s">
        <v>4529</v>
      </c>
      <c r="N740">
        <v>908</v>
      </c>
      <c r="O740" t="s">
        <v>730</v>
      </c>
      <c r="P740">
        <v>26846</v>
      </c>
      <c r="Q740" t="s">
        <v>4530</v>
      </c>
      <c r="R740" t="s">
        <v>3139</v>
      </c>
      <c r="S740" t="s">
        <v>3140</v>
      </c>
      <c r="T740" t="s">
        <v>2277</v>
      </c>
      <c r="U740" t="s">
        <v>2278</v>
      </c>
      <c r="V740" t="s">
        <v>1824</v>
      </c>
      <c r="AA740" t="s">
        <v>327</v>
      </c>
      <c r="AD740" t="s">
        <v>94</v>
      </c>
      <c r="AE740" t="s">
        <v>348</v>
      </c>
    </row>
    <row r="741" spans="1:33" x14ac:dyDescent="0.3">
      <c r="A741">
        <v>1928</v>
      </c>
      <c r="B741" t="s">
        <v>4531</v>
      </c>
      <c r="C741" t="str">
        <f>"1100003351501"</f>
        <v>1100003351501</v>
      </c>
      <c r="D741" t="str">
        <f>"37ALDK200"</f>
        <v>37ALDK200</v>
      </c>
      <c r="E741" s="1">
        <v>34608</v>
      </c>
      <c r="F741" t="s">
        <v>4532</v>
      </c>
      <c r="G741" t="e">
        <f>INDEX(#REF!,MATCH(P741,#REF!,0),1)</f>
        <v>#REF!</v>
      </c>
      <c r="H741" t="s">
        <v>4533</v>
      </c>
      <c r="J741" t="s">
        <v>726</v>
      </c>
      <c r="K741" t="s">
        <v>727</v>
      </c>
      <c r="L741" t="s">
        <v>4534</v>
      </c>
      <c r="M741" t="s">
        <v>4535</v>
      </c>
      <c r="N741">
        <v>908</v>
      </c>
      <c r="O741" t="s">
        <v>730</v>
      </c>
      <c r="P741">
        <v>26846</v>
      </c>
      <c r="Q741" t="s">
        <v>4530</v>
      </c>
      <c r="R741" t="s">
        <v>3139</v>
      </c>
      <c r="S741" t="s">
        <v>3140</v>
      </c>
      <c r="T741" t="s">
        <v>2277</v>
      </c>
      <c r="U741" t="s">
        <v>2278</v>
      </c>
      <c r="V741" t="s">
        <v>1824</v>
      </c>
      <c r="AA741" t="s">
        <v>327</v>
      </c>
      <c r="AD741" t="s">
        <v>94</v>
      </c>
      <c r="AE741" t="s">
        <v>348</v>
      </c>
    </row>
    <row r="742" spans="1:33" x14ac:dyDescent="0.3">
      <c r="A742">
        <v>1931</v>
      </c>
      <c r="B742" t="s">
        <v>4536</v>
      </c>
      <c r="C742" t="str">
        <f>"1100003644825"</f>
        <v>1100003644825</v>
      </c>
      <c r="D742" t="str">
        <f>"F4LW13400"</f>
        <v>F4LW13400</v>
      </c>
      <c r="E742" s="1">
        <v>34608</v>
      </c>
      <c r="F742" t="s">
        <v>4537</v>
      </c>
      <c r="G742" t="e">
        <f>INDEX(#REF!,MATCH(P742,#REF!,0),1)</f>
        <v>#REF!</v>
      </c>
      <c r="H742" t="s">
        <v>4538</v>
      </c>
      <c r="J742" t="s">
        <v>4539</v>
      </c>
      <c r="K742" t="s">
        <v>727</v>
      </c>
      <c r="L742" t="s">
        <v>4540</v>
      </c>
      <c r="M742" t="s">
        <v>4541</v>
      </c>
      <c r="N742">
        <v>908</v>
      </c>
      <c r="O742" t="s">
        <v>730</v>
      </c>
      <c r="P742">
        <v>26846</v>
      </c>
      <c r="Q742" t="s">
        <v>4530</v>
      </c>
      <c r="R742" t="s">
        <v>3139</v>
      </c>
      <c r="S742" t="s">
        <v>3140</v>
      </c>
      <c r="T742" t="s">
        <v>2277</v>
      </c>
      <c r="U742" t="s">
        <v>2278</v>
      </c>
      <c r="V742" t="s">
        <v>1824</v>
      </c>
      <c r="AA742" t="s">
        <v>327</v>
      </c>
      <c r="AD742" t="s">
        <v>94</v>
      </c>
      <c r="AE742" t="s">
        <v>348</v>
      </c>
    </row>
    <row r="743" spans="1:33" x14ac:dyDescent="0.3">
      <c r="A743">
        <v>1940</v>
      </c>
      <c r="B743" t="s">
        <v>4542</v>
      </c>
      <c r="C743" t="str">
        <f>""</f>
        <v/>
      </c>
      <c r="D743" t="str">
        <f>"310PK2F00"</f>
        <v>310PK2F00</v>
      </c>
      <c r="E743" s="1">
        <v>34608</v>
      </c>
      <c r="F743" t="s">
        <v>4543</v>
      </c>
      <c r="G743" t="e">
        <f>INDEX(#REF!,MATCH(P743,#REF!,0),1)</f>
        <v>#REF!</v>
      </c>
      <c r="H743" t="s">
        <v>4544</v>
      </c>
      <c r="J743" t="s">
        <v>1447</v>
      </c>
      <c r="K743" t="s">
        <v>65</v>
      </c>
      <c r="L743" t="s">
        <v>4545</v>
      </c>
      <c r="M743" t="s">
        <v>4546</v>
      </c>
      <c r="N743">
        <v>1922</v>
      </c>
      <c r="O743" t="s">
        <v>883</v>
      </c>
      <c r="P743">
        <v>1922</v>
      </c>
      <c r="Q743" t="s">
        <v>883</v>
      </c>
      <c r="R743" t="s">
        <v>4102</v>
      </c>
      <c r="S743" t="s">
        <v>4103</v>
      </c>
      <c r="T743" t="s">
        <v>3141</v>
      </c>
      <c r="U743" t="s">
        <v>4547</v>
      </c>
      <c r="V743" t="s">
        <v>1824</v>
      </c>
      <c r="AA743" t="s">
        <v>119</v>
      </c>
      <c r="AE743" t="s">
        <v>564</v>
      </c>
      <c r="AG743" t="s">
        <v>48</v>
      </c>
    </row>
    <row r="744" spans="1:33" x14ac:dyDescent="0.3">
      <c r="A744">
        <v>1941</v>
      </c>
      <c r="B744" t="s">
        <v>4548</v>
      </c>
      <c r="C744" t="str">
        <f>"1100002857257"</f>
        <v>1100002857257</v>
      </c>
      <c r="D744" t="str">
        <f>"SMX207K00"</f>
        <v>SMX207K00</v>
      </c>
      <c r="E744" s="1">
        <v>43556</v>
      </c>
      <c r="F744" t="s">
        <v>4549</v>
      </c>
      <c r="G744" t="e">
        <f>INDEX(#REF!,MATCH(P744,#REF!,0),1)</f>
        <v>#REF!</v>
      </c>
      <c r="H744" t="s">
        <v>4550</v>
      </c>
      <c r="J744" t="s">
        <v>4551</v>
      </c>
      <c r="K744" t="s">
        <v>384</v>
      </c>
      <c r="L744" t="s">
        <v>4552</v>
      </c>
      <c r="M744" t="s">
        <v>4553</v>
      </c>
      <c r="N744">
        <v>2627538</v>
      </c>
      <c r="O744" t="s">
        <v>4554</v>
      </c>
      <c r="P744">
        <v>55472</v>
      </c>
      <c r="Q744" t="s">
        <v>4555</v>
      </c>
      <c r="R744" t="s">
        <v>679</v>
      </c>
      <c r="S744" t="s">
        <v>680</v>
      </c>
      <c r="T744" t="s">
        <v>44</v>
      </c>
      <c r="U744" t="s">
        <v>45</v>
      </c>
      <c r="AA744" t="s">
        <v>93</v>
      </c>
      <c r="AG744" t="s">
        <v>48</v>
      </c>
    </row>
    <row r="745" spans="1:33" x14ac:dyDescent="0.3">
      <c r="A745">
        <v>1943</v>
      </c>
      <c r="B745" t="s">
        <v>4556</v>
      </c>
      <c r="C745" t="str">
        <f>""</f>
        <v/>
      </c>
      <c r="D745" t="str">
        <f>"9GWBHDQ00"</f>
        <v>9GWBHDQ00</v>
      </c>
      <c r="E745" s="1">
        <v>31446</v>
      </c>
      <c r="F745" t="s">
        <v>4557</v>
      </c>
      <c r="G745" t="e">
        <f>INDEX(#REF!,MATCH(P745,#REF!,0),1)</f>
        <v>#REF!</v>
      </c>
      <c r="H745" t="s">
        <v>4558</v>
      </c>
      <c r="J745" t="s">
        <v>1688</v>
      </c>
      <c r="K745" t="s">
        <v>99</v>
      </c>
      <c r="L745" t="s">
        <v>4559</v>
      </c>
      <c r="M745" t="s">
        <v>4560</v>
      </c>
      <c r="N745">
        <v>2625226</v>
      </c>
      <c r="O745" t="s">
        <v>2109</v>
      </c>
      <c r="P745">
        <v>821424</v>
      </c>
      <c r="Q745" t="s">
        <v>2110</v>
      </c>
      <c r="R745" t="s">
        <v>434</v>
      </c>
      <c r="S745" t="s">
        <v>435</v>
      </c>
      <c r="T745" t="s">
        <v>44</v>
      </c>
      <c r="U745" t="s">
        <v>45</v>
      </c>
    </row>
    <row r="746" spans="1:33" x14ac:dyDescent="0.3">
      <c r="A746">
        <v>1945</v>
      </c>
      <c r="B746" t="s">
        <v>4561</v>
      </c>
      <c r="C746" t="str">
        <f>""</f>
        <v/>
      </c>
      <c r="D746" t="str">
        <f>"5SHWOPN00"</f>
        <v>5SHWOPN00</v>
      </c>
      <c r="E746" s="1">
        <v>42583</v>
      </c>
      <c r="F746" t="s">
        <v>4562</v>
      </c>
      <c r="G746" t="e">
        <f>INDEX(#REF!,MATCH(P746,#REF!,0),1)</f>
        <v>#REF!</v>
      </c>
      <c r="H746" t="s">
        <v>4563</v>
      </c>
      <c r="J746" t="s">
        <v>2298</v>
      </c>
      <c r="K746" t="s">
        <v>2244</v>
      </c>
      <c r="L746">
        <v>14626</v>
      </c>
      <c r="M746" t="s">
        <v>4564</v>
      </c>
      <c r="N746">
        <v>1362</v>
      </c>
      <c r="O746" t="s">
        <v>2316</v>
      </c>
      <c r="P746">
        <v>79248</v>
      </c>
      <c r="Q746" t="s">
        <v>4565</v>
      </c>
      <c r="R746" t="s">
        <v>940</v>
      </c>
      <c r="S746" t="s">
        <v>941</v>
      </c>
      <c r="T746" t="s">
        <v>2140</v>
      </c>
      <c r="U746" t="s">
        <v>2141</v>
      </c>
    </row>
    <row r="747" spans="1:33" x14ac:dyDescent="0.3">
      <c r="A747">
        <v>1949</v>
      </c>
      <c r="B747" t="s">
        <v>4566</v>
      </c>
      <c r="C747" t="str">
        <f>"1100003446290"</f>
        <v>1100003446290</v>
      </c>
      <c r="D747" t="str">
        <f>"8LDFX1J00"</f>
        <v>8LDFX1J00</v>
      </c>
      <c r="E747" s="1">
        <v>34608</v>
      </c>
      <c r="F747" t="s">
        <v>4567</v>
      </c>
      <c r="G747" t="e">
        <f>INDEX(#REF!,MATCH(P747,#REF!,0),1)</f>
        <v>#REF!</v>
      </c>
      <c r="H747" t="s">
        <v>1744</v>
      </c>
      <c r="J747" t="s">
        <v>1745</v>
      </c>
      <c r="K747" t="s">
        <v>283</v>
      </c>
      <c r="L747" t="s">
        <v>4568</v>
      </c>
      <c r="M747" t="s">
        <v>3226</v>
      </c>
      <c r="N747">
        <v>3460</v>
      </c>
      <c r="O747" t="s">
        <v>1155</v>
      </c>
      <c r="P747">
        <v>3460</v>
      </c>
      <c r="Q747" t="s">
        <v>1155</v>
      </c>
      <c r="R747" t="s">
        <v>3864</v>
      </c>
      <c r="S747" t="s">
        <v>3865</v>
      </c>
      <c r="T747" t="s">
        <v>2277</v>
      </c>
      <c r="U747" t="s">
        <v>2278</v>
      </c>
      <c r="V747" t="s">
        <v>1824</v>
      </c>
      <c r="AA747" t="s">
        <v>119</v>
      </c>
      <c r="AE747" t="s">
        <v>120</v>
      </c>
    </row>
    <row r="748" spans="1:33" x14ac:dyDescent="0.3">
      <c r="A748">
        <v>1952</v>
      </c>
      <c r="B748" t="s">
        <v>4569</v>
      </c>
      <c r="C748" t="str">
        <f>"1100001546329"</f>
        <v>1100001546329</v>
      </c>
      <c r="D748" t="str">
        <f>"660640M00"</f>
        <v>660640M00</v>
      </c>
      <c r="E748" s="1">
        <v>34608</v>
      </c>
      <c r="F748" t="s">
        <v>4570</v>
      </c>
      <c r="G748" t="e">
        <f>INDEX(#REF!,MATCH(P748,#REF!,0),1)</f>
        <v>#REF!</v>
      </c>
      <c r="H748" t="s">
        <v>4571</v>
      </c>
      <c r="J748" t="s">
        <v>4572</v>
      </c>
      <c r="K748" t="s">
        <v>727</v>
      </c>
      <c r="L748" t="s">
        <v>4573</v>
      </c>
      <c r="M748" t="s">
        <v>4574</v>
      </c>
      <c r="N748">
        <v>43715</v>
      </c>
      <c r="O748" t="s">
        <v>1591</v>
      </c>
      <c r="P748">
        <v>43715</v>
      </c>
      <c r="Q748" t="s">
        <v>1591</v>
      </c>
      <c r="R748" t="s">
        <v>325</v>
      </c>
      <c r="S748" t="s">
        <v>326</v>
      </c>
      <c r="T748" t="s">
        <v>44</v>
      </c>
      <c r="U748" t="s">
        <v>45</v>
      </c>
      <c r="AA748" t="s">
        <v>327</v>
      </c>
      <c r="AD748" t="s">
        <v>94</v>
      </c>
      <c r="AE748" t="s">
        <v>1522</v>
      </c>
    </row>
    <row r="749" spans="1:33" x14ac:dyDescent="0.3">
      <c r="A749">
        <v>1953</v>
      </c>
      <c r="B749" t="s">
        <v>4575</v>
      </c>
      <c r="C749" t="str">
        <f>""</f>
        <v/>
      </c>
      <c r="D749" t="str">
        <f>"660910M00"</f>
        <v>660910M00</v>
      </c>
      <c r="E749" s="1">
        <v>34608</v>
      </c>
      <c r="F749" t="s">
        <v>4576</v>
      </c>
      <c r="G749" t="e">
        <f>INDEX(#REF!,MATCH(P749,#REF!,0),1)</f>
        <v>#REF!</v>
      </c>
      <c r="H749" t="s">
        <v>4577</v>
      </c>
      <c r="J749" t="s">
        <v>4578</v>
      </c>
      <c r="K749" t="s">
        <v>727</v>
      </c>
      <c r="L749" t="s">
        <v>4579</v>
      </c>
      <c r="M749" t="s">
        <v>4580</v>
      </c>
      <c r="N749">
        <v>43715</v>
      </c>
      <c r="O749" t="s">
        <v>1591</v>
      </c>
      <c r="P749">
        <v>43715</v>
      </c>
      <c r="Q749" t="s">
        <v>1591</v>
      </c>
      <c r="R749" t="s">
        <v>325</v>
      </c>
      <c r="S749" t="s">
        <v>326</v>
      </c>
      <c r="T749" t="s">
        <v>44</v>
      </c>
      <c r="U749" t="s">
        <v>45</v>
      </c>
      <c r="AA749" t="s">
        <v>327</v>
      </c>
      <c r="AD749" t="s">
        <v>94</v>
      </c>
      <c r="AE749" t="s">
        <v>1522</v>
      </c>
    </row>
    <row r="750" spans="1:33" x14ac:dyDescent="0.3">
      <c r="A750">
        <v>1955</v>
      </c>
      <c r="B750" t="s">
        <v>4581</v>
      </c>
      <c r="C750" t="str">
        <f>""</f>
        <v/>
      </c>
      <c r="D750" t="str">
        <f>"74DT29SF0"</f>
        <v>74DT29SF0</v>
      </c>
      <c r="E750" s="1">
        <v>45658</v>
      </c>
      <c r="F750" t="s">
        <v>4582</v>
      </c>
      <c r="G750" t="e">
        <f>INDEX(#REF!,MATCH(P750,#REF!,0),1)</f>
        <v>#REF!</v>
      </c>
      <c r="H750" t="s">
        <v>4583</v>
      </c>
      <c r="J750" t="s">
        <v>4584</v>
      </c>
      <c r="K750" t="s">
        <v>676</v>
      </c>
      <c r="L750">
        <v>78229</v>
      </c>
      <c r="M750" t="s">
        <v>4585</v>
      </c>
      <c r="N750">
        <v>61311</v>
      </c>
      <c r="O750" t="s">
        <v>4586</v>
      </c>
      <c r="P750">
        <v>61311</v>
      </c>
      <c r="Q750" t="s">
        <v>4586</v>
      </c>
      <c r="R750" t="s">
        <v>4587</v>
      </c>
      <c r="S750" t="s">
        <v>4588</v>
      </c>
      <c r="T750" t="s">
        <v>44</v>
      </c>
      <c r="U750" t="s">
        <v>717</v>
      </c>
      <c r="V750" t="s">
        <v>2215</v>
      </c>
    </row>
    <row r="751" spans="1:33" x14ac:dyDescent="0.3">
      <c r="A751">
        <v>1956</v>
      </c>
      <c r="B751" t="s">
        <v>4589</v>
      </c>
      <c r="C751" t="str">
        <f>""</f>
        <v/>
      </c>
      <c r="D751" t="str">
        <f>"730610H00"</f>
        <v>730610H00</v>
      </c>
      <c r="E751" s="1">
        <v>41067</v>
      </c>
      <c r="F751" t="s">
        <v>4590</v>
      </c>
      <c r="G751" t="e">
        <f>INDEX(#REF!,MATCH(P751,#REF!,0),1)</f>
        <v>#REF!</v>
      </c>
      <c r="H751" t="s">
        <v>4591</v>
      </c>
      <c r="J751" t="s">
        <v>4592</v>
      </c>
      <c r="K751" t="s">
        <v>763</v>
      </c>
      <c r="L751">
        <v>74743</v>
      </c>
      <c r="M751" t="s">
        <v>4593</v>
      </c>
      <c r="N751">
        <v>1956</v>
      </c>
      <c r="O751" t="s">
        <v>4590</v>
      </c>
      <c r="P751">
        <v>1956</v>
      </c>
      <c r="Q751" t="s">
        <v>4590</v>
      </c>
      <c r="R751" t="s">
        <v>1401</v>
      </c>
      <c r="S751" t="s">
        <v>1402</v>
      </c>
      <c r="T751" t="s">
        <v>44</v>
      </c>
      <c r="U751" t="s">
        <v>45</v>
      </c>
    </row>
    <row r="752" spans="1:33" x14ac:dyDescent="0.3">
      <c r="A752">
        <v>1961</v>
      </c>
      <c r="B752" t="s">
        <v>4594</v>
      </c>
      <c r="C752" t="str">
        <f>"1100001857951"</f>
        <v>1100001857951</v>
      </c>
      <c r="D752" t="str">
        <f>""</f>
        <v/>
      </c>
      <c r="E752" s="1">
        <v>42583</v>
      </c>
      <c r="F752" t="s">
        <v>1207</v>
      </c>
      <c r="G752" t="e">
        <f>INDEX(#REF!,MATCH(P752,#REF!,0),1)</f>
        <v>#REF!</v>
      </c>
      <c r="H752" t="s">
        <v>4595</v>
      </c>
      <c r="I752" t="s">
        <v>4596</v>
      </c>
      <c r="J752" t="s">
        <v>3231</v>
      </c>
      <c r="K752" t="s">
        <v>77</v>
      </c>
      <c r="L752" t="s">
        <v>4597</v>
      </c>
      <c r="M752" t="s">
        <v>4598</v>
      </c>
      <c r="N752">
        <v>1961</v>
      </c>
      <c r="O752" t="s">
        <v>1207</v>
      </c>
      <c r="P752">
        <v>1961</v>
      </c>
      <c r="Q752" t="s">
        <v>1207</v>
      </c>
      <c r="R752" t="s">
        <v>1006</v>
      </c>
      <c r="S752" t="s">
        <v>1007</v>
      </c>
      <c r="T752" t="s">
        <v>44</v>
      </c>
      <c r="U752" t="s">
        <v>81</v>
      </c>
      <c r="AE752" t="s">
        <v>591</v>
      </c>
      <c r="AG752" t="s">
        <v>48</v>
      </c>
    </row>
    <row r="753" spans="1:33" x14ac:dyDescent="0.3">
      <c r="A753">
        <v>1966</v>
      </c>
      <c r="B753" t="s">
        <v>4599</v>
      </c>
      <c r="C753" t="str">
        <f>""</f>
        <v/>
      </c>
      <c r="D753" t="str">
        <f>"EJFG8QQ00"</f>
        <v>EJFG8QQ00</v>
      </c>
      <c r="E753" s="1">
        <v>34820</v>
      </c>
      <c r="F753" t="s">
        <v>4600</v>
      </c>
      <c r="G753" t="e">
        <f>INDEX(#REF!,MATCH(P753,#REF!,0),1)</f>
        <v>#REF!</v>
      </c>
      <c r="H753" t="s">
        <v>4601</v>
      </c>
      <c r="J753" t="s">
        <v>3956</v>
      </c>
      <c r="K753" t="s">
        <v>283</v>
      </c>
      <c r="L753">
        <v>55114</v>
      </c>
      <c r="M753" t="s">
        <v>4602</v>
      </c>
      <c r="N753">
        <v>559</v>
      </c>
      <c r="O753" t="s">
        <v>2041</v>
      </c>
      <c r="P753">
        <v>559</v>
      </c>
      <c r="Q753" t="s">
        <v>2041</v>
      </c>
      <c r="R753" t="s">
        <v>3864</v>
      </c>
      <c r="S753" t="s">
        <v>3865</v>
      </c>
      <c r="T753" t="s">
        <v>3141</v>
      </c>
      <c r="U753" t="s">
        <v>3142</v>
      </c>
      <c r="V753" t="s">
        <v>1824</v>
      </c>
      <c r="AD753" t="s">
        <v>94</v>
      </c>
      <c r="AE753" t="s">
        <v>120</v>
      </c>
    </row>
    <row r="754" spans="1:33" x14ac:dyDescent="0.3">
      <c r="A754">
        <v>1969</v>
      </c>
      <c r="B754" t="s">
        <v>4603</v>
      </c>
      <c r="C754" t="str">
        <f>"1100003713217"</f>
        <v>1100003713217</v>
      </c>
      <c r="D754" t="str">
        <f>""</f>
        <v/>
      </c>
      <c r="E754" s="1">
        <v>40487</v>
      </c>
      <c r="F754" t="s">
        <v>4604</v>
      </c>
      <c r="G754" t="e">
        <f>INDEX(#REF!,MATCH(P754,#REF!,0),1)</f>
        <v>#REF!</v>
      </c>
      <c r="H754" t="s">
        <v>4605</v>
      </c>
      <c r="J754" t="s">
        <v>282</v>
      </c>
      <c r="K754" t="s">
        <v>283</v>
      </c>
      <c r="L754" t="s">
        <v>4606</v>
      </c>
      <c r="M754" t="s">
        <v>4607</v>
      </c>
      <c r="N754">
        <v>841335</v>
      </c>
      <c r="O754" t="s">
        <v>4608</v>
      </c>
      <c r="P754">
        <v>841335</v>
      </c>
      <c r="Q754" t="s">
        <v>4608</v>
      </c>
      <c r="R754" t="s">
        <v>4609</v>
      </c>
      <c r="S754" t="s">
        <v>4610</v>
      </c>
      <c r="T754" t="s">
        <v>2277</v>
      </c>
      <c r="U754" t="s">
        <v>4611</v>
      </c>
      <c r="V754" t="s">
        <v>2215</v>
      </c>
      <c r="AD754" t="s">
        <v>59</v>
      </c>
      <c r="AF754" t="s">
        <v>4612</v>
      </c>
    </row>
    <row r="755" spans="1:33" x14ac:dyDescent="0.3">
      <c r="A755">
        <v>1979</v>
      </c>
      <c r="B755" t="s">
        <v>4613</v>
      </c>
      <c r="C755" t="str">
        <f>"1100003916595"</f>
        <v>1100003916595</v>
      </c>
      <c r="D755" t="str">
        <f>"320060B00"</f>
        <v>320060B00</v>
      </c>
      <c r="E755" s="1">
        <v>43615</v>
      </c>
      <c r="F755" t="s">
        <v>4614</v>
      </c>
      <c r="G755" t="e">
        <f>INDEX(#REF!,MATCH(P755,#REF!,0),1)</f>
        <v>#REF!</v>
      </c>
      <c r="H755" t="s">
        <v>4615</v>
      </c>
      <c r="J755" t="s">
        <v>1002</v>
      </c>
      <c r="K755" t="s">
        <v>982</v>
      </c>
      <c r="L755">
        <v>21224</v>
      </c>
      <c r="M755" t="s">
        <v>4616</v>
      </c>
      <c r="N755">
        <v>2449824</v>
      </c>
      <c r="O755" t="s">
        <v>1005</v>
      </c>
      <c r="P755">
        <v>2449824</v>
      </c>
      <c r="Q755" t="s">
        <v>1005</v>
      </c>
      <c r="R755" t="s">
        <v>1006</v>
      </c>
      <c r="S755" t="s">
        <v>1007</v>
      </c>
      <c r="T755" t="s">
        <v>44</v>
      </c>
      <c r="U755" t="s">
        <v>45</v>
      </c>
      <c r="AE755" t="s">
        <v>186</v>
      </c>
      <c r="AG755" t="s">
        <v>48</v>
      </c>
    </row>
    <row r="756" spans="1:33" x14ac:dyDescent="0.3">
      <c r="A756">
        <v>1986</v>
      </c>
      <c r="B756" t="s">
        <v>4617</v>
      </c>
      <c r="C756" t="str">
        <f>"1100002108373"</f>
        <v>1100002108373</v>
      </c>
      <c r="D756" t="str">
        <f>"631810J00"</f>
        <v>631810J00</v>
      </c>
      <c r="E756" s="1">
        <v>34639</v>
      </c>
      <c r="F756" t="s">
        <v>4618</v>
      </c>
      <c r="G756" t="e">
        <f>INDEX(#REF!,MATCH(P756,#REF!,0),1)</f>
        <v>#REF!</v>
      </c>
      <c r="H756" t="s">
        <v>4619</v>
      </c>
      <c r="J756" t="s">
        <v>4620</v>
      </c>
      <c r="K756" t="s">
        <v>177</v>
      </c>
      <c r="L756" t="s">
        <v>4621</v>
      </c>
      <c r="M756" t="s">
        <v>4622</v>
      </c>
      <c r="N756">
        <v>6104582</v>
      </c>
      <c r="O756" t="s">
        <v>180</v>
      </c>
      <c r="P756">
        <v>1351</v>
      </c>
      <c r="Q756" t="s">
        <v>181</v>
      </c>
      <c r="R756" t="s">
        <v>182</v>
      </c>
      <c r="S756" t="s">
        <v>183</v>
      </c>
      <c r="T756" t="s">
        <v>44</v>
      </c>
      <c r="U756" t="s">
        <v>45</v>
      </c>
      <c r="AA756" t="s">
        <v>185</v>
      </c>
      <c r="AE756" t="s">
        <v>186</v>
      </c>
    </row>
    <row r="757" spans="1:33" x14ac:dyDescent="0.3">
      <c r="A757">
        <v>1987</v>
      </c>
      <c r="B757" t="s">
        <v>4623</v>
      </c>
      <c r="C757" t="str">
        <f>"1100002111489"</f>
        <v>1100002111489</v>
      </c>
      <c r="D757" t="str">
        <f>"631690P00"</f>
        <v>631690P00</v>
      </c>
      <c r="E757" s="1">
        <v>34639</v>
      </c>
      <c r="F757" t="s">
        <v>4624</v>
      </c>
      <c r="G757" t="e">
        <f>INDEX(#REF!,MATCH(P757,#REF!,0),1)</f>
        <v>#REF!</v>
      </c>
      <c r="H757" t="s">
        <v>4625</v>
      </c>
      <c r="J757" t="s">
        <v>176</v>
      </c>
      <c r="K757" t="s">
        <v>177</v>
      </c>
      <c r="L757" t="s">
        <v>4626</v>
      </c>
      <c r="M757" t="s">
        <v>4627</v>
      </c>
      <c r="N757">
        <v>6104582</v>
      </c>
      <c r="O757" t="s">
        <v>180</v>
      </c>
      <c r="P757">
        <v>1351</v>
      </c>
      <c r="Q757" t="s">
        <v>181</v>
      </c>
      <c r="R757" t="s">
        <v>182</v>
      </c>
      <c r="S757" t="s">
        <v>183</v>
      </c>
      <c r="T757" t="s">
        <v>44</v>
      </c>
      <c r="U757" t="s">
        <v>288</v>
      </c>
      <c r="AA757" t="s">
        <v>185</v>
      </c>
      <c r="AE757" t="s">
        <v>186</v>
      </c>
      <c r="AG757" t="s">
        <v>48</v>
      </c>
    </row>
    <row r="758" spans="1:33" x14ac:dyDescent="0.3">
      <c r="A758">
        <v>1990</v>
      </c>
      <c r="B758" t="s">
        <v>4628</v>
      </c>
      <c r="C758" t="str">
        <f>"1100004209207"</f>
        <v>1100004209207</v>
      </c>
      <c r="D758" t="str">
        <f>"631800I00"</f>
        <v>631800I00</v>
      </c>
      <c r="E758" s="1">
        <v>38306</v>
      </c>
      <c r="F758" t="s">
        <v>4629</v>
      </c>
      <c r="G758" t="e">
        <f>INDEX(#REF!,MATCH(P758,#REF!,0),1)</f>
        <v>#REF!</v>
      </c>
      <c r="H758" t="s">
        <v>4630</v>
      </c>
      <c r="J758" t="s">
        <v>4631</v>
      </c>
      <c r="K758" t="s">
        <v>177</v>
      </c>
      <c r="L758" t="s">
        <v>4632</v>
      </c>
      <c r="M758" t="s">
        <v>4633</v>
      </c>
      <c r="N758">
        <v>6104582</v>
      </c>
      <c r="O758" t="s">
        <v>180</v>
      </c>
      <c r="P758">
        <v>6104582</v>
      </c>
      <c r="Q758" t="s">
        <v>180</v>
      </c>
      <c r="R758" t="s">
        <v>182</v>
      </c>
      <c r="S758" t="s">
        <v>183</v>
      </c>
      <c r="T758" t="s">
        <v>44</v>
      </c>
      <c r="U758" t="s">
        <v>45</v>
      </c>
      <c r="AA758" t="s">
        <v>185</v>
      </c>
    </row>
    <row r="759" spans="1:33" x14ac:dyDescent="0.3">
      <c r="A759">
        <v>1992</v>
      </c>
      <c r="B759" t="s">
        <v>4634</v>
      </c>
      <c r="C759" t="str">
        <f>"1100005141063"</f>
        <v>1100005141063</v>
      </c>
      <c r="D759" t="str">
        <f>"431490L00"</f>
        <v>431490L00</v>
      </c>
      <c r="E759" s="1">
        <v>44501</v>
      </c>
      <c r="F759" t="s">
        <v>4635</v>
      </c>
      <c r="G759" t="e">
        <f>INDEX(#REF!,MATCH(P759,#REF!,0),1)</f>
        <v>#REF!</v>
      </c>
      <c r="H759" t="s">
        <v>4636</v>
      </c>
      <c r="J759" t="s">
        <v>1051</v>
      </c>
      <c r="K759" t="s">
        <v>342</v>
      </c>
      <c r="L759" t="s">
        <v>4637</v>
      </c>
      <c r="M759" t="s">
        <v>4638</v>
      </c>
      <c r="N759">
        <v>1992</v>
      </c>
      <c r="O759" t="s">
        <v>4635</v>
      </c>
      <c r="P759">
        <v>1992</v>
      </c>
      <c r="Q759" t="s">
        <v>4635</v>
      </c>
      <c r="R759" t="s">
        <v>245</v>
      </c>
      <c r="S759" t="s">
        <v>246</v>
      </c>
      <c r="T759" t="s">
        <v>44</v>
      </c>
      <c r="U759" t="s">
        <v>45</v>
      </c>
    </row>
    <row r="760" spans="1:33" x14ac:dyDescent="0.3">
      <c r="A760">
        <v>1993</v>
      </c>
      <c r="B760" t="s">
        <v>4639</v>
      </c>
      <c r="C760" t="str">
        <f>""</f>
        <v/>
      </c>
      <c r="D760" t="str">
        <f>"431870N00"</f>
        <v>431870N00</v>
      </c>
      <c r="E760" s="1">
        <v>34639</v>
      </c>
      <c r="F760" t="s">
        <v>4640</v>
      </c>
      <c r="G760" t="e">
        <f>INDEX(#REF!,MATCH(P760,#REF!,0),1)</f>
        <v>#REF!</v>
      </c>
      <c r="H760" t="s">
        <v>4641</v>
      </c>
      <c r="J760" t="s">
        <v>4642</v>
      </c>
      <c r="K760" t="s">
        <v>342</v>
      </c>
      <c r="L760">
        <v>62062</v>
      </c>
      <c r="M760" t="s">
        <v>4643</v>
      </c>
      <c r="N760">
        <v>1993</v>
      </c>
      <c r="O760" t="s">
        <v>4640</v>
      </c>
      <c r="P760">
        <v>1993</v>
      </c>
      <c r="Q760" t="s">
        <v>4640</v>
      </c>
      <c r="R760" t="s">
        <v>1401</v>
      </c>
      <c r="S760" t="s">
        <v>1402</v>
      </c>
      <c r="T760" t="s">
        <v>44</v>
      </c>
      <c r="U760" t="s">
        <v>45</v>
      </c>
      <c r="AA760" t="s">
        <v>337</v>
      </c>
      <c r="AD760" t="s">
        <v>94</v>
      </c>
      <c r="AE760" t="s">
        <v>404</v>
      </c>
    </row>
    <row r="761" spans="1:33" x14ac:dyDescent="0.3">
      <c r="A761">
        <v>1994</v>
      </c>
      <c r="B761" t="s">
        <v>4644</v>
      </c>
      <c r="C761" t="str">
        <f>""</f>
        <v/>
      </c>
      <c r="D761" t="str">
        <f>"431680M00"</f>
        <v>431680M00</v>
      </c>
      <c r="E761" s="1">
        <v>37104</v>
      </c>
      <c r="F761" t="s">
        <v>4645</v>
      </c>
      <c r="G761" t="e">
        <f>INDEX(#REF!,MATCH(P761,#REF!,0),1)</f>
        <v>#REF!</v>
      </c>
      <c r="H761" t="s">
        <v>4646</v>
      </c>
      <c r="J761" t="s">
        <v>4647</v>
      </c>
      <c r="K761" t="s">
        <v>342</v>
      </c>
      <c r="L761" t="s">
        <v>4648</v>
      </c>
      <c r="M761" t="s">
        <v>4649</v>
      </c>
      <c r="N761">
        <v>1994</v>
      </c>
      <c r="O761" t="s">
        <v>4645</v>
      </c>
      <c r="P761">
        <v>1994</v>
      </c>
      <c r="Q761" t="s">
        <v>4645</v>
      </c>
      <c r="R761" t="s">
        <v>1401</v>
      </c>
      <c r="S761" t="s">
        <v>1402</v>
      </c>
      <c r="T761" t="s">
        <v>44</v>
      </c>
      <c r="U761" t="s">
        <v>45</v>
      </c>
      <c r="AA761" t="s">
        <v>211</v>
      </c>
    </row>
    <row r="762" spans="1:33" x14ac:dyDescent="0.3">
      <c r="A762">
        <v>1996</v>
      </c>
      <c r="B762" t="s">
        <v>4650</v>
      </c>
      <c r="C762" t="str">
        <f>""</f>
        <v/>
      </c>
      <c r="D762" t="str">
        <f>"430370H00"</f>
        <v>430370H00</v>
      </c>
      <c r="E762" s="1">
        <v>34639</v>
      </c>
      <c r="F762" t="s">
        <v>4651</v>
      </c>
      <c r="G762" t="e">
        <f>INDEX(#REF!,MATCH(P762,#REF!,0),1)</f>
        <v>#REF!</v>
      </c>
      <c r="H762" t="s">
        <v>4652</v>
      </c>
      <c r="J762" t="s">
        <v>1764</v>
      </c>
      <c r="K762" t="s">
        <v>342</v>
      </c>
      <c r="L762" t="s">
        <v>4653</v>
      </c>
      <c r="M762" t="s">
        <v>4654</v>
      </c>
      <c r="N762">
        <v>6104582</v>
      </c>
      <c r="O762" t="s">
        <v>180</v>
      </c>
      <c r="P762">
        <v>6104582</v>
      </c>
      <c r="Q762" t="s">
        <v>180</v>
      </c>
      <c r="R762" t="s">
        <v>182</v>
      </c>
      <c r="S762" t="s">
        <v>183</v>
      </c>
      <c r="T762" t="s">
        <v>44</v>
      </c>
      <c r="U762" t="s">
        <v>45</v>
      </c>
      <c r="AA762" t="s">
        <v>185</v>
      </c>
    </row>
    <row r="763" spans="1:33" x14ac:dyDescent="0.3">
      <c r="A763">
        <v>1999</v>
      </c>
      <c r="B763" t="s">
        <v>4655</v>
      </c>
      <c r="C763" t="str">
        <f>"1100004572523"</f>
        <v>1100004572523</v>
      </c>
      <c r="D763" t="str">
        <f>"820590O00"</f>
        <v>820590O00</v>
      </c>
      <c r="E763" s="1">
        <v>39506</v>
      </c>
      <c r="F763" t="s">
        <v>4656</v>
      </c>
      <c r="G763" t="e">
        <f>INDEX(#REF!,MATCH(P763,#REF!,0),1)</f>
        <v>#REF!</v>
      </c>
      <c r="H763" t="s">
        <v>4657</v>
      </c>
      <c r="J763" t="s">
        <v>4658</v>
      </c>
      <c r="K763" t="s">
        <v>533</v>
      </c>
      <c r="L763" t="s">
        <v>4659</v>
      </c>
      <c r="M763" t="s">
        <v>4660</v>
      </c>
      <c r="N763">
        <v>1999</v>
      </c>
      <c r="O763" t="s">
        <v>4656</v>
      </c>
      <c r="P763">
        <v>1999</v>
      </c>
      <c r="Q763" t="s">
        <v>4656</v>
      </c>
      <c r="R763" t="s">
        <v>4661</v>
      </c>
      <c r="S763" t="s">
        <v>4662</v>
      </c>
      <c r="T763" t="s">
        <v>44</v>
      </c>
      <c r="U763" t="s">
        <v>45</v>
      </c>
      <c r="AC763" t="s">
        <v>1265</v>
      </c>
    </row>
    <row r="764" spans="1:33" x14ac:dyDescent="0.3">
      <c r="A764">
        <v>2000</v>
      </c>
      <c r="B764" t="s">
        <v>4663</v>
      </c>
      <c r="C764" t="str">
        <f>""</f>
        <v/>
      </c>
      <c r="D764" t="str">
        <f>"411180F00"</f>
        <v>411180F00</v>
      </c>
      <c r="E764" s="1">
        <v>42248</v>
      </c>
      <c r="F764" t="s">
        <v>4664</v>
      </c>
      <c r="G764" t="e">
        <f>INDEX(#REF!,MATCH(P764,#REF!,0),1)</f>
        <v>#REF!</v>
      </c>
      <c r="H764" t="s">
        <v>4665</v>
      </c>
      <c r="J764" t="s">
        <v>4666</v>
      </c>
      <c r="K764" t="s">
        <v>37</v>
      </c>
      <c r="L764" t="s">
        <v>4667</v>
      </c>
      <c r="M764" t="s">
        <v>4668</v>
      </c>
      <c r="N764">
        <v>3548</v>
      </c>
      <c r="O764" t="s">
        <v>2222</v>
      </c>
      <c r="P764">
        <v>3548</v>
      </c>
      <c r="Q764" t="s">
        <v>2222</v>
      </c>
      <c r="R764" t="s">
        <v>335</v>
      </c>
      <c r="S764" t="s">
        <v>336</v>
      </c>
      <c r="T764" t="s">
        <v>44</v>
      </c>
      <c r="U764" t="s">
        <v>45</v>
      </c>
      <c r="Y764" t="s">
        <v>46</v>
      </c>
      <c r="Z764" s="1">
        <v>42248</v>
      </c>
      <c r="AE764" t="s">
        <v>47</v>
      </c>
      <c r="AG764" t="s">
        <v>48</v>
      </c>
    </row>
    <row r="765" spans="1:33" x14ac:dyDescent="0.3">
      <c r="A765">
        <v>2001</v>
      </c>
      <c r="B765" t="s">
        <v>4669</v>
      </c>
      <c r="C765" t="str">
        <f>""</f>
        <v/>
      </c>
      <c r="D765" t="str">
        <f>"830100C00"</f>
        <v>830100C00</v>
      </c>
      <c r="E765" s="1">
        <v>43374</v>
      </c>
      <c r="F765" t="s">
        <v>4670</v>
      </c>
      <c r="G765" t="e">
        <f>INDEX(#REF!,MATCH(P765,#REF!,0),1)</f>
        <v>#REF!</v>
      </c>
      <c r="H765" t="s">
        <v>4671</v>
      </c>
      <c r="J765" t="s">
        <v>4672</v>
      </c>
      <c r="K765" t="s">
        <v>1275</v>
      </c>
      <c r="L765" t="s">
        <v>4673</v>
      </c>
      <c r="M765" t="s">
        <v>4674</v>
      </c>
      <c r="N765">
        <v>2001</v>
      </c>
      <c r="O765" t="s">
        <v>4670</v>
      </c>
      <c r="P765">
        <v>2001</v>
      </c>
      <c r="Q765" t="s">
        <v>4670</v>
      </c>
      <c r="R765" t="s">
        <v>325</v>
      </c>
      <c r="S765" t="s">
        <v>326</v>
      </c>
      <c r="T765" t="s">
        <v>44</v>
      </c>
      <c r="U765" t="s">
        <v>45</v>
      </c>
      <c r="AA765" t="s">
        <v>211</v>
      </c>
    </row>
    <row r="766" spans="1:33" x14ac:dyDescent="0.3">
      <c r="A766">
        <v>2012</v>
      </c>
      <c r="B766" t="s">
        <v>4675</v>
      </c>
      <c r="C766" t="str">
        <f>"1100003124976"</f>
        <v>1100003124976</v>
      </c>
      <c r="D766" t="str">
        <f>"0DCVBID00"</f>
        <v>0DCVBID00</v>
      </c>
      <c r="E766" s="1">
        <v>45796</v>
      </c>
      <c r="F766" t="s">
        <v>4676</v>
      </c>
      <c r="G766" t="e">
        <f>INDEX(#REF!,MATCH(P766,#REF!,0),1)</f>
        <v>#REF!</v>
      </c>
      <c r="H766" t="s">
        <v>4677</v>
      </c>
      <c r="J766" t="s">
        <v>1026</v>
      </c>
      <c r="K766" t="s">
        <v>577</v>
      </c>
      <c r="L766" t="s">
        <v>4678</v>
      </c>
      <c r="M766" t="s">
        <v>4679</v>
      </c>
      <c r="N766">
        <v>264</v>
      </c>
      <c r="O766" t="s">
        <v>1024</v>
      </c>
      <c r="P766">
        <v>38646</v>
      </c>
      <c r="Q766" t="s">
        <v>4680</v>
      </c>
      <c r="R766" t="s">
        <v>4681</v>
      </c>
      <c r="S766" t="s">
        <v>4682</v>
      </c>
      <c r="T766" t="s">
        <v>117</v>
      </c>
      <c r="U766" t="s">
        <v>118</v>
      </c>
      <c r="V766" t="s">
        <v>1824</v>
      </c>
      <c r="Y766" t="s">
        <v>46</v>
      </c>
      <c r="Z766" s="1">
        <v>45796</v>
      </c>
      <c r="AA766" t="s">
        <v>1032</v>
      </c>
      <c r="AE766" t="s">
        <v>1033</v>
      </c>
    </row>
    <row r="767" spans="1:33" x14ac:dyDescent="0.3">
      <c r="A767">
        <v>2018</v>
      </c>
      <c r="B767" t="s">
        <v>4683</v>
      </c>
      <c r="C767" t="str">
        <f>""</f>
        <v/>
      </c>
      <c r="D767" t="str">
        <f>"DADYCMW00"</f>
        <v>DADYCMW00</v>
      </c>
      <c r="E767" s="1">
        <v>39269</v>
      </c>
      <c r="F767" t="s">
        <v>4684</v>
      </c>
      <c r="G767" t="e">
        <f>INDEX(#REF!,MATCH(P767,#REF!,0),1)</f>
        <v>#REF!</v>
      </c>
      <c r="H767" t="s">
        <v>4685</v>
      </c>
      <c r="J767" t="s">
        <v>4686</v>
      </c>
      <c r="K767" t="s">
        <v>577</v>
      </c>
      <c r="L767" t="s">
        <v>4687</v>
      </c>
      <c r="M767" t="s">
        <v>4688</v>
      </c>
      <c r="N767">
        <v>2018</v>
      </c>
      <c r="O767" t="s">
        <v>4684</v>
      </c>
      <c r="P767">
        <v>2018</v>
      </c>
      <c r="Q767" t="s">
        <v>4684</v>
      </c>
      <c r="R767" t="s">
        <v>4689</v>
      </c>
      <c r="S767" t="s">
        <v>4690</v>
      </c>
      <c r="T767" t="s">
        <v>117</v>
      </c>
      <c r="U767" t="s">
        <v>4072</v>
      </c>
      <c r="V767" t="s">
        <v>2215</v>
      </c>
      <c r="AD767" t="s">
        <v>59</v>
      </c>
    </row>
    <row r="768" spans="1:33" x14ac:dyDescent="0.3">
      <c r="A768">
        <v>2020</v>
      </c>
      <c r="B768" t="s">
        <v>4691</v>
      </c>
      <c r="C768" t="str">
        <f>"1100004582027"</f>
        <v>1100004582027</v>
      </c>
      <c r="D768" t="str">
        <f>""</f>
        <v/>
      </c>
      <c r="E768" s="1">
        <v>42583</v>
      </c>
      <c r="F768" t="s">
        <v>4692</v>
      </c>
      <c r="G768" t="e">
        <f>INDEX(#REF!,MATCH(P768,#REF!,0),1)</f>
        <v>#REF!</v>
      </c>
      <c r="H768" t="s">
        <v>4693</v>
      </c>
      <c r="J768" t="s">
        <v>576</v>
      </c>
      <c r="K768" t="s">
        <v>577</v>
      </c>
      <c r="L768" t="s">
        <v>4694</v>
      </c>
      <c r="M768" t="s">
        <v>4695</v>
      </c>
      <c r="N768">
        <v>2020</v>
      </c>
      <c r="O768" t="s">
        <v>4692</v>
      </c>
      <c r="P768">
        <v>2020</v>
      </c>
      <c r="Q768" t="s">
        <v>4692</v>
      </c>
      <c r="R768" t="s">
        <v>245</v>
      </c>
      <c r="S768" t="s">
        <v>246</v>
      </c>
      <c r="T768" t="s">
        <v>44</v>
      </c>
      <c r="U768" t="s">
        <v>1823</v>
      </c>
    </row>
    <row r="769" spans="1:33" x14ac:dyDescent="0.3">
      <c r="A769">
        <v>2025</v>
      </c>
      <c r="B769" t="s">
        <v>4696</v>
      </c>
      <c r="C769" t="str">
        <f>"1100002764159"</f>
        <v>1100002764159</v>
      </c>
      <c r="D769" t="str">
        <f>""</f>
        <v/>
      </c>
      <c r="E769" s="1">
        <v>42583</v>
      </c>
      <c r="F769" t="s">
        <v>4697</v>
      </c>
      <c r="G769" t="e">
        <f>INDEX(#REF!,MATCH(P769,#REF!,0),1)</f>
        <v>#REF!</v>
      </c>
      <c r="H769" t="s">
        <v>4698</v>
      </c>
      <c r="J769" t="s">
        <v>4699</v>
      </c>
      <c r="K769" t="s">
        <v>577</v>
      </c>
      <c r="L769" t="s">
        <v>4700</v>
      </c>
      <c r="M769" t="s">
        <v>4701</v>
      </c>
      <c r="N769">
        <v>2289159</v>
      </c>
      <c r="O769" t="s">
        <v>580</v>
      </c>
      <c r="P769">
        <v>722892</v>
      </c>
      <c r="Q769" t="s">
        <v>4702</v>
      </c>
      <c r="R769" t="s">
        <v>245</v>
      </c>
      <c r="S769" t="s">
        <v>246</v>
      </c>
      <c r="T769" t="s">
        <v>44</v>
      </c>
      <c r="U769" t="s">
        <v>45</v>
      </c>
    </row>
    <row r="770" spans="1:33" x14ac:dyDescent="0.3">
      <c r="A770">
        <v>2036</v>
      </c>
      <c r="B770" t="s">
        <v>4703</v>
      </c>
      <c r="C770" t="str">
        <f>""</f>
        <v/>
      </c>
      <c r="D770" t="str">
        <f>"93TPYF700"</f>
        <v>93TPYF700</v>
      </c>
      <c r="E770" s="1">
        <v>38426</v>
      </c>
      <c r="F770" t="s">
        <v>4704</v>
      </c>
      <c r="G770" t="e">
        <f>INDEX(#REF!,MATCH(P770,#REF!,0),1)</f>
        <v>#REF!</v>
      </c>
      <c r="H770" t="s">
        <v>4705</v>
      </c>
      <c r="J770" t="s">
        <v>87</v>
      </c>
      <c r="K770" t="s">
        <v>88</v>
      </c>
      <c r="L770">
        <v>94609</v>
      </c>
      <c r="M770" t="s">
        <v>4706</v>
      </c>
      <c r="N770">
        <v>251</v>
      </c>
      <c r="O770" t="s">
        <v>90</v>
      </c>
      <c r="P770">
        <v>251</v>
      </c>
      <c r="Q770" t="s">
        <v>90</v>
      </c>
      <c r="R770" t="s">
        <v>4681</v>
      </c>
      <c r="S770" t="s">
        <v>4682</v>
      </c>
      <c r="T770" t="s">
        <v>117</v>
      </c>
      <c r="U770" t="s">
        <v>2479</v>
      </c>
      <c r="V770" t="s">
        <v>1824</v>
      </c>
      <c r="AA770" t="s">
        <v>93</v>
      </c>
      <c r="AC770" t="s">
        <v>90</v>
      </c>
      <c r="AD770" t="s">
        <v>94</v>
      </c>
      <c r="AE770" t="s">
        <v>72</v>
      </c>
      <c r="AG770" t="s">
        <v>48</v>
      </c>
    </row>
    <row r="771" spans="1:33" x14ac:dyDescent="0.3">
      <c r="A771">
        <v>2037</v>
      </c>
      <c r="B771" t="s">
        <v>4707</v>
      </c>
      <c r="C771" t="str">
        <f>""</f>
        <v/>
      </c>
      <c r="D771" t="str">
        <f>"6PGYGG500"</f>
        <v>6PGYGG500</v>
      </c>
      <c r="E771" s="1">
        <v>42583</v>
      </c>
      <c r="F771" t="s">
        <v>4708</v>
      </c>
      <c r="G771" t="e">
        <f>INDEX(#REF!,MATCH(P771,#REF!,0),1)</f>
        <v>#REF!</v>
      </c>
      <c r="H771" t="s">
        <v>4709</v>
      </c>
      <c r="J771" t="s">
        <v>3458</v>
      </c>
      <c r="K771" t="s">
        <v>2244</v>
      </c>
      <c r="L771">
        <v>13502</v>
      </c>
      <c r="M771" t="s">
        <v>4710</v>
      </c>
      <c r="N771">
        <v>1317</v>
      </c>
      <c r="O771" t="s">
        <v>3461</v>
      </c>
      <c r="P771">
        <v>1317</v>
      </c>
      <c r="Q771" t="s">
        <v>3461</v>
      </c>
      <c r="R771" t="s">
        <v>940</v>
      </c>
      <c r="S771" t="s">
        <v>941</v>
      </c>
      <c r="T771" t="s">
        <v>3141</v>
      </c>
      <c r="U771" t="s">
        <v>3738</v>
      </c>
    </row>
    <row r="772" spans="1:33" x14ac:dyDescent="0.3">
      <c r="A772">
        <v>2042</v>
      </c>
      <c r="B772" t="s">
        <v>4711</v>
      </c>
      <c r="C772" t="str">
        <f>"1100003526879"</f>
        <v>1100003526879</v>
      </c>
      <c r="D772" t="str">
        <f>"36MU2NE00"</f>
        <v>36MU2NE00</v>
      </c>
      <c r="E772" s="1">
        <v>42583</v>
      </c>
      <c r="F772" t="s">
        <v>4712</v>
      </c>
      <c r="G772" t="e">
        <f>INDEX(#REF!,MATCH(P772,#REF!,0),1)</f>
        <v>#REF!</v>
      </c>
      <c r="H772" t="s">
        <v>4713</v>
      </c>
      <c r="J772" t="s">
        <v>4714</v>
      </c>
      <c r="K772" t="s">
        <v>2244</v>
      </c>
      <c r="L772">
        <v>12180</v>
      </c>
      <c r="M772" t="s">
        <v>4715</v>
      </c>
      <c r="N772">
        <v>72033</v>
      </c>
      <c r="O772" t="s">
        <v>2571</v>
      </c>
      <c r="P772">
        <v>72033</v>
      </c>
      <c r="Q772" t="s">
        <v>2571</v>
      </c>
      <c r="R772" t="s">
        <v>245</v>
      </c>
      <c r="S772" t="s">
        <v>246</v>
      </c>
      <c r="T772" t="s">
        <v>2214</v>
      </c>
      <c r="U772" t="s">
        <v>2214</v>
      </c>
    </row>
    <row r="773" spans="1:33" x14ac:dyDescent="0.3">
      <c r="A773">
        <v>2044</v>
      </c>
      <c r="B773" t="s">
        <v>4716</v>
      </c>
      <c r="C773" t="str">
        <f>"1100005020016"</f>
        <v>1100005020016</v>
      </c>
      <c r="D773" t="str">
        <f>"36HAB2D00"</f>
        <v>36HAB2D00</v>
      </c>
      <c r="E773" s="1">
        <v>42583</v>
      </c>
      <c r="F773" t="s">
        <v>4717</v>
      </c>
      <c r="G773" t="e">
        <f>INDEX(#REF!,MATCH(P773,#REF!,0),1)</f>
        <v>#REF!</v>
      </c>
      <c r="H773" t="s">
        <v>4718</v>
      </c>
      <c r="J773" t="s">
        <v>881</v>
      </c>
      <c r="K773" t="s">
        <v>2244</v>
      </c>
      <c r="L773">
        <v>12180</v>
      </c>
      <c r="M773" t="s">
        <v>4719</v>
      </c>
      <c r="N773">
        <v>72033</v>
      </c>
      <c r="O773" t="s">
        <v>2571</v>
      </c>
      <c r="P773">
        <v>72033</v>
      </c>
      <c r="Q773" t="s">
        <v>2571</v>
      </c>
      <c r="R773" t="s">
        <v>245</v>
      </c>
      <c r="S773" t="s">
        <v>246</v>
      </c>
      <c r="T773" t="s">
        <v>2214</v>
      </c>
      <c r="U773" t="s">
        <v>2214</v>
      </c>
    </row>
    <row r="774" spans="1:33" x14ac:dyDescent="0.3">
      <c r="A774">
        <v>2047</v>
      </c>
      <c r="B774" t="s">
        <v>4720</v>
      </c>
      <c r="C774" t="str">
        <f>""</f>
        <v/>
      </c>
      <c r="D774" t="str">
        <f>"0D4X06K00"</f>
        <v>0D4X06K00</v>
      </c>
      <c r="E774" s="1">
        <v>34639</v>
      </c>
      <c r="F774" t="s">
        <v>4721</v>
      </c>
      <c r="G774" t="e">
        <f>INDEX(#REF!,MATCH(P774,#REF!,0),1)</f>
        <v>#REF!</v>
      </c>
      <c r="H774" t="s">
        <v>1717</v>
      </c>
      <c r="J774" t="s">
        <v>446</v>
      </c>
      <c r="K774" t="s">
        <v>307</v>
      </c>
      <c r="L774" t="s">
        <v>1718</v>
      </c>
      <c r="M774" t="s">
        <v>4722</v>
      </c>
      <c r="N774">
        <v>2047</v>
      </c>
      <c r="O774" t="s">
        <v>4721</v>
      </c>
      <c r="P774">
        <v>2047</v>
      </c>
      <c r="Q774" t="s">
        <v>4721</v>
      </c>
      <c r="R774" t="s">
        <v>4723</v>
      </c>
      <c r="S774" t="s">
        <v>4724</v>
      </c>
      <c r="T774" t="s">
        <v>117</v>
      </c>
      <c r="U774" t="s">
        <v>3374</v>
      </c>
      <c r="V774" t="s">
        <v>2215</v>
      </c>
    </row>
    <row r="775" spans="1:33" x14ac:dyDescent="0.3">
      <c r="A775">
        <v>2051</v>
      </c>
      <c r="B775" t="s">
        <v>4725</v>
      </c>
      <c r="C775" t="str">
        <f>"1100003540509"</f>
        <v>1100003540509</v>
      </c>
      <c r="D775" t="str">
        <f>"NXGPY8V00"</f>
        <v>NXGPY8V00</v>
      </c>
      <c r="E775" s="1">
        <v>34639</v>
      </c>
      <c r="F775" t="s">
        <v>4726</v>
      </c>
      <c r="G775" t="e">
        <f>INDEX(#REF!,MATCH(P775,#REF!,0),1)</f>
        <v>#REF!</v>
      </c>
      <c r="H775" t="s">
        <v>4727</v>
      </c>
      <c r="J775" t="s">
        <v>446</v>
      </c>
      <c r="K775" t="s">
        <v>307</v>
      </c>
      <c r="L775">
        <v>47201</v>
      </c>
      <c r="M775" t="s">
        <v>4728</v>
      </c>
      <c r="N775">
        <v>2047</v>
      </c>
      <c r="O775" t="s">
        <v>4721</v>
      </c>
      <c r="P775">
        <v>2047</v>
      </c>
      <c r="Q775" t="s">
        <v>4721</v>
      </c>
      <c r="R775" t="s">
        <v>4723</v>
      </c>
      <c r="S775" t="s">
        <v>4724</v>
      </c>
      <c r="T775" t="s">
        <v>117</v>
      </c>
      <c r="U775" t="s">
        <v>2479</v>
      </c>
      <c r="V775" t="s">
        <v>2215</v>
      </c>
    </row>
    <row r="776" spans="1:33" x14ac:dyDescent="0.3">
      <c r="A776">
        <v>2052</v>
      </c>
      <c r="B776" t="s">
        <v>4729</v>
      </c>
      <c r="C776" t="str">
        <f>""</f>
        <v/>
      </c>
      <c r="D776" t="str">
        <f>"7FMWVWV00"</f>
        <v>7FMWVWV00</v>
      </c>
      <c r="E776" s="1">
        <v>34639</v>
      </c>
      <c r="F776" t="s">
        <v>4730</v>
      </c>
      <c r="G776" t="e">
        <f>INDEX(#REF!,MATCH(P776,#REF!,0),1)</f>
        <v>#REF!</v>
      </c>
      <c r="H776" t="s">
        <v>4731</v>
      </c>
      <c r="J776" t="s">
        <v>446</v>
      </c>
      <c r="K776" t="s">
        <v>307</v>
      </c>
      <c r="L776">
        <v>47203</v>
      </c>
      <c r="M776" t="s">
        <v>3226</v>
      </c>
      <c r="N776">
        <v>2047</v>
      </c>
      <c r="O776" t="s">
        <v>4721</v>
      </c>
      <c r="P776">
        <v>2047</v>
      </c>
      <c r="Q776" t="s">
        <v>4721</v>
      </c>
      <c r="R776" t="s">
        <v>4723</v>
      </c>
      <c r="S776" t="s">
        <v>4724</v>
      </c>
      <c r="T776" t="s">
        <v>117</v>
      </c>
      <c r="U776" t="s">
        <v>4108</v>
      </c>
      <c r="V776" t="s">
        <v>2215</v>
      </c>
    </row>
    <row r="777" spans="1:33" x14ac:dyDescent="0.3">
      <c r="A777">
        <v>2054</v>
      </c>
      <c r="B777" t="s">
        <v>4732</v>
      </c>
      <c r="C777" t="str">
        <f>"1100004203984"</f>
        <v>1100004203984</v>
      </c>
      <c r="D777" t="str">
        <f>"9A9QWDR00"</f>
        <v>9A9QWDR00</v>
      </c>
      <c r="E777" s="1">
        <v>44470</v>
      </c>
      <c r="F777" t="s">
        <v>4733</v>
      </c>
      <c r="G777" t="e">
        <f>INDEX(#REF!,MATCH(P777,#REF!,0),1)</f>
        <v>#REF!</v>
      </c>
      <c r="H777" t="s">
        <v>4734</v>
      </c>
      <c r="J777" t="s">
        <v>4735</v>
      </c>
      <c r="K777" t="s">
        <v>342</v>
      </c>
      <c r="L777" t="s">
        <v>4736</v>
      </c>
      <c r="M777" t="s">
        <v>4737</v>
      </c>
      <c r="N777">
        <v>2054</v>
      </c>
      <c r="O777" t="s">
        <v>4733</v>
      </c>
      <c r="P777">
        <v>2054</v>
      </c>
      <c r="Q777" t="s">
        <v>4733</v>
      </c>
      <c r="R777" t="s">
        <v>245</v>
      </c>
      <c r="S777" t="s">
        <v>246</v>
      </c>
      <c r="T777" t="s">
        <v>44</v>
      </c>
      <c r="U777" t="s">
        <v>81</v>
      </c>
    </row>
    <row r="778" spans="1:33" x14ac:dyDescent="0.3">
      <c r="A778">
        <v>2060</v>
      </c>
      <c r="B778" t="s">
        <v>4738</v>
      </c>
      <c r="C778" t="str">
        <f>""</f>
        <v/>
      </c>
      <c r="D778" t="str">
        <f>"63NZULA00"</f>
        <v>63NZULA00</v>
      </c>
      <c r="E778" s="1">
        <v>32507</v>
      </c>
      <c r="F778" t="s">
        <v>947</v>
      </c>
      <c r="G778" t="e">
        <f>INDEX(#REF!,MATCH(P778,#REF!,0),1)</f>
        <v>#REF!</v>
      </c>
      <c r="H778" t="s">
        <v>4739</v>
      </c>
      <c r="J778" t="s">
        <v>951</v>
      </c>
      <c r="K778" t="s">
        <v>177</v>
      </c>
      <c r="L778" t="s">
        <v>4740</v>
      </c>
      <c r="M778" t="s">
        <v>4741</v>
      </c>
      <c r="N778">
        <v>6104582</v>
      </c>
      <c r="O778" t="s">
        <v>180</v>
      </c>
      <c r="P778">
        <v>3951</v>
      </c>
      <c r="Q778" t="s">
        <v>954</v>
      </c>
      <c r="R778" t="s">
        <v>182</v>
      </c>
      <c r="S778" t="s">
        <v>183</v>
      </c>
      <c r="T778" t="s">
        <v>44</v>
      </c>
      <c r="U778" t="s">
        <v>45</v>
      </c>
      <c r="AD778" t="s">
        <v>94</v>
      </c>
      <c r="AE778" t="s">
        <v>186</v>
      </c>
    </row>
    <row r="779" spans="1:33" x14ac:dyDescent="0.3">
      <c r="A779">
        <v>2062</v>
      </c>
      <c r="B779" t="s">
        <v>4742</v>
      </c>
      <c r="C779" t="str">
        <f>"1100004409638"</f>
        <v>1100004409638</v>
      </c>
      <c r="D779" t="str">
        <f>"743810N00"</f>
        <v>743810N00</v>
      </c>
      <c r="E779" s="1">
        <v>42583</v>
      </c>
      <c r="F779" t="s">
        <v>4743</v>
      </c>
      <c r="G779" t="e">
        <f>INDEX(#REF!,MATCH(P779,#REF!,0),1)</f>
        <v>#REF!</v>
      </c>
      <c r="H779" t="s">
        <v>4744</v>
      </c>
      <c r="J779" t="s">
        <v>4745</v>
      </c>
      <c r="K779" t="s">
        <v>676</v>
      </c>
      <c r="L779">
        <v>79336</v>
      </c>
      <c r="M779" t="s">
        <v>4746</v>
      </c>
      <c r="N779">
        <v>43193</v>
      </c>
      <c r="O779" t="s">
        <v>1465</v>
      </c>
      <c r="P779">
        <v>1101885</v>
      </c>
      <c r="Q779" t="s">
        <v>1466</v>
      </c>
      <c r="R779" t="s">
        <v>1467</v>
      </c>
      <c r="S779" t="s">
        <v>1468</v>
      </c>
      <c r="T779" t="s">
        <v>44</v>
      </c>
      <c r="U779" t="s">
        <v>45</v>
      </c>
      <c r="AA779" t="s">
        <v>1031</v>
      </c>
      <c r="AE779" t="s">
        <v>72</v>
      </c>
    </row>
    <row r="780" spans="1:33" x14ac:dyDescent="0.3">
      <c r="A780">
        <v>2065</v>
      </c>
      <c r="B780" t="s">
        <v>4747</v>
      </c>
      <c r="C780" t="str">
        <f>""</f>
        <v/>
      </c>
      <c r="D780" t="str">
        <f>""</f>
        <v/>
      </c>
      <c r="E780" s="1">
        <v>41822</v>
      </c>
      <c r="F780" t="s">
        <v>4748</v>
      </c>
      <c r="G780" t="e">
        <f>INDEX(#REF!,MATCH(P780,#REF!,0),1)</f>
        <v>#REF!</v>
      </c>
      <c r="H780" t="s">
        <v>4041</v>
      </c>
      <c r="J780" t="s">
        <v>4042</v>
      </c>
      <c r="K780" t="s">
        <v>283</v>
      </c>
      <c r="L780" t="s">
        <v>4043</v>
      </c>
      <c r="M780" t="s">
        <v>4749</v>
      </c>
      <c r="N780">
        <v>559</v>
      </c>
      <c r="O780" t="s">
        <v>2041</v>
      </c>
      <c r="P780">
        <v>559</v>
      </c>
      <c r="Q780" t="s">
        <v>2041</v>
      </c>
      <c r="R780" t="s">
        <v>3864</v>
      </c>
      <c r="S780" t="s">
        <v>3865</v>
      </c>
      <c r="T780" t="s">
        <v>2277</v>
      </c>
      <c r="U780" t="s">
        <v>2278</v>
      </c>
      <c r="V780" t="s">
        <v>1824</v>
      </c>
      <c r="AD780" t="s">
        <v>94</v>
      </c>
      <c r="AE780" t="s">
        <v>120</v>
      </c>
    </row>
    <row r="781" spans="1:33" x14ac:dyDescent="0.3">
      <c r="A781">
        <v>2075</v>
      </c>
      <c r="B781" t="s">
        <v>4750</v>
      </c>
      <c r="C781" t="str">
        <f>""</f>
        <v/>
      </c>
      <c r="D781" t="str">
        <f>""</f>
        <v/>
      </c>
      <c r="E781" s="1">
        <v>34669</v>
      </c>
      <c r="F781" t="s">
        <v>4751</v>
      </c>
      <c r="G781" t="e">
        <f>INDEX(#REF!,MATCH(P781,#REF!,0),1)</f>
        <v>#REF!</v>
      </c>
      <c r="H781" t="s">
        <v>4752</v>
      </c>
      <c r="J781" t="s">
        <v>4753</v>
      </c>
      <c r="K781" t="s">
        <v>37</v>
      </c>
      <c r="L781" t="s">
        <v>4754</v>
      </c>
      <c r="M781" t="s">
        <v>4755</v>
      </c>
      <c r="N781">
        <v>210</v>
      </c>
      <c r="O781" t="s">
        <v>840</v>
      </c>
      <c r="P781">
        <v>210</v>
      </c>
      <c r="Q781" t="s">
        <v>840</v>
      </c>
      <c r="R781" t="s">
        <v>3744</v>
      </c>
      <c r="S781" t="s">
        <v>3745</v>
      </c>
      <c r="T781" t="s">
        <v>3141</v>
      </c>
      <c r="U781" t="s">
        <v>3142</v>
      </c>
      <c r="V781" t="s">
        <v>1824</v>
      </c>
      <c r="Y781" t="s">
        <v>46</v>
      </c>
      <c r="Z781" s="1">
        <v>42370</v>
      </c>
    </row>
    <row r="782" spans="1:33" x14ac:dyDescent="0.3">
      <c r="A782">
        <v>2082</v>
      </c>
      <c r="B782" t="s">
        <v>4756</v>
      </c>
      <c r="C782" t="str">
        <f>""</f>
        <v/>
      </c>
      <c r="D782" t="str">
        <f>"933000F00"</f>
        <v>933000F00</v>
      </c>
      <c r="E782" s="1">
        <v>34669</v>
      </c>
      <c r="F782" t="s">
        <v>4757</v>
      </c>
      <c r="G782" t="e">
        <f>INDEX(#REF!,MATCH(P782,#REF!,0),1)</f>
        <v>#REF!</v>
      </c>
      <c r="H782" t="s">
        <v>4758</v>
      </c>
      <c r="J782" t="s">
        <v>4759</v>
      </c>
      <c r="K782" t="s">
        <v>88</v>
      </c>
      <c r="L782" t="s">
        <v>4760</v>
      </c>
      <c r="M782" t="s">
        <v>4761</v>
      </c>
      <c r="N782">
        <v>251</v>
      </c>
      <c r="O782" t="s">
        <v>90</v>
      </c>
      <c r="P782">
        <v>251</v>
      </c>
      <c r="Q782" t="s">
        <v>90</v>
      </c>
      <c r="R782" t="s">
        <v>91</v>
      </c>
      <c r="S782" t="s">
        <v>92</v>
      </c>
      <c r="T782" t="s">
        <v>44</v>
      </c>
      <c r="U782" t="s">
        <v>45</v>
      </c>
      <c r="AA782" t="s">
        <v>93</v>
      </c>
      <c r="AC782" t="s">
        <v>90</v>
      </c>
      <c r="AD782" t="s">
        <v>94</v>
      </c>
      <c r="AE782" t="s">
        <v>72</v>
      </c>
      <c r="AG782" t="s">
        <v>48</v>
      </c>
    </row>
    <row r="783" spans="1:33" x14ac:dyDescent="0.3">
      <c r="A783">
        <v>2084</v>
      </c>
      <c r="B783" t="s">
        <v>4762</v>
      </c>
      <c r="C783" t="str">
        <f>"1100003564437"</f>
        <v>1100003564437</v>
      </c>
      <c r="D783" t="str">
        <f>"660280M00"</f>
        <v>660280M00</v>
      </c>
      <c r="E783" s="1">
        <v>34669</v>
      </c>
      <c r="F783" t="s">
        <v>4763</v>
      </c>
      <c r="G783" t="e">
        <f>INDEX(#REF!,MATCH(P783,#REF!,0),1)</f>
        <v>#REF!</v>
      </c>
      <c r="H783" t="s">
        <v>4764</v>
      </c>
      <c r="J783" t="s">
        <v>1089</v>
      </c>
      <c r="K783" t="s">
        <v>727</v>
      </c>
      <c r="L783" t="s">
        <v>4765</v>
      </c>
      <c r="M783" t="s">
        <v>4766</v>
      </c>
      <c r="N783">
        <v>43715</v>
      </c>
      <c r="O783" t="s">
        <v>1591</v>
      </c>
      <c r="P783">
        <v>43715</v>
      </c>
      <c r="Q783" t="s">
        <v>1591</v>
      </c>
      <c r="R783" t="s">
        <v>325</v>
      </c>
      <c r="S783" t="s">
        <v>326</v>
      </c>
      <c r="T783" t="s">
        <v>44</v>
      </c>
      <c r="U783" t="s">
        <v>45</v>
      </c>
      <c r="AA783" t="s">
        <v>327</v>
      </c>
      <c r="AD783" t="s">
        <v>94</v>
      </c>
      <c r="AE783" t="s">
        <v>1522</v>
      </c>
    </row>
    <row r="784" spans="1:33" x14ac:dyDescent="0.3">
      <c r="A784">
        <v>2088</v>
      </c>
      <c r="B784" t="s">
        <v>4767</v>
      </c>
      <c r="C784" t="str">
        <f>""</f>
        <v/>
      </c>
      <c r="D784" t="str">
        <f>"730240G00"</f>
        <v>730240G00</v>
      </c>
      <c r="E784" s="1">
        <v>34669</v>
      </c>
      <c r="F784" t="s">
        <v>4768</v>
      </c>
      <c r="G784" t="e">
        <f>INDEX(#REF!,MATCH(P784,#REF!,0),1)</f>
        <v>#REF!</v>
      </c>
      <c r="H784" t="s">
        <v>4769</v>
      </c>
      <c r="J784" t="s">
        <v>4770</v>
      </c>
      <c r="K784" t="s">
        <v>763</v>
      </c>
      <c r="L784" t="s">
        <v>4771</v>
      </c>
      <c r="M784" t="s">
        <v>4772</v>
      </c>
      <c r="N784">
        <v>2088</v>
      </c>
      <c r="O784" t="s">
        <v>4768</v>
      </c>
      <c r="P784">
        <v>2088</v>
      </c>
      <c r="Q784" t="s">
        <v>4768</v>
      </c>
      <c r="R784" t="s">
        <v>1309</v>
      </c>
      <c r="S784" t="s">
        <v>1310</v>
      </c>
      <c r="T784" t="s">
        <v>44</v>
      </c>
      <c r="U784" t="s">
        <v>45</v>
      </c>
      <c r="AA784" t="s">
        <v>119</v>
      </c>
      <c r="AE784" t="s">
        <v>766</v>
      </c>
    </row>
    <row r="785" spans="1:33" x14ac:dyDescent="0.3">
      <c r="A785">
        <v>2089</v>
      </c>
      <c r="B785" t="s">
        <v>4773</v>
      </c>
      <c r="C785" t="str">
        <f>"1100003529368"</f>
        <v>1100003529368</v>
      </c>
      <c r="D785" t="str">
        <f>"730400E00"</f>
        <v>730400E00</v>
      </c>
      <c r="E785" s="1">
        <v>44531</v>
      </c>
      <c r="F785" t="s">
        <v>4774</v>
      </c>
      <c r="G785" t="e">
        <f>INDEX(#REF!,MATCH(P785,#REF!,0),1)</f>
        <v>#REF!</v>
      </c>
      <c r="H785" t="s">
        <v>4775</v>
      </c>
      <c r="J785" t="s">
        <v>4776</v>
      </c>
      <c r="K785" t="s">
        <v>763</v>
      </c>
      <c r="L785" t="s">
        <v>4777</v>
      </c>
      <c r="M785" t="s">
        <v>4778</v>
      </c>
      <c r="N785">
        <v>2089</v>
      </c>
      <c r="O785" t="s">
        <v>4774</v>
      </c>
      <c r="P785">
        <v>2089</v>
      </c>
      <c r="Q785" t="s">
        <v>4774</v>
      </c>
      <c r="R785" t="s">
        <v>245</v>
      </c>
      <c r="S785" t="s">
        <v>246</v>
      </c>
      <c r="T785" t="s">
        <v>44</v>
      </c>
      <c r="U785" t="s">
        <v>45</v>
      </c>
    </row>
    <row r="786" spans="1:33" x14ac:dyDescent="0.3">
      <c r="A786">
        <v>2090</v>
      </c>
      <c r="B786" t="s">
        <v>4779</v>
      </c>
      <c r="C786" t="str">
        <f>"1100005356528"</f>
        <v>1100005356528</v>
      </c>
      <c r="D786" t="str">
        <f>"421300A00"</f>
        <v>421300A00</v>
      </c>
      <c r="E786" s="1">
        <v>34669</v>
      </c>
      <c r="F786" t="s">
        <v>4780</v>
      </c>
      <c r="G786" t="e">
        <f>INDEX(#REF!,MATCH(P786,#REF!,0),1)</f>
        <v>#REF!</v>
      </c>
      <c r="H786" t="s">
        <v>4781</v>
      </c>
      <c r="J786" t="s">
        <v>4782</v>
      </c>
      <c r="K786" t="s">
        <v>307</v>
      </c>
      <c r="L786">
        <v>47274</v>
      </c>
      <c r="M786" t="s">
        <v>4783</v>
      </c>
      <c r="N786">
        <v>2090</v>
      </c>
      <c r="O786" t="s">
        <v>4780</v>
      </c>
      <c r="P786">
        <v>2090</v>
      </c>
      <c r="Q786" t="s">
        <v>4780</v>
      </c>
      <c r="R786" t="s">
        <v>465</v>
      </c>
      <c r="S786" t="s">
        <v>466</v>
      </c>
      <c r="T786" t="s">
        <v>44</v>
      </c>
      <c r="U786" t="s">
        <v>45</v>
      </c>
      <c r="AA786" t="s">
        <v>337</v>
      </c>
      <c r="AD786" t="s">
        <v>94</v>
      </c>
      <c r="AE786" t="s">
        <v>404</v>
      </c>
    </row>
    <row r="787" spans="1:33" x14ac:dyDescent="0.3">
      <c r="A787">
        <v>2096</v>
      </c>
      <c r="B787" t="s">
        <v>4784</v>
      </c>
      <c r="C787" t="str">
        <f>""</f>
        <v/>
      </c>
      <c r="D787" t="str">
        <f>"140390H00"</f>
        <v>140390H00</v>
      </c>
      <c r="E787" s="1">
        <v>41791</v>
      </c>
      <c r="F787" t="s">
        <v>4785</v>
      </c>
      <c r="G787" t="e">
        <f>INDEX(#REF!,MATCH(P787,#REF!,0),1)</f>
        <v>#REF!</v>
      </c>
      <c r="H787" t="s">
        <v>4786</v>
      </c>
      <c r="J787" t="s">
        <v>4787</v>
      </c>
      <c r="K787" t="s">
        <v>2004</v>
      </c>
      <c r="L787" t="str">
        <f>"02302"</f>
        <v>02302</v>
      </c>
      <c r="M787" t="s">
        <v>4788</v>
      </c>
      <c r="N787">
        <v>2096</v>
      </c>
      <c r="O787" t="s">
        <v>4785</v>
      </c>
      <c r="P787">
        <v>2096</v>
      </c>
      <c r="Q787" t="s">
        <v>4785</v>
      </c>
      <c r="R787" t="s">
        <v>1301</v>
      </c>
      <c r="S787" t="s">
        <v>1302</v>
      </c>
      <c r="T787" t="s">
        <v>44</v>
      </c>
      <c r="U787" t="s">
        <v>45</v>
      </c>
      <c r="AA787" t="s">
        <v>119</v>
      </c>
      <c r="AE787" t="s">
        <v>120</v>
      </c>
      <c r="AG787" t="s">
        <v>48</v>
      </c>
    </row>
    <row r="788" spans="1:33" x14ac:dyDescent="0.3">
      <c r="A788">
        <v>2097</v>
      </c>
      <c r="B788" t="s">
        <v>4789</v>
      </c>
      <c r="C788" t="str">
        <f>""</f>
        <v/>
      </c>
      <c r="D788" t="str">
        <f>"411740H00"</f>
        <v>411740H00</v>
      </c>
      <c r="E788" s="1">
        <v>36069</v>
      </c>
      <c r="F788" t="s">
        <v>4790</v>
      </c>
      <c r="G788" t="e">
        <f>INDEX(#REF!,MATCH(P788,#REF!,0),1)</f>
        <v>#REF!</v>
      </c>
      <c r="H788" t="s">
        <v>4791</v>
      </c>
      <c r="J788" t="s">
        <v>4792</v>
      </c>
      <c r="K788" t="s">
        <v>37</v>
      </c>
      <c r="L788" t="s">
        <v>4793</v>
      </c>
      <c r="M788" t="s">
        <v>4794</v>
      </c>
      <c r="N788">
        <v>210</v>
      </c>
      <c r="O788" t="s">
        <v>840</v>
      </c>
      <c r="P788">
        <v>210</v>
      </c>
      <c r="Q788" t="s">
        <v>840</v>
      </c>
      <c r="R788" t="s">
        <v>844</v>
      </c>
      <c r="S788" t="s">
        <v>845</v>
      </c>
      <c r="T788" t="s">
        <v>44</v>
      </c>
      <c r="U788" t="s">
        <v>45</v>
      </c>
      <c r="Y788" t="s">
        <v>46</v>
      </c>
      <c r="Z788" s="1">
        <v>43466</v>
      </c>
      <c r="AE788" t="s">
        <v>47</v>
      </c>
    </row>
    <row r="789" spans="1:33" x14ac:dyDescent="0.3">
      <c r="A789">
        <v>2098</v>
      </c>
      <c r="B789" t="s">
        <v>4795</v>
      </c>
      <c r="C789" t="str">
        <f>""</f>
        <v/>
      </c>
      <c r="D789" t="str">
        <f>"9LG244K00"</f>
        <v>9LG244K00</v>
      </c>
      <c r="E789" s="1">
        <v>31502</v>
      </c>
      <c r="F789" t="s">
        <v>4796</v>
      </c>
      <c r="G789" t="e">
        <f>INDEX(#REF!,MATCH(P789,#REF!,0),1)</f>
        <v>#REF!</v>
      </c>
      <c r="H789" t="s">
        <v>4797</v>
      </c>
      <c r="J789" t="s">
        <v>4382</v>
      </c>
      <c r="K789" t="s">
        <v>2244</v>
      </c>
      <c r="L789" t="s">
        <v>4798</v>
      </c>
      <c r="M789" t="s">
        <v>4799</v>
      </c>
      <c r="N789">
        <v>604</v>
      </c>
      <c r="O789" t="s">
        <v>2241</v>
      </c>
      <c r="P789">
        <v>604</v>
      </c>
      <c r="Q789" t="s">
        <v>2241</v>
      </c>
      <c r="R789" t="s">
        <v>884</v>
      </c>
      <c r="S789" t="s">
        <v>885</v>
      </c>
      <c r="T789" t="s">
        <v>44</v>
      </c>
      <c r="U789" t="s">
        <v>45</v>
      </c>
      <c r="AA789" t="s">
        <v>93</v>
      </c>
      <c r="AE789" t="s">
        <v>564</v>
      </c>
    </row>
    <row r="790" spans="1:33" x14ac:dyDescent="0.3">
      <c r="A790">
        <v>2108</v>
      </c>
      <c r="B790" t="s">
        <v>4800</v>
      </c>
      <c r="C790" t="str">
        <f>""</f>
        <v/>
      </c>
      <c r="D790" t="str">
        <f>"130060A00"</f>
        <v>130060A00</v>
      </c>
      <c r="E790" s="1">
        <v>40857</v>
      </c>
      <c r="F790" t="s">
        <v>1282</v>
      </c>
      <c r="G790" t="e">
        <f>INDEX(#REF!,MATCH(P790,#REF!,0),1)</f>
        <v>#REF!</v>
      </c>
      <c r="H790" t="s">
        <v>4801</v>
      </c>
      <c r="J790" t="s">
        <v>1280</v>
      </c>
      <c r="K790" t="s">
        <v>425</v>
      </c>
      <c r="L790" t="str">
        <f>"05401"</f>
        <v>05401</v>
      </c>
      <c r="M790" t="s">
        <v>4802</v>
      </c>
      <c r="N790">
        <v>2108</v>
      </c>
      <c r="O790" t="s">
        <v>1282</v>
      </c>
      <c r="P790">
        <v>2108</v>
      </c>
      <c r="Q790" t="s">
        <v>1282</v>
      </c>
      <c r="R790" t="s">
        <v>1283</v>
      </c>
      <c r="S790" t="s">
        <v>1284</v>
      </c>
      <c r="T790" t="s">
        <v>44</v>
      </c>
      <c r="U790" t="s">
        <v>45</v>
      </c>
      <c r="AA790" t="s">
        <v>58</v>
      </c>
      <c r="AE790" t="s">
        <v>60</v>
      </c>
      <c r="AG790" t="s">
        <v>48</v>
      </c>
    </row>
    <row r="791" spans="1:33" x14ac:dyDescent="0.3">
      <c r="A791">
        <v>2109</v>
      </c>
      <c r="B791" t="s">
        <v>4803</v>
      </c>
      <c r="C791" t="str">
        <f>""</f>
        <v/>
      </c>
      <c r="D791" t="str">
        <f>"810410E00"</f>
        <v>810410E00</v>
      </c>
      <c r="E791" s="1">
        <v>35247</v>
      </c>
      <c r="F791" t="s">
        <v>4804</v>
      </c>
      <c r="G791" t="e">
        <f>INDEX(#REF!,MATCH(P791,#REF!,0),1)</f>
        <v>#REF!</v>
      </c>
      <c r="H791" t="s">
        <v>4805</v>
      </c>
      <c r="J791" t="s">
        <v>4806</v>
      </c>
      <c r="K791" t="s">
        <v>2088</v>
      </c>
      <c r="L791" t="s">
        <v>4807</v>
      </c>
      <c r="M791" t="s">
        <v>4808</v>
      </c>
      <c r="N791">
        <v>47308</v>
      </c>
      <c r="O791" t="s">
        <v>4809</v>
      </c>
      <c r="P791">
        <v>47308</v>
      </c>
      <c r="Q791" t="s">
        <v>4809</v>
      </c>
      <c r="R791" t="s">
        <v>1156</v>
      </c>
      <c r="S791" t="s">
        <v>1157</v>
      </c>
      <c r="T791" t="s">
        <v>44</v>
      </c>
      <c r="U791" t="s">
        <v>45</v>
      </c>
      <c r="AD791" t="s">
        <v>94</v>
      </c>
    </row>
    <row r="792" spans="1:33" x14ac:dyDescent="0.3">
      <c r="A792">
        <v>2110</v>
      </c>
      <c r="B792" t="s">
        <v>4810</v>
      </c>
      <c r="C792" t="str">
        <f>""</f>
        <v/>
      </c>
      <c r="D792" t="str">
        <f>"G0N8ELA00"</f>
        <v>G0N8ELA00</v>
      </c>
      <c r="E792" s="1">
        <v>41625</v>
      </c>
      <c r="F792" t="s">
        <v>4811</v>
      </c>
      <c r="G792" t="e">
        <f>INDEX(#REF!,MATCH(P792,#REF!,0),1)</f>
        <v>#REF!</v>
      </c>
      <c r="H792" t="s">
        <v>4812</v>
      </c>
      <c r="J792" t="s">
        <v>4813</v>
      </c>
      <c r="K792" t="s">
        <v>261</v>
      </c>
      <c r="L792" t="s">
        <v>4814</v>
      </c>
      <c r="M792" t="s">
        <v>4815</v>
      </c>
      <c r="N792">
        <v>3691178</v>
      </c>
      <c r="O792" t="s">
        <v>4470</v>
      </c>
      <c r="P792">
        <v>769900</v>
      </c>
      <c r="Q792" t="s">
        <v>4816</v>
      </c>
      <c r="R792" t="s">
        <v>396</v>
      </c>
      <c r="S792" t="s">
        <v>397</v>
      </c>
      <c r="T792" t="s">
        <v>44</v>
      </c>
      <c r="U792" t="s">
        <v>45</v>
      </c>
      <c r="AA792" t="s">
        <v>119</v>
      </c>
      <c r="AC792" t="s">
        <v>4471</v>
      </c>
      <c r="AD792" t="s">
        <v>94</v>
      </c>
      <c r="AE792" t="s">
        <v>120</v>
      </c>
    </row>
    <row r="793" spans="1:33" x14ac:dyDescent="0.3">
      <c r="A793">
        <v>2112</v>
      </c>
      <c r="B793" t="s">
        <v>4817</v>
      </c>
      <c r="C793" t="str">
        <f>"1100003010699"</f>
        <v>1100003010699</v>
      </c>
      <c r="D793" t="str">
        <f>"610250EFC"</f>
        <v>610250EFC</v>
      </c>
      <c r="E793" s="1">
        <v>35309</v>
      </c>
      <c r="F793" t="s">
        <v>4818</v>
      </c>
      <c r="G793" t="e">
        <f>INDEX(#REF!,MATCH(P793,#REF!,0),1)</f>
        <v>#REF!</v>
      </c>
      <c r="H793" t="s">
        <v>2889</v>
      </c>
      <c r="J793" t="s">
        <v>1328</v>
      </c>
      <c r="K793" t="s">
        <v>283</v>
      </c>
      <c r="L793" t="s">
        <v>4819</v>
      </c>
      <c r="M793" t="s">
        <v>2891</v>
      </c>
      <c r="N793">
        <v>559</v>
      </c>
      <c r="O793" t="s">
        <v>2041</v>
      </c>
      <c r="P793">
        <v>3834</v>
      </c>
      <c r="Q793" t="s">
        <v>4510</v>
      </c>
      <c r="R793" t="s">
        <v>3864</v>
      </c>
      <c r="S793" t="s">
        <v>3865</v>
      </c>
      <c r="T793" t="s">
        <v>2277</v>
      </c>
      <c r="U793" t="s">
        <v>2278</v>
      </c>
      <c r="V793" t="s">
        <v>1824</v>
      </c>
      <c r="AD793" t="s">
        <v>94</v>
      </c>
      <c r="AE793" t="s">
        <v>120</v>
      </c>
    </row>
    <row r="794" spans="1:33" x14ac:dyDescent="0.3">
      <c r="A794">
        <v>2114</v>
      </c>
      <c r="B794" t="s">
        <v>4820</v>
      </c>
      <c r="C794" t="str">
        <f>""</f>
        <v/>
      </c>
      <c r="D794" t="str">
        <f>"FLRA6W300"</f>
        <v>FLRA6W300</v>
      </c>
      <c r="E794" s="1">
        <v>34731</v>
      </c>
      <c r="F794" t="s">
        <v>4821</v>
      </c>
      <c r="G794" t="e">
        <f>INDEX(#REF!,MATCH(P794,#REF!,0),1)</f>
        <v>#REF!</v>
      </c>
      <c r="H794" t="s">
        <v>4822</v>
      </c>
      <c r="J794" t="s">
        <v>4823</v>
      </c>
      <c r="K794" t="s">
        <v>2127</v>
      </c>
      <c r="L794" t="s">
        <v>4824</v>
      </c>
      <c r="M794" t="s">
        <v>4825</v>
      </c>
      <c r="N794">
        <v>41172</v>
      </c>
      <c r="O794" t="s">
        <v>2130</v>
      </c>
      <c r="P794">
        <v>41172</v>
      </c>
      <c r="Q794" t="s">
        <v>2130</v>
      </c>
      <c r="R794" t="s">
        <v>3139</v>
      </c>
      <c r="S794" t="s">
        <v>3140</v>
      </c>
      <c r="T794" t="s">
        <v>117</v>
      </c>
      <c r="U794" t="s">
        <v>4826</v>
      </c>
      <c r="V794" t="s">
        <v>1824</v>
      </c>
      <c r="AC794" t="s">
        <v>538</v>
      </c>
      <c r="AD794" t="s">
        <v>94</v>
      </c>
    </row>
    <row r="795" spans="1:33" x14ac:dyDescent="0.3">
      <c r="A795">
        <v>2115</v>
      </c>
      <c r="B795" t="s">
        <v>4827</v>
      </c>
      <c r="C795" t="str">
        <f>""</f>
        <v/>
      </c>
      <c r="D795" t="str">
        <f>"L5KFF7B00"</f>
        <v>L5KFF7B00</v>
      </c>
      <c r="E795" s="1">
        <v>34731</v>
      </c>
      <c r="F795" t="s">
        <v>4828</v>
      </c>
      <c r="G795" t="e">
        <f>INDEX(#REF!,MATCH(P795,#REF!,0),1)</f>
        <v>#REF!</v>
      </c>
      <c r="H795" t="s">
        <v>4829</v>
      </c>
      <c r="J795" t="s">
        <v>2126</v>
      </c>
      <c r="K795" t="s">
        <v>2127</v>
      </c>
      <c r="L795" t="s">
        <v>4830</v>
      </c>
      <c r="M795" t="s">
        <v>4831</v>
      </c>
      <c r="N795">
        <v>41172</v>
      </c>
      <c r="O795" t="s">
        <v>2130</v>
      </c>
      <c r="P795">
        <v>41172</v>
      </c>
      <c r="Q795" t="s">
        <v>2130</v>
      </c>
      <c r="R795" t="s">
        <v>3139</v>
      </c>
      <c r="S795" t="s">
        <v>3140</v>
      </c>
      <c r="T795" t="s">
        <v>4245</v>
      </c>
      <c r="U795" t="s">
        <v>4832</v>
      </c>
      <c r="V795" t="s">
        <v>1824</v>
      </c>
      <c r="AC795" t="s">
        <v>538</v>
      </c>
      <c r="AD795" t="s">
        <v>94</v>
      </c>
    </row>
    <row r="796" spans="1:33" x14ac:dyDescent="0.3">
      <c r="A796">
        <v>2116</v>
      </c>
      <c r="B796" t="s">
        <v>4833</v>
      </c>
      <c r="C796" t="str">
        <f>""</f>
        <v/>
      </c>
      <c r="D796" t="str">
        <f>"7DDP3J800"</f>
        <v>7DDP3J800</v>
      </c>
      <c r="E796" s="1">
        <v>34731</v>
      </c>
      <c r="F796" t="s">
        <v>4834</v>
      </c>
      <c r="G796" t="e">
        <f>INDEX(#REF!,MATCH(P796,#REF!,0),1)</f>
        <v>#REF!</v>
      </c>
      <c r="H796" t="s">
        <v>4835</v>
      </c>
      <c r="J796" t="s">
        <v>110</v>
      </c>
      <c r="K796" t="s">
        <v>111</v>
      </c>
      <c r="L796" t="s">
        <v>4836</v>
      </c>
      <c r="M796" t="s">
        <v>4837</v>
      </c>
      <c r="N796">
        <v>28</v>
      </c>
      <c r="O796" t="s">
        <v>114</v>
      </c>
      <c r="P796">
        <v>28</v>
      </c>
      <c r="Q796" t="s">
        <v>114</v>
      </c>
      <c r="R796" t="s">
        <v>4838</v>
      </c>
      <c r="S796" t="s">
        <v>4839</v>
      </c>
      <c r="T796" t="s">
        <v>117</v>
      </c>
      <c r="U796" t="s">
        <v>2479</v>
      </c>
      <c r="V796" t="s">
        <v>1824</v>
      </c>
      <c r="AA796" t="s">
        <v>119</v>
      </c>
      <c r="AE796" t="s">
        <v>120</v>
      </c>
    </row>
    <row r="797" spans="1:33" x14ac:dyDescent="0.3">
      <c r="A797">
        <v>2122</v>
      </c>
      <c r="B797" t="s">
        <v>4840</v>
      </c>
      <c r="C797" t="str">
        <f>""</f>
        <v/>
      </c>
      <c r="D797" t="str">
        <f>"520060D00"</f>
        <v>520060D00</v>
      </c>
      <c r="E797" s="1">
        <v>42583</v>
      </c>
      <c r="F797" t="s">
        <v>4841</v>
      </c>
      <c r="G797" t="e">
        <f>INDEX(#REF!,MATCH(P797,#REF!,0),1)</f>
        <v>#REF!</v>
      </c>
      <c r="H797" t="s">
        <v>4842</v>
      </c>
      <c r="J797" t="s">
        <v>4365</v>
      </c>
      <c r="K797" t="s">
        <v>139</v>
      </c>
      <c r="L797" t="s">
        <v>4843</v>
      </c>
      <c r="M797" t="s">
        <v>4844</v>
      </c>
      <c r="N797">
        <v>1592</v>
      </c>
      <c r="O797" t="s">
        <v>3897</v>
      </c>
      <c r="P797">
        <v>1592</v>
      </c>
      <c r="Q797" t="s">
        <v>3897</v>
      </c>
      <c r="R797" t="s">
        <v>1092</v>
      </c>
      <c r="S797" t="s">
        <v>1093</v>
      </c>
      <c r="T797" t="s">
        <v>44</v>
      </c>
      <c r="U797" t="s">
        <v>45</v>
      </c>
      <c r="AA797" t="s">
        <v>93</v>
      </c>
      <c r="AE797" t="s">
        <v>220</v>
      </c>
    </row>
    <row r="798" spans="1:33" x14ac:dyDescent="0.3">
      <c r="A798">
        <v>2124</v>
      </c>
      <c r="B798" t="s">
        <v>4845</v>
      </c>
      <c r="C798" t="str">
        <f>""</f>
        <v/>
      </c>
      <c r="D798" t="str">
        <f>"220550E00"</f>
        <v>220550E00</v>
      </c>
      <c r="E798" s="1">
        <v>42583</v>
      </c>
      <c r="F798" t="s">
        <v>4846</v>
      </c>
      <c r="G798" t="e">
        <f>INDEX(#REF!,MATCH(P798,#REF!,0),1)</f>
        <v>#REF!</v>
      </c>
      <c r="H798" t="s">
        <v>4847</v>
      </c>
      <c r="J798" t="s">
        <v>4848</v>
      </c>
      <c r="K798" t="s">
        <v>251</v>
      </c>
      <c r="L798" t="str">
        <f>"08701"</f>
        <v>08701</v>
      </c>
      <c r="M798" t="s">
        <v>4849</v>
      </c>
      <c r="N798">
        <v>3209841</v>
      </c>
      <c r="O798" t="s">
        <v>410</v>
      </c>
      <c r="P798">
        <v>3209841</v>
      </c>
      <c r="Q798" t="s">
        <v>410</v>
      </c>
      <c r="R798" t="s">
        <v>411</v>
      </c>
      <c r="S798" t="s">
        <v>412</v>
      </c>
      <c r="T798" t="s">
        <v>44</v>
      </c>
      <c r="U798" t="s">
        <v>45</v>
      </c>
      <c r="Y798" t="s">
        <v>46</v>
      </c>
      <c r="Z798" s="1">
        <v>45170</v>
      </c>
      <c r="AE798" t="s">
        <v>47</v>
      </c>
      <c r="AG798" t="s">
        <v>48</v>
      </c>
    </row>
    <row r="799" spans="1:33" x14ac:dyDescent="0.3">
      <c r="A799">
        <v>2125</v>
      </c>
      <c r="B799" t="s">
        <v>4850</v>
      </c>
      <c r="C799" t="str">
        <f>"1100003077586"</f>
        <v>1100003077586</v>
      </c>
      <c r="D799" t="str">
        <f>"J2ADT0100"</f>
        <v>J2ADT0100</v>
      </c>
      <c r="E799" s="1">
        <v>42583</v>
      </c>
      <c r="F799" t="s">
        <v>4851</v>
      </c>
      <c r="G799" t="e">
        <f>INDEX(#REF!,MATCH(P799,#REF!,0),1)</f>
        <v>#REF!</v>
      </c>
      <c r="H799" t="s">
        <v>4852</v>
      </c>
      <c r="J799" t="s">
        <v>4853</v>
      </c>
      <c r="K799" t="s">
        <v>2244</v>
      </c>
      <c r="L799" t="s">
        <v>4854</v>
      </c>
      <c r="M799" t="s">
        <v>4855</v>
      </c>
      <c r="N799">
        <v>2449817</v>
      </c>
      <c r="O799" t="s">
        <v>2363</v>
      </c>
      <c r="P799">
        <v>2449817</v>
      </c>
      <c r="Q799" t="s">
        <v>2363</v>
      </c>
      <c r="R799" t="s">
        <v>884</v>
      </c>
      <c r="S799" t="s">
        <v>885</v>
      </c>
      <c r="T799" t="s">
        <v>44</v>
      </c>
      <c r="U799" t="s">
        <v>45</v>
      </c>
      <c r="AA799" t="s">
        <v>119</v>
      </c>
      <c r="AE799" t="s">
        <v>120</v>
      </c>
    </row>
    <row r="800" spans="1:33" x14ac:dyDescent="0.3">
      <c r="A800">
        <v>2126</v>
      </c>
      <c r="B800" t="s">
        <v>4856</v>
      </c>
      <c r="C800" t="str">
        <f>""</f>
        <v/>
      </c>
      <c r="D800" t="str">
        <f>"212040900"</f>
        <v>212040900</v>
      </c>
      <c r="E800" s="1">
        <v>39713</v>
      </c>
      <c r="F800" t="s">
        <v>4857</v>
      </c>
      <c r="G800" t="e">
        <f>INDEX(#REF!,MATCH(P800,#REF!,0),1)</f>
        <v>#REF!</v>
      </c>
      <c r="H800" t="s">
        <v>4858</v>
      </c>
      <c r="J800" t="s">
        <v>2556</v>
      </c>
      <c r="K800" t="s">
        <v>2244</v>
      </c>
      <c r="L800">
        <v>10003</v>
      </c>
      <c r="M800" t="s">
        <v>4859</v>
      </c>
      <c r="N800">
        <v>1259</v>
      </c>
      <c r="O800" t="s">
        <v>2968</v>
      </c>
      <c r="P800">
        <v>1259</v>
      </c>
      <c r="Q800" t="s">
        <v>2968</v>
      </c>
      <c r="R800" t="s">
        <v>1301</v>
      </c>
      <c r="S800" t="s">
        <v>1302</v>
      </c>
      <c r="T800" t="s">
        <v>44</v>
      </c>
      <c r="U800" t="s">
        <v>45</v>
      </c>
      <c r="AG800" t="s">
        <v>48</v>
      </c>
    </row>
    <row r="801" spans="1:33" x14ac:dyDescent="0.3">
      <c r="A801">
        <v>2128</v>
      </c>
      <c r="B801" t="s">
        <v>4860</v>
      </c>
      <c r="C801" t="str">
        <f>"1100003968181"</f>
        <v>1100003968181</v>
      </c>
      <c r="D801" t="str">
        <f>"530610F00"</f>
        <v>530610F00</v>
      </c>
      <c r="E801" s="1">
        <v>44501</v>
      </c>
      <c r="F801" t="s">
        <v>4861</v>
      </c>
      <c r="G801" t="e">
        <f>INDEX(#REF!,MATCH(P801,#REF!,0),1)</f>
        <v>#REF!</v>
      </c>
      <c r="H801" t="s">
        <v>4862</v>
      </c>
      <c r="J801" t="s">
        <v>4863</v>
      </c>
      <c r="K801" t="s">
        <v>125</v>
      </c>
      <c r="L801" t="s">
        <v>4864</v>
      </c>
      <c r="M801" t="s">
        <v>4865</v>
      </c>
      <c r="N801">
        <v>2631489</v>
      </c>
      <c r="O801" t="s">
        <v>4866</v>
      </c>
      <c r="P801">
        <v>2631489</v>
      </c>
      <c r="Q801" t="s">
        <v>4866</v>
      </c>
      <c r="R801" t="s">
        <v>365</v>
      </c>
      <c r="S801" t="s">
        <v>366</v>
      </c>
      <c r="T801" t="s">
        <v>44</v>
      </c>
      <c r="U801" t="s">
        <v>45</v>
      </c>
      <c r="AC801" t="s">
        <v>2908</v>
      </c>
    </row>
    <row r="802" spans="1:33" x14ac:dyDescent="0.3">
      <c r="A802">
        <v>2129</v>
      </c>
      <c r="B802" t="s">
        <v>4867</v>
      </c>
      <c r="C802" t="str">
        <f>""</f>
        <v/>
      </c>
      <c r="D802" t="str">
        <f>"530900H00"</f>
        <v>530900H00</v>
      </c>
      <c r="E802" s="1">
        <v>44501</v>
      </c>
      <c r="F802" t="s">
        <v>4868</v>
      </c>
      <c r="G802" t="e">
        <f>INDEX(#REF!,MATCH(P802,#REF!,0),1)</f>
        <v>#REF!</v>
      </c>
      <c r="H802" t="s">
        <v>4869</v>
      </c>
      <c r="J802" t="s">
        <v>3146</v>
      </c>
      <c r="K802" t="s">
        <v>125</v>
      </c>
      <c r="L802">
        <v>36545</v>
      </c>
      <c r="M802" t="s">
        <v>4870</v>
      </c>
      <c r="N802">
        <v>2129</v>
      </c>
      <c r="O802" t="s">
        <v>4868</v>
      </c>
      <c r="P802">
        <v>2129</v>
      </c>
      <c r="Q802" t="s">
        <v>4868</v>
      </c>
      <c r="R802" t="s">
        <v>245</v>
      </c>
      <c r="S802" t="s">
        <v>246</v>
      </c>
      <c r="T802" t="s">
        <v>44</v>
      </c>
      <c r="U802" t="s">
        <v>45</v>
      </c>
      <c r="AC802" t="s">
        <v>2908</v>
      </c>
    </row>
    <row r="803" spans="1:33" x14ac:dyDescent="0.3">
      <c r="A803">
        <v>2130</v>
      </c>
      <c r="B803" t="s">
        <v>4871</v>
      </c>
      <c r="C803" t="str">
        <f>""</f>
        <v/>
      </c>
      <c r="D803" t="str">
        <f>"710450H00"</f>
        <v>710450H00</v>
      </c>
      <c r="E803" s="1">
        <v>34731</v>
      </c>
      <c r="F803" t="s">
        <v>4872</v>
      </c>
      <c r="G803" t="e">
        <f>INDEX(#REF!,MATCH(P803,#REF!,0),1)</f>
        <v>#REF!</v>
      </c>
      <c r="H803" t="s">
        <v>4873</v>
      </c>
      <c r="J803" t="s">
        <v>4874</v>
      </c>
      <c r="K803" t="s">
        <v>111</v>
      </c>
      <c r="L803">
        <v>72543</v>
      </c>
      <c r="M803" t="s">
        <v>4875</v>
      </c>
      <c r="N803">
        <v>28</v>
      </c>
      <c r="O803" t="s">
        <v>114</v>
      </c>
      <c r="P803">
        <v>28</v>
      </c>
      <c r="Q803" t="s">
        <v>114</v>
      </c>
      <c r="R803" t="s">
        <v>115</v>
      </c>
      <c r="S803" t="s">
        <v>116</v>
      </c>
      <c r="T803" t="s">
        <v>44</v>
      </c>
      <c r="U803" t="s">
        <v>45</v>
      </c>
      <c r="AA803" t="s">
        <v>119</v>
      </c>
      <c r="AE803" t="s">
        <v>120</v>
      </c>
    </row>
    <row r="804" spans="1:33" x14ac:dyDescent="0.3">
      <c r="A804">
        <v>2131</v>
      </c>
      <c r="B804" t="s">
        <v>4876</v>
      </c>
      <c r="C804" t="str">
        <f>""</f>
        <v/>
      </c>
      <c r="D804" t="str">
        <f>"430940K00"</f>
        <v>430940K00</v>
      </c>
      <c r="E804" s="1">
        <v>34731</v>
      </c>
      <c r="F804" t="s">
        <v>4877</v>
      </c>
      <c r="G804" t="e">
        <f>INDEX(#REF!,MATCH(P804,#REF!,0),1)</f>
        <v>#REF!</v>
      </c>
      <c r="H804" t="s">
        <v>4878</v>
      </c>
      <c r="J804" t="s">
        <v>1926</v>
      </c>
      <c r="K804" t="s">
        <v>342</v>
      </c>
      <c r="L804" t="s">
        <v>4879</v>
      </c>
      <c r="M804" t="s">
        <v>4880</v>
      </c>
      <c r="N804">
        <v>90</v>
      </c>
      <c r="O804" t="s">
        <v>391</v>
      </c>
      <c r="P804">
        <v>90</v>
      </c>
      <c r="Q804" t="s">
        <v>391</v>
      </c>
      <c r="R804" t="s">
        <v>396</v>
      </c>
      <c r="S804" t="s">
        <v>397</v>
      </c>
      <c r="T804" t="s">
        <v>44</v>
      </c>
      <c r="U804" t="s">
        <v>45</v>
      </c>
      <c r="AA804" t="s">
        <v>119</v>
      </c>
      <c r="AE804" t="s">
        <v>120</v>
      </c>
    </row>
    <row r="805" spans="1:33" x14ac:dyDescent="0.3">
      <c r="A805">
        <v>2134</v>
      </c>
      <c r="B805" t="s">
        <v>4881</v>
      </c>
      <c r="C805" t="str">
        <f>""</f>
        <v/>
      </c>
      <c r="D805" t="str">
        <f>"810390L00"</f>
        <v>810390L00</v>
      </c>
      <c r="E805" s="1">
        <v>34731</v>
      </c>
      <c r="F805" t="s">
        <v>4882</v>
      </c>
      <c r="G805" t="e">
        <f>INDEX(#REF!,MATCH(P805,#REF!,0),1)</f>
        <v>#REF!</v>
      </c>
      <c r="H805" t="s">
        <v>4883</v>
      </c>
      <c r="J805" t="s">
        <v>4884</v>
      </c>
      <c r="K805" t="s">
        <v>2088</v>
      </c>
      <c r="L805" t="s">
        <v>4885</v>
      </c>
      <c r="M805" t="s">
        <v>4886</v>
      </c>
      <c r="N805">
        <v>2134</v>
      </c>
      <c r="O805" t="s">
        <v>4882</v>
      </c>
      <c r="P805">
        <v>2134</v>
      </c>
      <c r="Q805" t="s">
        <v>4882</v>
      </c>
      <c r="R805" t="s">
        <v>1263</v>
      </c>
      <c r="S805" t="s">
        <v>1264</v>
      </c>
      <c r="T805" t="s">
        <v>44</v>
      </c>
      <c r="U805" t="s">
        <v>45</v>
      </c>
      <c r="AA805" t="s">
        <v>119</v>
      </c>
      <c r="AE805" t="s">
        <v>144</v>
      </c>
    </row>
    <row r="806" spans="1:33" x14ac:dyDescent="0.3">
      <c r="A806">
        <v>2136</v>
      </c>
      <c r="B806" t="s">
        <v>4887</v>
      </c>
      <c r="C806" t="str">
        <f>""</f>
        <v/>
      </c>
      <c r="D806" t="str">
        <f>"212350D00"</f>
        <v>212350D00</v>
      </c>
      <c r="E806" s="1">
        <v>34731</v>
      </c>
      <c r="F806" t="s">
        <v>4888</v>
      </c>
      <c r="G806" t="e">
        <f>INDEX(#REF!,MATCH(P806,#REF!,0),1)</f>
        <v>#REF!</v>
      </c>
      <c r="H806" t="s">
        <v>4889</v>
      </c>
      <c r="J806" t="s">
        <v>4890</v>
      </c>
      <c r="K806" t="s">
        <v>2244</v>
      </c>
      <c r="L806" t="s">
        <v>4891</v>
      </c>
      <c r="M806" t="s">
        <v>4892</v>
      </c>
      <c r="N806">
        <v>604</v>
      </c>
      <c r="O806" t="s">
        <v>2241</v>
      </c>
      <c r="P806">
        <v>604</v>
      </c>
      <c r="Q806" t="s">
        <v>2241</v>
      </c>
      <c r="R806" t="s">
        <v>884</v>
      </c>
      <c r="S806" t="s">
        <v>885</v>
      </c>
      <c r="T806" t="s">
        <v>44</v>
      </c>
      <c r="U806" t="s">
        <v>45</v>
      </c>
      <c r="AA806" t="s">
        <v>93</v>
      </c>
      <c r="AE806" t="s">
        <v>564</v>
      </c>
    </row>
    <row r="807" spans="1:33" x14ac:dyDescent="0.3">
      <c r="A807">
        <v>2139</v>
      </c>
      <c r="B807" t="s">
        <v>4893</v>
      </c>
      <c r="C807" t="str">
        <f>"1100002275778"</f>
        <v>1100002275778</v>
      </c>
      <c r="D807" t="str">
        <f>"G4VK7EK00"</f>
        <v>G4VK7EK00</v>
      </c>
      <c r="E807" s="1">
        <v>34732</v>
      </c>
      <c r="F807" t="s">
        <v>1999</v>
      </c>
      <c r="G807" t="e">
        <f>INDEX(#REF!,MATCH(P807,#REF!,0),1)</f>
        <v>#REF!</v>
      </c>
      <c r="H807" t="s">
        <v>1996</v>
      </c>
      <c r="J807" t="s">
        <v>1540</v>
      </c>
      <c r="K807" t="s">
        <v>65</v>
      </c>
      <c r="L807">
        <v>17602</v>
      </c>
      <c r="M807" t="s">
        <v>1998</v>
      </c>
      <c r="N807">
        <v>4007</v>
      </c>
      <c r="O807" t="s">
        <v>276</v>
      </c>
      <c r="P807">
        <v>4007</v>
      </c>
      <c r="Q807" t="s">
        <v>276</v>
      </c>
      <c r="R807" t="s">
        <v>277</v>
      </c>
      <c r="S807" t="s">
        <v>278</v>
      </c>
      <c r="T807" t="s">
        <v>44</v>
      </c>
      <c r="U807" t="s">
        <v>81</v>
      </c>
      <c r="AG807" t="s">
        <v>48</v>
      </c>
    </row>
    <row r="808" spans="1:33" x14ac:dyDescent="0.3">
      <c r="A808">
        <v>2147</v>
      </c>
      <c r="B808" t="s">
        <v>4894</v>
      </c>
      <c r="C808" t="str">
        <f>"1100002255909"</f>
        <v>1100002255909</v>
      </c>
      <c r="D808" t="str">
        <f>"450100A00"</f>
        <v>450100A00</v>
      </c>
      <c r="E808" s="1">
        <v>36678</v>
      </c>
      <c r="F808" t="s">
        <v>4895</v>
      </c>
      <c r="G808" t="e">
        <f>INDEX(#REF!,MATCH(P808,#REF!,0),1)</f>
        <v>#REF!</v>
      </c>
      <c r="H808" t="s">
        <v>4896</v>
      </c>
      <c r="J808" t="s">
        <v>4897</v>
      </c>
      <c r="K808" t="s">
        <v>208</v>
      </c>
      <c r="L808">
        <v>54812</v>
      </c>
      <c r="M808" t="s">
        <v>4898</v>
      </c>
      <c r="N808">
        <v>75245</v>
      </c>
      <c r="O808" t="s">
        <v>1020</v>
      </c>
      <c r="P808">
        <v>75245</v>
      </c>
      <c r="Q808" t="s">
        <v>1020</v>
      </c>
      <c r="R808" t="s">
        <v>1021</v>
      </c>
      <c r="S808" t="s">
        <v>1022</v>
      </c>
      <c r="T808" t="s">
        <v>44</v>
      </c>
      <c r="U808" t="s">
        <v>45</v>
      </c>
      <c r="AA808" t="s">
        <v>119</v>
      </c>
      <c r="AE808" t="s">
        <v>120</v>
      </c>
      <c r="AG808" t="s">
        <v>48</v>
      </c>
    </row>
    <row r="809" spans="1:33" x14ac:dyDescent="0.3">
      <c r="A809">
        <v>2150</v>
      </c>
      <c r="B809" t="s">
        <v>4899</v>
      </c>
      <c r="C809" t="str">
        <f>"1100002580438"</f>
        <v>1100002580438</v>
      </c>
      <c r="D809" t="str">
        <f>"810090I00"</f>
        <v>810090I00</v>
      </c>
      <c r="E809" s="1">
        <v>35186</v>
      </c>
      <c r="F809" t="s">
        <v>4900</v>
      </c>
      <c r="G809" t="e">
        <f>INDEX(#REF!,MATCH(P809,#REF!,0),1)</f>
        <v>#REF!</v>
      </c>
      <c r="H809" t="s">
        <v>4901</v>
      </c>
      <c r="J809" t="s">
        <v>4902</v>
      </c>
      <c r="K809" t="s">
        <v>2088</v>
      </c>
      <c r="L809" t="s">
        <v>4903</v>
      </c>
      <c r="M809" t="s">
        <v>4904</v>
      </c>
      <c r="N809">
        <v>42914</v>
      </c>
      <c r="O809" t="s">
        <v>4905</v>
      </c>
      <c r="P809">
        <v>42914</v>
      </c>
      <c r="Q809" t="s">
        <v>4905</v>
      </c>
      <c r="R809" t="s">
        <v>1156</v>
      </c>
      <c r="S809" t="s">
        <v>1157</v>
      </c>
      <c r="T809" t="s">
        <v>44</v>
      </c>
      <c r="U809" t="s">
        <v>45</v>
      </c>
      <c r="AA809" t="s">
        <v>327</v>
      </c>
      <c r="AD809" t="s">
        <v>94</v>
      </c>
      <c r="AE809" t="s">
        <v>144</v>
      </c>
    </row>
    <row r="810" spans="1:33" x14ac:dyDescent="0.3">
      <c r="A810">
        <v>2152</v>
      </c>
      <c r="B810" t="s">
        <v>4906</v>
      </c>
      <c r="C810" t="str">
        <f>"1100003426353"</f>
        <v>1100003426353</v>
      </c>
      <c r="D810" t="str">
        <f>"120240900"</f>
        <v>120240900</v>
      </c>
      <c r="E810" s="1">
        <v>42583</v>
      </c>
      <c r="F810" t="s">
        <v>4907</v>
      </c>
      <c r="G810" t="e">
        <f>INDEX(#REF!,MATCH(P810,#REF!,0),1)</f>
        <v>#REF!</v>
      </c>
      <c r="H810" t="s">
        <v>4908</v>
      </c>
      <c r="J810" t="s">
        <v>1293</v>
      </c>
      <c r="K810" t="s">
        <v>53</v>
      </c>
      <c r="L810" t="str">
        <f>"03102"</f>
        <v>03102</v>
      </c>
      <c r="M810" t="s">
        <v>4909</v>
      </c>
      <c r="N810">
        <v>2152</v>
      </c>
      <c r="O810" t="s">
        <v>4907</v>
      </c>
      <c r="P810">
        <v>2152</v>
      </c>
      <c r="Q810" t="s">
        <v>4907</v>
      </c>
      <c r="R810" t="s">
        <v>245</v>
      </c>
      <c r="S810" t="s">
        <v>246</v>
      </c>
      <c r="T810" t="s">
        <v>44</v>
      </c>
      <c r="U810" t="s">
        <v>45</v>
      </c>
    </row>
    <row r="811" spans="1:33" x14ac:dyDescent="0.3">
      <c r="A811">
        <v>2156</v>
      </c>
      <c r="B811" t="s">
        <v>4910</v>
      </c>
      <c r="C811" t="str">
        <f>"1100003069970"</f>
        <v>1100003069970</v>
      </c>
      <c r="D811" t="str">
        <f>"650080J00"</f>
        <v>650080J00</v>
      </c>
      <c r="E811" s="1">
        <v>37469</v>
      </c>
      <c r="F811" t="s">
        <v>3986</v>
      </c>
      <c r="G811" t="e">
        <f>INDEX(#REF!,MATCH(P811,#REF!,0),1)</f>
        <v>#REF!</v>
      </c>
      <c r="H811" t="s">
        <v>4911</v>
      </c>
      <c r="J811" t="s">
        <v>4912</v>
      </c>
      <c r="K811" t="s">
        <v>899</v>
      </c>
      <c r="L811" t="s">
        <v>4913</v>
      </c>
      <c r="M811" t="s">
        <v>4914</v>
      </c>
      <c r="N811">
        <v>871561</v>
      </c>
      <c r="O811" t="s">
        <v>194</v>
      </c>
      <c r="P811">
        <v>6179343</v>
      </c>
      <c r="Q811" t="s">
        <v>1137</v>
      </c>
      <c r="R811" t="s">
        <v>196</v>
      </c>
      <c r="S811" t="s">
        <v>197</v>
      </c>
      <c r="T811" t="s">
        <v>44</v>
      </c>
      <c r="U811" t="s">
        <v>45</v>
      </c>
      <c r="AA811" t="s">
        <v>119</v>
      </c>
      <c r="AE811" t="s">
        <v>120</v>
      </c>
      <c r="AG811" t="s">
        <v>48</v>
      </c>
    </row>
    <row r="812" spans="1:33" x14ac:dyDescent="0.3">
      <c r="A812">
        <v>2161</v>
      </c>
      <c r="B812" t="s">
        <v>4915</v>
      </c>
      <c r="C812" t="str">
        <f>""</f>
        <v/>
      </c>
      <c r="D812" t="str">
        <f>""</f>
        <v/>
      </c>
      <c r="E812" s="1">
        <v>44378</v>
      </c>
      <c r="F812" t="s">
        <v>4916</v>
      </c>
      <c r="G812" t="e">
        <f>INDEX(#REF!,MATCH(P812,#REF!,0),1)</f>
        <v>#REF!</v>
      </c>
      <c r="H812" t="s">
        <v>4917</v>
      </c>
      <c r="J812" t="s">
        <v>4918</v>
      </c>
      <c r="K812" t="s">
        <v>283</v>
      </c>
      <c r="L812">
        <v>55731</v>
      </c>
      <c r="M812" t="s">
        <v>3226</v>
      </c>
      <c r="N812">
        <v>2161</v>
      </c>
      <c r="O812" t="s">
        <v>4916</v>
      </c>
      <c r="P812">
        <v>2161</v>
      </c>
      <c r="Q812" t="s">
        <v>4916</v>
      </c>
      <c r="T812" t="s">
        <v>44</v>
      </c>
      <c r="U812" t="s">
        <v>45</v>
      </c>
    </row>
    <row r="813" spans="1:33" x14ac:dyDescent="0.3">
      <c r="A813">
        <v>2162</v>
      </c>
      <c r="B813" t="s">
        <v>4919</v>
      </c>
      <c r="C813" t="str">
        <f>"1100003630125"</f>
        <v>1100003630125</v>
      </c>
      <c r="D813" t="str">
        <f>"610470I00"</f>
        <v>610470I00</v>
      </c>
      <c r="E813" s="1">
        <v>37226</v>
      </c>
      <c r="F813" t="s">
        <v>4920</v>
      </c>
      <c r="G813" t="e">
        <f>INDEX(#REF!,MATCH(P813,#REF!,0),1)</f>
        <v>#REF!</v>
      </c>
      <c r="H813" t="s">
        <v>4921</v>
      </c>
      <c r="J813" t="s">
        <v>4922</v>
      </c>
      <c r="K813" t="s">
        <v>283</v>
      </c>
      <c r="L813" t="s">
        <v>4923</v>
      </c>
      <c r="M813" t="s">
        <v>4924</v>
      </c>
      <c r="N813">
        <v>75245</v>
      </c>
      <c r="O813" t="s">
        <v>1020</v>
      </c>
      <c r="P813">
        <v>75245</v>
      </c>
      <c r="Q813" t="s">
        <v>1020</v>
      </c>
      <c r="R813" t="s">
        <v>1021</v>
      </c>
      <c r="S813" t="s">
        <v>1022</v>
      </c>
      <c r="T813" t="s">
        <v>44</v>
      </c>
      <c r="U813" t="s">
        <v>45</v>
      </c>
      <c r="AA813" t="s">
        <v>119</v>
      </c>
      <c r="AE813" t="s">
        <v>120</v>
      </c>
      <c r="AG813" t="s">
        <v>48</v>
      </c>
    </row>
    <row r="814" spans="1:33" x14ac:dyDescent="0.3">
      <c r="A814">
        <v>2166</v>
      </c>
      <c r="B814" t="s">
        <v>4925</v>
      </c>
      <c r="C814" t="str">
        <f>""</f>
        <v/>
      </c>
      <c r="D814" t="str">
        <f>"450500E00"</f>
        <v>450500E00</v>
      </c>
      <c r="E814" s="1">
        <v>39248</v>
      </c>
      <c r="F814" t="s">
        <v>4926</v>
      </c>
      <c r="G814" t="e">
        <f>INDEX(#REF!,MATCH(P814,#REF!,0),1)</f>
        <v>#REF!</v>
      </c>
      <c r="H814" t="s">
        <v>4927</v>
      </c>
      <c r="J814" t="s">
        <v>4928</v>
      </c>
      <c r="K814" t="s">
        <v>208</v>
      </c>
      <c r="L814">
        <v>54016</v>
      </c>
      <c r="M814" t="s">
        <v>4929</v>
      </c>
      <c r="N814">
        <v>83951</v>
      </c>
      <c r="O814" t="s">
        <v>4425</v>
      </c>
      <c r="P814">
        <v>83951</v>
      </c>
      <c r="Q814" t="s">
        <v>4425</v>
      </c>
      <c r="R814" t="s">
        <v>245</v>
      </c>
      <c r="S814" t="s">
        <v>246</v>
      </c>
      <c r="T814" t="s">
        <v>44</v>
      </c>
      <c r="U814" t="s">
        <v>45</v>
      </c>
      <c r="AG814" t="s">
        <v>48</v>
      </c>
    </row>
    <row r="815" spans="1:33" x14ac:dyDescent="0.3">
      <c r="A815">
        <v>2172</v>
      </c>
      <c r="B815" t="s">
        <v>4930</v>
      </c>
      <c r="C815" t="str">
        <f>"1100004059789"</f>
        <v>1100004059789</v>
      </c>
      <c r="D815" t="str">
        <f>"610840J00"</f>
        <v>610840J00</v>
      </c>
      <c r="E815" s="1">
        <v>35339</v>
      </c>
      <c r="F815" t="s">
        <v>4931</v>
      </c>
      <c r="G815" t="e">
        <f>INDEX(#REF!,MATCH(P815,#REF!,0),1)</f>
        <v>#REF!</v>
      </c>
      <c r="H815" t="s">
        <v>4932</v>
      </c>
      <c r="J815" t="s">
        <v>4359</v>
      </c>
      <c r="K815" t="s">
        <v>283</v>
      </c>
      <c r="L815" t="s">
        <v>4933</v>
      </c>
      <c r="M815" t="s">
        <v>4934</v>
      </c>
      <c r="N815">
        <v>871561</v>
      </c>
      <c r="O815" t="s">
        <v>194</v>
      </c>
      <c r="P815">
        <v>102627</v>
      </c>
      <c r="Q815" t="s">
        <v>3048</v>
      </c>
      <c r="R815" t="s">
        <v>196</v>
      </c>
      <c r="S815" t="s">
        <v>197</v>
      </c>
      <c r="T815" t="s">
        <v>44</v>
      </c>
      <c r="U815" t="s">
        <v>45</v>
      </c>
      <c r="AA815" t="s">
        <v>119</v>
      </c>
      <c r="AE815" t="s">
        <v>120</v>
      </c>
      <c r="AG815" t="s">
        <v>48</v>
      </c>
    </row>
    <row r="816" spans="1:33" x14ac:dyDescent="0.3">
      <c r="A816">
        <v>2180</v>
      </c>
      <c r="B816" t="s">
        <v>4935</v>
      </c>
      <c r="C816" t="str">
        <f>""</f>
        <v/>
      </c>
      <c r="D816" t="str">
        <f>"610400B00"</f>
        <v>610400B00</v>
      </c>
      <c r="E816" s="1">
        <v>38732</v>
      </c>
      <c r="F816" t="s">
        <v>4936</v>
      </c>
      <c r="G816" t="e">
        <f>INDEX(#REF!,MATCH(P816,#REF!,0),1)</f>
        <v>#REF!</v>
      </c>
      <c r="H816" t="s">
        <v>4937</v>
      </c>
      <c r="J816" t="s">
        <v>1688</v>
      </c>
      <c r="K816" t="s">
        <v>283</v>
      </c>
      <c r="L816" t="s">
        <v>4938</v>
      </c>
      <c r="M816" t="s">
        <v>4939</v>
      </c>
      <c r="N816">
        <v>111033</v>
      </c>
      <c r="O816" t="s">
        <v>3211</v>
      </c>
      <c r="P816">
        <v>113665</v>
      </c>
      <c r="Q816" t="s">
        <v>3212</v>
      </c>
      <c r="R816" t="s">
        <v>611</v>
      </c>
      <c r="S816" t="s">
        <v>612</v>
      </c>
      <c r="T816" t="s">
        <v>44</v>
      </c>
      <c r="U816" t="s">
        <v>45</v>
      </c>
      <c r="AD816" t="s">
        <v>94</v>
      </c>
    </row>
    <row r="817" spans="1:33" x14ac:dyDescent="0.3">
      <c r="A817">
        <v>2185</v>
      </c>
      <c r="B817" t="s">
        <v>4940</v>
      </c>
      <c r="C817" t="str">
        <f>"1100004791351"</f>
        <v>1100004791351</v>
      </c>
      <c r="D817" t="str">
        <f>"611670L00"</f>
        <v>611670L00</v>
      </c>
      <c r="E817" s="1">
        <v>39307</v>
      </c>
      <c r="F817" t="s">
        <v>4941</v>
      </c>
      <c r="G817" t="e">
        <f>INDEX(#REF!,MATCH(P817,#REF!,0),1)</f>
        <v>#REF!</v>
      </c>
      <c r="H817" t="s">
        <v>4942</v>
      </c>
      <c r="J817" t="s">
        <v>4943</v>
      </c>
      <c r="K817" t="s">
        <v>283</v>
      </c>
      <c r="L817" t="s">
        <v>4944</v>
      </c>
      <c r="M817" t="s">
        <v>4945</v>
      </c>
      <c r="N817">
        <v>871561</v>
      </c>
      <c r="O817" t="s">
        <v>194</v>
      </c>
      <c r="P817">
        <v>1019377</v>
      </c>
      <c r="Q817" t="s">
        <v>4946</v>
      </c>
      <c r="R817" t="s">
        <v>196</v>
      </c>
      <c r="S817" t="s">
        <v>197</v>
      </c>
      <c r="T817" t="s">
        <v>44</v>
      </c>
      <c r="U817" t="s">
        <v>45</v>
      </c>
      <c r="AA817" t="s">
        <v>119</v>
      </c>
      <c r="AE817" t="s">
        <v>120</v>
      </c>
      <c r="AG817" t="s">
        <v>48</v>
      </c>
    </row>
    <row r="818" spans="1:33" x14ac:dyDescent="0.3">
      <c r="A818">
        <v>2199</v>
      </c>
      <c r="B818" t="s">
        <v>4947</v>
      </c>
      <c r="C818" t="str">
        <f>""</f>
        <v/>
      </c>
      <c r="D818" t="str">
        <f>"QHHB62700"</f>
        <v>QHHB62700</v>
      </c>
      <c r="E818" s="1">
        <v>44476</v>
      </c>
      <c r="F818" t="s">
        <v>4948</v>
      </c>
      <c r="G818" t="e">
        <f>INDEX(#REF!,MATCH(P818,#REF!,0),1)</f>
        <v>#REF!</v>
      </c>
      <c r="H818" t="s">
        <v>4949</v>
      </c>
      <c r="J818" t="s">
        <v>4950</v>
      </c>
      <c r="K818" t="s">
        <v>283</v>
      </c>
      <c r="L818" t="s">
        <v>4951</v>
      </c>
      <c r="M818" t="s">
        <v>4952</v>
      </c>
      <c r="N818">
        <v>2623199</v>
      </c>
      <c r="O818" t="s">
        <v>4499</v>
      </c>
      <c r="P818">
        <v>2623199</v>
      </c>
      <c r="Q818" t="s">
        <v>4499</v>
      </c>
      <c r="R818" t="s">
        <v>4500</v>
      </c>
      <c r="S818" t="s">
        <v>4501</v>
      </c>
      <c r="T818" t="s">
        <v>2277</v>
      </c>
      <c r="U818" t="s">
        <v>4502</v>
      </c>
      <c r="V818" t="s">
        <v>2215</v>
      </c>
    </row>
    <row r="819" spans="1:33" x14ac:dyDescent="0.3">
      <c r="A819">
        <v>2203</v>
      </c>
      <c r="B819" t="s">
        <v>4953</v>
      </c>
      <c r="C819" t="str">
        <f>""</f>
        <v/>
      </c>
      <c r="D819" t="str">
        <f>"610390J00"</f>
        <v>610390J00</v>
      </c>
      <c r="E819" s="1">
        <v>38733</v>
      </c>
      <c r="F819" t="s">
        <v>4954</v>
      </c>
      <c r="G819" t="e">
        <f>INDEX(#REF!,MATCH(P819,#REF!,0),1)</f>
        <v>#REF!</v>
      </c>
      <c r="H819" t="s">
        <v>4955</v>
      </c>
      <c r="I819" t="s">
        <v>259</v>
      </c>
      <c r="J819" t="s">
        <v>4956</v>
      </c>
      <c r="K819" t="s">
        <v>283</v>
      </c>
      <c r="L819" t="s">
        <v>4957</v>
      </c>
      <c r="M819" t="s">
        <v>4958</v>
      </c>
      <c r="N819">
        <v>111033</v>
      </c>
      <c r="O819" t="s">
        <v>3211</v>
      </c>
      <c r="P819">
        <v>111033</v>
      </c>
      <c r="Q819" t="s">
        <v>3211</v>
      </c>
      <c r="R819" t="s">
        <v>611</v>
      </c>
      <c r="S819" t="s">
        <v>612</v>
      </c>
      <c r="T819" t="s">
        <v>44</v>
      </c>
      <c r="U819" t="s">
        <v>45</v>
      </c>
      <c r="AD819" t="s">
        <v>94</v>
      </c>
    </row>
    <row r="820" spans="1:33" x14ac:dyDescent="0.3">
      <c r="A820">
        <v>2205</v>
      </c>
      <c r="B820" t="s">
        <v>4959</v>
      </c>
      <c r="C820" t="str">
        <f>"1100008150819"</f>
        <v>1100008150819</v>
      </c>
      <c r="D820" t="str">
        <f>""</f>
        <v/>
      </c>
      <c r="E820" s="1">
        <v>40982</v>
      </c>
      <c r="F820" t="s">
        <v>4960</v>
      </c>
      <c r="G820" t="e">
        <f>INDEX(#REF!,MATCH(P820,#REF!,0),1)</f>
        <v>#REF!</v>
      </c>
      <c r="H820" t="s">
        <v>4961</v>
      </c>
      <c r="J820" t="s">
        <v>4962</v>
      </c>
      <c r="K820" t="s">
        <v>283</v>
      </c>
      <c r="L820" t="s">
        <v>4963</v>
      </c>
      <c r="M820" t="s">
        <v>4964</v>
      </c>
      <c r="N820">
        <v>3460</v>
      </c>
      <c r="O820" t="s">
        <v>1155</v>
      </c>
      <c r="P820">
        <v>3460</v>
      </c>
      <c r="Q820" t="s">
        <v>1155</v>
      </c>
      <c r="R820" t="s">
        <v>1156</v>
      </c>
      <c r="S820" t="s">
        <v>1157</v>
      </c>
      <c r="T820" t="s">
        <v>44</v>
      </c>
      <c r="U820" t="s">
        <v>45</v>
      </c>
      <c r="AA820" t="s">
        <v>119</v>
      </c>
      <c r="AE820" t="s">
        <v>120</v>
      </c>
    </row>
    <row r="821" spans="1:33" x14ac:dyDescent="0.3">
      <c r="A821">
        <v>2208</v>
      </c>
      <c r="B821" t="s">
        <v>4965</v>
      </c>
      <c r="C821" t="str">
        <f>"1100007174205"</f>
        <v>1100007174205</v>
      </c>
      <c r="D821" t="str">
        <f>"130190E00"</f>
        <v>130190E00</v>
      </c>
      <c r="E821" s="1">
        <v>38961</v>
      </c>
      <c r="F821" t="s">
        <v>4966</v>
      </c>
      <c r="G821" t="e">
        <f>INDEX(#REF!,MATCH(P821,#REF!,0),1)</f>
        <v>#REF!</v>
      </c>
      <c r="H821" t="s">
        <v>4967</v>
      </c>
      <c r="J821" t="s">
        <v>4968</v>
      </c>
      <c r="K821" t="s">
        <v>425</v>
      </c>
      <c r="L821" t="str">
        <f>"05446"</f>
        <v>05446</v>
      </c>
      <c r="M821" t="s">
        <v>4969</v>
      </c>
      <c r="N821">
        <v>2108</v>
      </c>
      <c r="O821" t="s">
        <v>1282</v>
      </c>
      <c r="P821">
        <v>2108</v>
      </c>
      <c r="Q821" t="s">
        <v>1282</v>
      </c>
      <c r="R821" t="s">
        <v>1283</v>
      </c>
      <c r="S821" t="s">
        <v>1284</v>
      </c>
      <c r="T821" t="s">
        <v>117</v>
      </c>
      <c r="U821" t="s">
        <v>4970</v>
      </c>
      <c r="AG821" t="s">
        <v>48</v>
      </c>
    </row>
    <row r="822" spans="1:33" x14ac:dyDescent="0.3">
      <c r="A822">
        <v>2211</v>
      </c>
      <c r="B822" t="s">
        <v>4971</v>
      </c>
      <c r="C822" t="str">
        <f>"1100004113207"</f>
        <v>1100004113207</v>
      </c>
      <c r="D822" t="str">
        <f>"650680P00"</f>
        <v>650680P00</v>
      </c>
      <c r="E822" s="1">
        <v>35309</v>
      </c>
      <c r="F822" t="s">
        <v>4972</v>
      </c>
      <c r="G822" t="e">
        <f>INDEX(#REF!,MATCH(P822,#REF!,0),1)</f>
        <v>#REF!</v>
      </c>
      <c r="H822" t="s">
        <v>4973</v>
      </c>
      <c r="J822" t="s">
        <v>4974</v>
      </c>
      <c r="K822" t="s">
        <v>899</v>
      </c>
      <c r="L822" t="s">
        <v>4975</v>
      </c>
      <c r="M822" t="s">
        <v>4976</v>
      </c>
      <c r="N822">
        <v>871561</v>
      </c>
      <c r="O822" t="s">
        <v>194</v>
      </c>
      <c r="P822">
        <v>6179343</v>
      </c>
      <c r="Q822" t="s">
        <v>1137</v>
      </c>
      <c r="R822" t="s">
        <v>196</v>
      </c>
      <c r="S822" t="s">
        <v>197</v>
      </c>
      <c r="T822" t="s">
        <v>44</v>
      </c>
      <c r="U822" t="s">
        <v>45</v>
      </c>
      <c r="AA822" t="s">
        <v>119</v>
      </c>
      <c r="AE822" t="s">
        <v>120</v>
      </c>
      <c r="AG822" t="s">
        <v>48</v>
      </c>
    </row>
    <row r="823" spans="1:33" x14ac:dyDescent="0.3">
      <c r="A823">
        <v>2222</v>
      </c>
      <c r="B823" t="s">
        <v>4977</v>
      </c>
      <c r="C823" t="str">
        <f>""</f>
        <v/>
      </c>
      <c r="D823" t="str">
        <f>"230220900"</f>
        <v>230220900</v>
      </c>
      <c r="E823" s="1">
        <v>34759</v>
      </c>
      <c r="F823" t="s">
        <v>4978</v>
      </c>
      <c r="G823" t="e">
        <f>INDEX(#REF!,MATCH(P823,#REF!,0),1)</f>
        <v>#REF!</v>
      </c>
      <c r="H823" t="s">
        <v>4979</v>
      </c>
      <c r="J823" t="s">
        <v>4980</v>
      </c>
      <c r="K823" t="s">
        <v>65</v>
      </c>
      <c r="L823" t="s">
        <v>4981</v>
      </c>
      <c r="M823" t="s">
        <v>4982</v>
      </c>
      <c r="N823">
        <v>767149</v>
      </c>
      <c r="O823" t="s">
        <v>1953</v>
      </c>
      <c r="P823">
        <v>6229940</v>
      </c>
      <c r="Q823" t="s">
        <v>2719</v>
      </c>
      <c r="R823" t="s">
        <v>266</v>
      </c>
      <c r="S823" t="s">
        <v>267</v>
      </c>
      <c r="T823" t="s">
        <v>44</v>
      </c>
      <c r="U823" t="s">
        <v>45</v>
      </c>
      <c r="AA823" t="s">
        <v>105</v>
      </c>
      <c r="AE823" t="s">
        <v>72</v>
      </c>
      <c r="AG823" t="s">
        <v>48</v>
      </c>
    </row>
    <row r="824" spans="1:33" x14ac:dyDescent="0.3">
      <c r="A824">
        <v>2223</v>
      </c>
      <c r="B824" t="s">
        <v>4983</v>
      </c>
      <c r="C824" t="str">
        <f>"1100004908049"</f>
        <v>1100004908049</v>
      </c>
      <c r="D824" t="str">
        <f>"650100C00"</f>
        <v>650100C00</v>
      </c>
      <c r="E824" s="1">
        <v>34731</v>
      </c>
      <c r="F824" t="s">
        <v>4984</v>
      </c>
      <c r="G824" t="e">
        <f>INDEX(#REF!,MATCH(P824,#REF!,0),1)</f>
        <v>#REF!</v>
      </c>
      <c r="H824" t="s">
        <v>4985</v>
      </c>
      <c r="J824" t="s">
        <v>4986</v>
      </c>
      <c r="K824" t="s">
        <v>899</v>
      </c>
      <c r="L824" t="s">
        <v>4987</v>
      </c>
      <c r="M824" t="s">
        <v>4988</v>
      </c>
      <c r="N824">
        <v>871561</v>
      </c>
      <c r="O824" t="s">
        <v>194</v>
      </c>
      <c r="P824">
        <v>102627</v>
      </c>
      <c r="Q824" t="s">
        <v>3048</v>
      </c>
      <c r="R824" t="s">
        <v>196</v>
      </c>
      <c r="S824" t="s">
        <v>197</v>
      </c>
      <c r="T824" t="s">
        <v>44</v>
      </c>
      <c r="U824" t="s">
        <v>45</v>
      </c>
      <c r="AA824" t="s">
        <v>119</v>
      </c>
      <c r="AE824" t="s">
        <v>120</v>
      </c>
      <c r="AG824" t="s">
        <v>48</v>
      </c>
    </row>
    <row r="825" spans="1:33" x14ac:dyDescent="0.3">
      <c r="A825">
        <v>2224</v>
      </c>
      <c r="B825" t="s">
        <v>4989</v>
      </c>
      <c r="C825" t="str">
        <f>"1100002348199"</f>
        <v>1100002348199</v>
      </c>
      <c r="D825" t="str">
        <f>"610550H00"</f>
        <v>610550H00</v>
      </c>
      <c r="E825" s="1">
        <v>34759</v>
      </c>
      <c r="F825" t="s">
        <v>4990</v>
      </c>
      <c r="G825" t="e">
        <f>INDEX(#REF!,MATCH(P825,#REF!,0),1)</f>
        <v>#REF!</v>
      </c>
      <c r="H825" t="s">
        <v>4991</v>
      </c>
      <c r="J825" t="s">
        <v>4992</v>
      </c>
      <c r="K825" t="s">
        <v>283</v>
      </c>
      <c r="L825" t="s">
        <v>4993</v>
      </c>
      <c r="M825" t="s">
        <v>4994</v>
      </c>
      <c r="N825">
        <v>111033</v>
      </c>
      <c r="O825" t="s">
        <v>3211</v>
      </c>
      <c r="P825">
        <v>111033</v>
      </c>
      <c r="Q825" t="s">
        <v>3211</v>
      </c>
      <c r="R825" t="s">
        <v>611</v>
      </c>
      <c r="S825" t="s">
        <v>612</v>
      </c>
      <c r="T825" t="s">
        <v>44</v>
      </c>
      <c r="U825" t="s">
        <v>45</v>
      </c>
      <c r="AD825" t="s">
        <v>94</v>
      </c>
    </row>
    <row r="826" spans="1:33" x14ac:dyDescent="0.3">
      <c r="A826">
        <v>2225</v>
      </c>
      <c r="B826" t="s">
        <v>4995</v>
      </c>
      <c r="C826" t="str">
        <f>""</f>
        <v/>
      </c>
      <c r="D826" t="str">
        <f>"671210H00"</f>
        <v>671210H00</v>
      </c>
      <c r="E826" s="1">
        <v>44197</v>
      </c>
      <c r="F826" t="s">
        <v>4996</v>
      </c>
      <c r="G826" t="e">
        <f>INDEX(#REF!,MATCH(P826,#REF!,0),1)</f>
        <v>#REF!</v>
      </c>
      <c r="H826" t="s">
        <v>4997</v>
      </c>
      <c r="J826" t="s">
        <v>4998</v>
      </c>
      <c r="K826" t="s">
        <v>835</v>
      </c>
      <c r="L826" t="s">
        <v>4999</v>
      </c>
      <c r="M826" t="s">
        <v>5000</v>
      </c>
      <c r="N826">
        <v>30537</v>
      </c>
      <c r="O826" t="s">
        <v>838</v>
      </c>
      <c r="P826">
        <v>30537</v>
      </c>
      <c r="Q826" t="s">
        <v>838</v>
      </c>
      <c r="R826" t="s">
        <v>228</v>
      </c>
      <c r="S826" t="s">
        <v>229</v>
      </c>
      <c r="T826" t="s">
        <v>44</v>
      </c>
      <c r="U826" t="s">
        <v>45</v>
      </c>
      <c r="AA826" t="s">
        <v>119</v>
      </c>
      <c r="AE826" t="s">
        <v>120</v>
      </c>
    </row>
    <row r="827" spans="1:33" x14ac:dyDescent="0.3">
      <c r="A827">
        <v>2227</v>
      </c>
      <c r="B827" t="s">
        <v>5001</v>
      </c>
      <c r="C827" t="str">
        <f>"1100005011007"</f>
        <v>1100005011007</v>
      </c>
      <c r="D827" t="str">
        <f>"730280K00"</f>
        <v>730280K00</v>
      </c>
      <c r="E827" s="1">
        <v>42583</v>
      </c>
      <c r="F827" t="s">
        <v>5002</v>
      </c>
      <c r="G827" t="e">
        <f>INDEX(#REF!,MATCH(P827,#REF!,0),1)</f>
        <v>#REF!</v>
      </c>
      <c r="H827" t="s">
        <v>5003</v>
      </c>
      <c r="J827" t="s">
        <v>1057</v>
      </c>
      <c r="K827" t="s">
        <v>763</v>
      </c>
      <c r="L827" t="s">
        <v>5004</v>
      </c>
      <c r="M827" t="s">
        <v>5005</v>
      </c>
      <c r="N827">
        <v>963605</v>
      </c>
      <c r="O827" t="s">
        <v>3567</v>
      </c>
      <c r="P827">
        <v>963605</v>
      </c>
      <c r="Q827" t="s">
        <v>3567</v>
      </c>
      <c r="R827" t="s">
        <v>245</v>
      </c>
      <c r="S827" t="s">
        <v>246</v>
      </c>
      <c r="T827" t="s">
        <v>44</v>
      </c>
      <c r="U827" t="s">
        <v>45</v>
      </c>
    </row>
    <row r="828" spans="1:33" x14ac:dyDescent="0.3">
      <c r="A828">
        <v>2229</v>
      </c>
      <c r="B828" t="s">
        <v>5006</v>
      </c>
      <c r="C828" t="str">
        <f>""</f>
        <v/>
      </c>
      <c r="D828" t="str">
        <f>"7HHJWEY00"</f>
        <v>7HHJWEY00</v>
      </c>
      <c r="E828" s="1">
        <v>42583</v>
      </c>
      <c r="F828" t="s">
        <v>5007</v>
      </c>
      <c r="G828" t="e">
        <f>INDEX(#REF!,MATCH(P828,#REF!,0),1)</f>
        <v>#REF!</v>
      </c>
      <c r="H828" t="s">
        <v>5008</v>
      </c>
      <c r="J828" t="s">
        <v>4980</v>
      </c>
      <c r="K828" t="s">
        <v>65</v>
      </c>
      <c r="L828" t="s">
        <v>5009</v>
      </c>
      <c r="M828" t="s">
        <v>5010</v>
      </c>
      <c r="N828">
        <v>51565</v>
      </c>
      <c r="O828" t="s">
        <v>5011</v>
      </c>
      <c r="P828">
        <v>51565</v>
      </c>
      <c r="Q828" t="s">
        <v>5011</v>
      </c>
      <c r="R828" t="s">
        <v>254</v>
      </c>
      <c r="S828" t="s">
        <v>255</v>
      </c>
      <c r="T828" t="s">
        <v>2214</v>
      </c>
      <c r="U828" t="s">
        <v>5012</v>
      </c>
      <c r="AA828" t="s">
        <v>328</v>
      </c>
    </row>
    <row r="829" spans="1:33" x14ac:dyDescent="0.3">
      <c r="A829">
        <v>2245</v>
      </c>
      <c r="B829" t="s">
        <v>5013</v>
      </c>
      <c r="C829" t="str">
        <f>""</f>
        <v/>
      </c>
      <c r="D829" t="str">
        <f>"450430G00"</f>
        <v>450430G00</v>
      </c>
      <c r="E829" s="1">
        <v>36039</v>
      </c>
      <c r="F829" t="s">
        <v>5014</v>
      </c>
      <c r="G829" t="e">
        <f>INDEX(#REF!,MATCH(P829,#REF!,0),1)</f>
        <v>#REF!</v>
      </c>
      <c r="H829" t="s">
        <v>5015</v>
      </c>
      <c r="J829" t="s">
        <v>5016</v>
      </c>
      <c r="K829" t="s">
        <v>208</v>
      </c>
      <c r="L829">
        <v>54301</v>
      </c>
      <c r="M829" t="s">
        <v>5017</v>
      </c>
      <c r="N829">
        <v>4214155</v>
      </c>
      <c r="O829" t="s">
        <v>2198</v>
      </c>
      <c r="P829">
        <v>4214155</v>
      </c>
      <c r="Q829" t="s">
        <v>2198</v>
      </c>
      <c r="R829" t="s">
        <v>419</v>
      </c>
      <c r="S829" t="s">
        <v>420</v>
      </c>
      <c r="T829" t="s">
        <v>44</v>
      </c>
      <c r="U829" t="s">
        <v>45</v>
      </c>
      <c r="AA829" t="s">
        <v>119</v>
      </c>
      <c r="AC829" t="s">
        <v>1493</v>
      </c>
      <c r="AE829" t="s">
        <v>120</v>
      </c>
    </row>
    <row r="830" spans="1:33" x14ac:dyDescent="0.3">
      <c r="A830">
        <v>2247</v>
      </c>
      <c r="B830" t="s">
        <v>5018</v>
      </c>
      <c r="C830" t="str">
        <f>"1100094788460"</f>
        <v>1100094788460</v>
      </c>
      <c r="D830" t="str">
        <f>"26V4YHM00"</f>
        <v>26V4YHM00</v>
      </c>
      <c r="E830" s="1">
        <v>34791</v>
      </c>
      <c r="F830" t="s">
        <v>5019</v>
      </c>
      <c r="G830" t="e">
        <f>INDEX(#REF!,MATCH(P830,#REF!,0),1)</f>
        <v>#REF!</v>
      </c>
      <c r="H830" t="s">
        <v>5020</v>
      </c>
      <c r="J830" t="s">
        <v>5021</v>
      </c>
      <c r="K830" t="s">
        <v>2004</v>
      </c>
      <c r="L830" t="str">
        <f>"02129"</f>
        <v>02129</v>
      </c>
      <c r="M830" t="s">
        <v>5022</v>
      </c>
      <c r="N830">
        <v>2598</v>
      </c>
      <c r="O830" t="s">
        <v>2136</v>
      </c>
      <c r="P830">
        <v>2598</v>
      </c>
      <c r="Q830" t="s">
        <v>2136</v>
      </c>
      <c r="R830" t="s">
        <v>2492</v>
      </c>
      <c r="S830" t="s">
        <v>2493</v>
      </c>
      <c r="T830" t="s">
        <v>44</v>
      </c>
      <c r="U830" t="s">
        <v>45</v>
      </c>
      <c r="AE830" t="s">
        <v>72</v>
      </c>
      <c r="AG830" t="s">
        <v>48</v>
      </c>
    </row>
    <row r="831" spans="1:33" x14ac:dyDescent="0.3">
      <c r="A831">
        <v>2252</v>
      </c>
      <c r="B831" t="s">
        <v>5023</v>
      </c>
      <c r="C831" t="str">
        <f>""</f>
        <v/>
      </c>
      <c r="D831" t="str">
        <f>"670010E00"</f>
        <v>670010E00</v>
      </c>
      <c r="E831" s="1">
        <v>34790</v>
      </c>
      <c r="F831" t="s">
        <v>4651</v>
      </c>
      <c r="G831" t="e">
        <f>INDEX(#REF!,MATCH(P831,#REF!,0),1)</f>
        <v>#REF!</v>
      </c>
      <c r="H831" t="s">
        <v>5024</v>
      </c>
      <c r="J831" t="s">
        <v>5025</v>
      </c>
      <c r="K831" t="s">
        <v>835</v>
      </c>
      <c r="L831" t="s">
        <v>5026</v>
      </c>
      <c r="M831" t="s">
        <v>5027</v>
      </c>
      <c r="N831">
        <v>2599</v>
      </c>
      <c r="O831" t="s">
        <v>1870</v>
      </c>
      <c r="P831">
        <v>2599</v>
      </c>
      <c r="Q831" t="s">
        <v>1870</v>
      </c>
      <c r="R831" t="s">
        <v>649</v>
      </c>
      <c r="S831" t="s">
        <v>650</v>
      </c>
      <c r="T831" t="s">
        <v>44</v>
      </c>
      <c r="U831" t="s">
        <v>45</v>
      </c>
      <c r="AA831" t="s">
        <v>327</v>
      </c>
      <c r="AD831" t="s">
        <v>94</v>
      </c>
      <c r="AE831" t="s">
        <v>1522</v>
      </c>
    </row>
    <row r="832" spans="1:33" x14ac:dyDescent="0.3">
      <c r="A832">
        <v>2253</v>
      </c>
      <c r="B832" t="s">
        <v>5028</v>
      </c>
      <c r="C832" t="str">
        <f>""</f>
        <v/>
      </c>
      <c r="D832" t="str">
        <f>"671300H00"</f>
        <v>671300H00</v>
      </c>
      <c r="E832" s="1">
        <v>35735</v>
      </c>
      <c r="F832" t="s">
        <v>5029</v>
      </c>
      <c r="G832" t="e">
        <f>INDEX(#REF!,MATCH(P832,#REF!,0),1)</f>
        <v>#REF!</v>
      </c>
      <c r="H832" t="s">
        <v>5030</v>
      </c>
      <c r="J832" t="s">
        <v>5031</v>
      </c>
      <c r="K832" t="s">
        <v>835</v>
      </c>
      <c r="L832" t="s">
        <v>5032</v>
      </c>
      <c r="M832" t="s">
        <v>5033</v>
      </c>
      <c r="N832">
        <v>2599</v>
      </c>
      <c r="O832" t="s">
        <v>1870</v>
      </c>
      <c r="P832">
        <v>2599</v>
      </c>
      <c r="Q832" t="s">
        <v>1870</v>
      </c>
      <c r="R832" t="s">
        <v>1895</v>
      </c>
      <c r="S832" t="s">
        <v>1896</v>
      </c>
      <c r="T832" t="s">
        <v>44</v>
      </c>
      <c r="U832" t="s">
        <v>45</v>
      </c>
      <c r="AA832" t="s">
        <v>327</v>
      </c>
      <c r="AD832" t="s">
        <v>94</v>
      </c>
      <c r="AE832" t="s">
        <v>1522</v>
      </c>
    </row>
    <row r="833" spans="1:33" x14ac:dyDescent="0.3">
      <c r="A833">
        <v>2256</v>
      </c>
      <c r="B833" t="s">
        <v>5034</v>
      </c>
      <c r="C833" t="str">
        <f>""</f>
        <v/>
      </c>
      <c r="D833" t="str">
        <f>"820480M00"</f>
        <v>820480M00</v>
      </c>
      <c r="E833" s="1">
        <v>34790</v>
      </c>
      <c r="F833" t="s">
        <v>5035</v>
      </c>
      <c r="G833" t="e">
        <f>INDEX(#REF!,MATCH(P833,#REF!,0),1)</f>
        <v>#REF!</v>
      </c>
      <c r="H833" t="s">
        <v>5036</v>
      </c>
      <c r="J833" t="s">
        <v>5037</v>
      </c>
      <c r="K833" t="s">
        <v>533</v>
      </c>
      <c r="L833" t="s">
        <v>5038</v>
      </c>
      <c r="M833" t="s">
        <v>5039</v>
      </c>
      <c r="N833">
        <v>2256</v>
      </c>
      <c r="O833" t="s">
        <v>5035</v>
      </c>
      <c r="P833">
        <v>2256</v>
      </c>
      <c r="Q833" t="s">
        <v>5035</v>
      </c>
      <c r="R833" t="s">
        <v>4661</v>
      </c>
      <c r="S833" t="s">
        <v>4662</v>
      </c>
      <c r="T833" t="s">
        <v>44</v>
      </c>
      <c r="U833" t="s">
        <v>45</v>
      </c>
      <c r="AA833" t="s">
        <v>327</v>
      </c>
      <c r="AC833" t="s">
        <v>1265</v>
      </c>
      <c r="AE833" t="s">
        <v>144</v>
      </c>
    </row>
    <row r="834" spans="1:33" x14ac:dyDescent="0.3">
      <c r="A834">
        <v>2257</v>
      </c>
      <c r="B834" t="s">
        <v>5040</v>
      </c>
      <c r="C834" t="str">
        <f>"1100095040734"</f>
        <v>1100095040734</v>
      </c>
      <c r="D834" t="str">
        <f>"820010B00"</f>
        <v>820010B00</v>
      </c>
      <c r="E834" s="1">
        <v>34790</v>
      </c>
      <c r="F834" t="s">
        <v>5041</v>
      </c>
      <c r="G834" t="e">
        <f>INDEX(#REF!,MATCH(P834,#REF!,0),1)</f>
        <v>#REF!</v>
      </c>
      <c r="H834" t="s">
        <v>5042</v>
      </c>
      <c r="J834" t="s">
        <v>5043</v>
      </c>
      <c r="K834" t="s">
        <v>533</v>
      </c>
      <c r="L834" t="s">
        <v>5044</v>
      </c>
      <c r="M834" t="s">
        <v>5045</v>
      </c>
      <c r="N834">
        <v>2257</v>
      </c>
      <c r="O834" t="s">
        <v>5041</v>
      </c>
      <c r="P834">
        <v>2257</v>
      </c>
      <c r="Q834" t="s">
        <v>5041</v>
      </c>
      <c r="R834" t="s">
        <v>4661</v>
      </c>
      <c r="S834" t="s">
        <v>4662</v>
      </c>
      <c r="T834" t="s">
        <v>44</v>
      </c>
      <c r="U834" t="s">
        <v>45</v>
      </c>
      <c r="AC834" t="s">
        <v>1265</v>
      </c>
    </row>
    <row r="835" spans="1:33" x14ac:dyDescent="0.3">
      <c r="A835">
        <v>2258</v>
      </c>
      <c r="B835" t="s">
        <v>5046</v>
      </c>
      <c r="C835" t="str">
        <f>"1100094061310"</f>
        <v>1100094061310</v>
      </c>
      <c r="D835" t="str">
        <f>"820460K00"</f>
        <v>820460K00</v>
      </c>
      <c r="E835" s="1">
        <v>34790</v>
      </c>
      <c r="F835" t="s">
        <v>5047</v>
      </c>
      <c r="G835" t="e">
        <f>INDEX(#REF!,MATCH(P835,#REF!,0),1)</f>
        <v>#REF!</v>
      </c>
      <c r="H835" t="s">
        <v>5048</v>
      </c>
      <c r="J835" t="s">
        <v>5049</v>
      </c>
      <c r="K835" t="s">
        <v>533</v>
      </c>
      <c r="L835" t="s">
        <v>5050</v>
      </c>
      <c r="M835" t="s">
        <v>5051</v>
      </c>
      <c r="N835">
        <v>2258</v>
      </c>
      <c r="O835" t="s">
        <v>5047</v>
      </c>
      <c r="P835">
        <v>2258</v>
      </c>
      <c r="Q835" t="s">
        <v>5047</v>
      </c>
      <c r="R835" t="s">
        <v>4661</v>
      </c>
      <c r="S835" t="s">
        <v>4662</v>
      </c>
      <c r="T835" t="s">
        <v>44</v>
      </c>
      <c r="U835" t="s">
        <v>45</v>
      </c>
      <c r="AC835" t="s">
        <v>1265</v>
      </c>
    </row>
    <row r="836" spans="1:33" x14ac:dyDescent="0.3">
      <c r="A836">
        <v>2261</v>
      </c>
      <c r="B836" t="s">
        <v>5052</v>
      </c>
      <c r="C836" t="str">
        <f>""</f>
        <v/>
      </c>
      <c r="D836" t="str">
        <f>"130120700"</f>
        <v>130120700</v>
      </c>
      <c r="E836" s="1">
        <v>40743</v>
      </c>
      <c r="F836" t="s">
        <v>5053</v>
      </c>
      <c r="G836" t="e">
        <f>INDEX(#REF!,MATCH(P836,#REF!,0),1)</f>
        <v>#REF!</v>
      </c>
      <c r="H836" t="s">
        <v>5054</v>
      </c>
      <c r="J836" t="s">
        <v>1248</v>
      </c>
      <c r="K836" t="s">
        <v>425</v>
      </c>
      <c r="L836" t="str">
        <f>"05156-3050"</f>
        <v>05156-3050</v>
      </c>
      <c r="M836" t="s">
        <v>5055</v>
      </c>
      <c r="N836">
        <v>155</v>
      </c>
      <c r="O836" t="s">
        <v>55</v>
      </c>
      <c r="P836">
        <v>155</v>
      </c>
      <c r="Q836" t="s">
        <v>55</v>
      </c>
      <c r="R836" t="s">
        <v>56</v>
      </c>
      <c r="S836" t="s">
        <v>57</v>
      </c>
      <c r="T836" t="s">
        <v>44</v>
      </c>
      <c r="U836" t="s">
        <v>45</v>
      </c>
      <c r="AA836" t="s">
        <v>58</v>
      </c>
      <c r="AE836" t="s">
        <v>60</v>
      </c>
    </row>
    <row r="837" spans="1:33" x14ac:dyDescent="0.3">
      <c r="A837">
        <v>2262</v>
      </c>
      <c r="B837" t="s">
        <v>5056</v>
      </c>
      <c r="C837" t="str">
        <f>""</f>
        <v/>
      </c>
      <c r="D837" t="str">
        <f>"432180I00"</f>
        <v>432180I00</v>
      </c>
      <c r="E837" s="1">
        <v>42660</v>
      </c>
      <c r="F837" t="s">
        <v>5057</v>
      </c>
      <c r="G837" t="e">
        <f>INDEX(#REF!,MATCH(P837,#REF!,0),1)</f>
        <v>#REF!</v>
      </c>
      <c r="H837" t="s">
        <v>5058</v>
      </c>
      <c r="I837" t="s">
        <v>259</v>
      </c>
      <c r="J837" t="s">
        <v>5059</v>
      </c>
      <c r="K837" t="s">
        <v>342</v>
      </c>
      <c r="L837" t="s">
        <v>5060</v>
      </c>
      <c r="M837" t="s">
        <v>5061</v>
      </c>
      <c r="N837">
        <v>2449830</v>
      </c>
      <c r="O837" t="s">
        <v>1220</v>
      </c>
      <c r="P837">
        <v>2449830</v>
      </c>
      <c r="Q837" t="s">
        <v>1220</v>
      </c>
      <c r="R837" t="s">
        <v>1221</v>
      </c>
      <c r="S837" t="s">
        <v>1222</v>
      </c>
      <c r="T837" t="s">
        <v>44</v>
      </c>
      <c r="U837" t="s">
        <v>45</v>
      </c>
      <c r="AD837" t="s">
        <v>94</v>
      </c>
      <c r="AG837" t="s">
        <v>48</v>
      </c>
    </row>
    <row r="838" spans="1:33" x14ac:dyDescent="0.3">
      <c r="A838">
        <v>2267</v>
      </c>
      <c r="B838" t="s">
        <v>5062</v>
      </c>
      <c r="C838" t="str">
        <f>""</f>
        <v/>
      </c>
      <c r="D838" t="str">
        <f>"BGWPWBJ00"</f>
        <v>BGWPWBJ00</v>
      </c>
      <c r="E838" s="1">
        <v>34790</v>
      </c>
      <c r="F838" t="s">
        <v>5063</v>
      </c>
      <c r="G838" t="e">
        <f>INDEX(#REF!,MATCH(P838,#REF!,0),1)</f>
        <v>#REF!</v>
      </c>
      <c r="H838" t="s">
        <v>3277</v>
      </c>
      <c r="J838" t="s">
        <v>1248</v>
      </c>
      <c r="K838" t="s">
        <v>65</v>
      </c>
      <c r="L838">
        <v>19064</v>
      </c>
      <c r="M838" t="s">
        <v>3280</v>
      </c>
      <c r="N838">
        <v>2623550</v>
      </c>
      <c r="O838" t="s">
        <v>1767</v>
      </c>
      <c r="P838">
        <v>1202</v>
      </c>
      <c r="Q838" t="s">
        <v>1768</v>
      </c>
      <c r="R838" t="s">
        <v>5064</v>
      </c>
      <c r="S838" t="s">
        <v>5065</v>
      </c>
      <c r="T838" t="s">
        <v>117</v>
      </c>
      <c r="U838" t="s">
        <v>3374</v>
      </c>
      <c r="V838" t="s">
        <v>1824</v>
      </c>
      <c r="AE838" t="s">
        <v>564</v>
      </c>
    </row>
    <row r="839" spans="1:33" x14ac:dyDescent="0.3">
      <c r="A839">
        <v>2270</v>
      </c>
      <c r="B839" t="s">
        <v>5066</v>
      </c>
      <c r="C839" t="str">
        <f>"1100004257130"</f>
        <v>1100004257130</v>
      </c>
      <c r="D839" t="str">
        <f>"860230J00"</f>
        <v>860230J00</v>
      </c>
      <c r="E839" s="1">
        <v>42583</v>
      </c>
      <c r="F839" t="s">
        <v>5067</v>
      </c>
      <c r="G839" t="e">
        <f>INDEX(#REF!,MATCH(P839,#REF!,0),1)</f>
        <v>#REF!</v>
      </c>
      <c r="H839" t="s">
        <v>5068</v>
      </c>
      <c r="J839" t="s">
        <v>5069</v>
      </c>
      <c r="K839" t="s">
        <v>577</v>
      </c>
      <c r="L839" t="s">
        <v>5070</v>
      </c>
      <c r="M839" t="s">
        <v>5071</v>
      </c>
      <c r="N839">
        <v>2270</v>
      </c>
      <c r="O839" t="s">
        <v>5067</v>
      </c>
      <c r="P839">
        <v>2270</v>
      </c>
      <c r="Q839" t="s">
        <v>5067</v>
      </c>
      <c r="R839" t="s">
        <v>499</v>
      </c>
      <c r="S839" t="s">
        <v>500</v>
      </c>
      <c r="T839" t="s">
        <v>44</v>
      </c>
      <c r="U839" t="s">
        <v>45</v>
      </c>
      <c r="AA839" t="s">
        <v>211</v>
      </c>
    </row>
    <row r="840" spans="1:33" x14ac:dyDescent="0.3">
      <c r="A840">
        <v>2273</v>
      </c>
      <c r="B840" t="s">
        <v>5072</v>
      </c>
      <c r="C840" t="str">
        <f>"1100003042003"</f>
        <v>1100003042003</v>
      </c>
      <c r="D840" t="str">
        <f>""</f>
        <v/>
      </c>
      <c r="E840" s="1">
        <v>42583</v>
      </c>
      <c r="F840" t="s">
        <v>5073</v>
      </c>
      <c r="G840" t="e">
        <f>INDEX(#REF!,MATCH(P840,#REF!,0),1)</f>
        <v>#REF!</v>
      </c>
      <c r="H840" t="s">
        <v>5074</v>
      </c>
      <c r="I840" t="s">
        <v>5075</v>
      </c>
      <c r="J840" t="s">
        <v>5076</v>
      </c>
      <c r="K840" t="s">
        <v>77</v>
      </c>
      <c r="L840" t="s">
        <v>5077</v>
      </c>
      <c r="M840" t="s">
        <v>5078</v>
      </c>
      <c r="N840">
        <v>2273</v>
      </c>
      <c r="O840" t="s">
        <v>5073</v>
      </c>
      <c r="P840">
        <v>2273</v>
      </c>
      <c r="Q840" t="s">
        <v>5073</v>
      </c>
      <c r="R840" t="s">
        <v>1193</v>
      </c>
      <c r="S840" t="s">
        <v>1194</v>
      </c>
      <c r="T840" t="s">
        <v>44</v>
      </c>
      <c r="U840" t="s">
        <v>45</v>
      </c>
    </row>
    <row r="841" spans="1:33" x14ac:dyDescent="0.3">
      <c r="A841">
        <v>2276</v>
      </c>
      <c r="B841" t="s">
        <v>5079</v>
      </c>
      <c r="C841" t="str">
        <f>""</f>
        <v/>
      </c>
      <c r="D841" t="str">
        <f>"361440I00"</f>
        <v>361440I00</v>
      </c>
      <c r="E841" s="1">
        <v>42583</v>
      </c>
      <c r="F841" t="s">
        <v>5080</v>
      </c>
      <c r="G841" t="e">
        <f>INDEX(#REF!,MATCH(P841,#REF!,0),1)</f>
        <v>#REF!</v>
      </c>
      <c r="H841" t="s">
        <v>5081</v>
      </c>
      <c r="J841" t="s">
        <v>5082</v>
      </c>
      <c r="K841" t="s">
        <v>384</v>
      </c>
      <c r="L841">
        <v>28461</v>
      </c>
      <c r="M841" t="s">
        <v>5083</v>
      </c>
      <c r="N841">
        <v>101196</v>
      </c>
      <c r="O841" t="s">
        <v>5084</v>
      </c>
      <c r="P841">
        <v>101196</v>
      </c>
      <c r="Q841" t="s">
        <v>5084</v>
      </c>
      <c r="R841" t="s">
        <v>2293</v>
      </c>
      <c r="S841" t="s">
        <v>2294</v>
      </c>
      <c r="T841" t="s">
        <v>44</v>
      </c>
      <c r="U841" t="s">
        <v>45</v>
      </c>
      <c r="AA841" t="s">
        <v>211</v>
      </c>
      <c r="AC841" t="s">
        <v>2333</v>
      </c>
    </row>
    <row r="842" spans="1:33" x14ac:dyDescent="0.3">
      <c r="A842">
        <v>2277</v>
      </c>
      <c r="B842" t="s">
        <v>5085</v>
      </c>
      <c r="C842" t="str">
        <f>"1100003513466"</f>
        <v>1100003513466</v>
      </c>
      <c r="D842" t="str">
        <f>"431900H00"</f>
        <v>431900H00</v>
      </c>
      <c r="E842" s="1">
        <v>42583</v>
      </c>
      <c r="F842" t="s">
        <v>5086</v>
      </c>
      <c r="G842" t="e">
        <f>INDEX(#REF!,MATCH(P842,#REF!,0),1)</f>
        <v>#REF!</v>
      </c>
      <c r="H842" t="s">
        <v>5087</v>
      </c>
      <c r="I842" t="s">
        <v>5088</v>
      </c>
      <c r="J842" t="s">
        <v>5089</v>
      </c>
      <c r="K842" t="s">
        <v>342</v>
      </c>
      <c r="L842">
        <v>60050</v>
      </c>
      <c r="M842" t="s">
        <v>5090</v>
      </c>
      <c r="N842">
        <v>2449830</v>
      </c>
      <c r="O842" t="s">
        <v>1220</v>
      </c>
      <c r="P842">
        <v>2449830</v>
      </c>
      <c r="Q842" t="s">
        <v>1220</v>
      </c>
      <c r="R842" t="s">
        <v>1221</v>
      </c>
      <c r="S842" t="s">
        <v>1222</v>
      </c>
      <c r="T842" t="s">
        <v>44</v>
      </c>
      <c r="U842" t="s">
        <v>45</v>
      </c>
      <c r="AD842" t="s">
        <v>94</v>
      </c>
      <c r="AG842" t="s">
        <v>48</v>
      </c>
    </row>
    <row r="843" spans="1:33" x14ac:dyDescent="0.3">
      <c r="A843">
        <v>2278</v>
      </c>
      <c r="B843" t="s">
        <v>5091</v>
      </c>
      <c r="C843" t="str">
        <f>""</f>
        <v/>
      </c>
      <c r="D843" t="str">
        <f>"220460E00"</f>
        <v>220460E00</v>
      </c>
      <c r="E843" s="1">
        <v>42583</v>
      </c>
      <c r="F843" t="s">
        <v>5092</v>
      </c>
      <c r="G843" t="e">
        <f>INDEX(#REF!,MATCH(P843,#REF!,0),1)</f>
        <v>#REF!</v>
      </c>
      <c r="H843" t="s">
        <v>5093</v>
      </c>
      <c r="J843" t="s">
        <v>5094</v>
      </c>
      <c r="K843" t="s">
        <v>251</v>
      </c>
      <c r="L843" t="str">
        <f>"07733"</f>
        <v>07733</v>
      </c>
      <c r="M843" t="s">
        <v>5095</v>
      </c>
      <c r="N843">
        <v>35683</v>
      </c>
      <c r="O843" t="s">
        <v>931</v>
      </c>
      <c r="P843">
        <v>35683</v>
      </c>
      <c r="Q843" t="s">
        <v>931</v>
      </c>
      <c r="R843" t="s">
        <v>254</v>
      </c>
      <c r="S843" t="s">
        <v>255</v>
      </c>
      <c r="T843" t="s">
        <v>44</v>
      </c>
      <c r="U843" t="s">
        <v>45</v>
      </c>
    </row>
    <row r="844" spans="1:33" x14ac:dyDescent="0.3">
      <c r="A844">
        <v>2281</v>
      </c>
      <c r="B844" t="s">
        <v>5096</v>
      </c>
      <c r="C844" t="str">
        <f>"1100004929938"</f>
        <v>1100004929938</v>
      </c>
      <c r="D844" t="str">
        <f>"360760M00"</f>
        <v>360760M00</v>
      </c>
      <c r="E844" s="1">
        <v>35370</v>
      </c>
      <c r="F844" t="s">
        <v>5097</v>
      </c>
      <c r="G844" t="e">
        <f>INDEX(#REF!,MATCH(P844,#REF!,0),1)</f>
        <v>#REF!</v>
      </c>
      <c r="H844" t="s">
        <v>5098</v>
      </c>
      <c r="J844" t="s">
        <v>1051</v>
      </c>
      <c r="K844" t="s">
        <v>384</v>
      </c>
      <c r="L844" t="s">
        <v>5099</v>
      </c>
      <c r="M844" t="s">
        <v>5100</v>
      </c>
      <c r="N844">
        <v>41480</v>
      </c>
      <c r="O844" t="s">
        <v>2292</v>
      </c>
      <c r="P844">
        <v>41480</v>
      </c>
      <c r="Q844" t="s">
        <v>2292</v>
      </c>
      <c r="R844" t="s">
        <v>2293</v>
      </c>
      <c r="S844" t="s">
        <v>2294</v>
      </c>
      <c r="T844" t="s">
        <v>44</v>
      </c>
      <c r="U844" t="s">
        <v>45</v>
      </c>
      <c r="AC844" t="s">
        <v>590</v>
      </c>
      <c r="AG844" t="s">
        <v>48</v>
      </c>
    </row>
    <row r="845" spans="1:33" x14ac:dyDescent="0.3">
      <c r="A845">
        <v>2297</v>
      </c>
      <c r="B845" t="s">
        <v>5101</v>
      </c>
      <c r="C845" t="str">
        <f>"1100003406928"</f>
        <v>1100003406928</v>
      </c>
      <c r="D845" t="str">
        <f>"820230F00"</f>
        <v>820230F00</v>
      </c>
      <c r="E845" s="1">
        <v>44409</v>
      </c>
      <c r="F845" t="s">
        <v>5102</v>
      </c>
      <c r="G845" t="e">
        <f>INDEX(#REF!,MATCH(P845,#REF!,0),1)</f>
        <v>#REF!</v>
      </c>
      <c r="H845" t="s">
        <v>5103</v>
      </c>
      <c r="J845" t="s">
        <v>5104</v>
      </c>
      <c r="K845" t="s">
        <v>533</v>
      </c>
      <c r="L845" t="s">
        <v>5105</v>
      </c>
      <c r="M845" t="s">
        <v>5106</v>
      </c>
      <c r="N845">
        <v>2297</v>
      </c>
      <c r="O845" t="s">
        <v>5102</v>
      </c>
      <c r="P845">
        <v>2297</v>
      </c>
      <c r="Q845" t="s">
        <v>5102</v>
      </c>
      <c r="R845" t="s">
        <v>245</v>
      </c>
      <c r="S845" t="s">
        <v>246</v>
      </c>
      <c r="T845" t="s">
        <v>44</v>
      </c>
      <c r="U845" t="s">
        <v>45</v>
      </c>
      <c r="AA845" t="s">
        <v>211</v>
      </c>
      <c r="AC845" t="s">
        <v>1265</v>
      </c>
    </row>
    <row r="846" spans="1:33" x14ac:dyDescent="0.3">
      <c r="A846">
        <v>2298</v>
      </c>
      <c r="B846" t="s">
        <v>5107</v>
      </c>
      <c r="C846" t="str">
        <f>"1100004523587"</f>
        <v>1100004523587</v>
      </c>
      <c r="D846" t="str">
        <f>"432510F00"</f>
        <v>432510F00</v>
      </c>
      <c r="E846" s="1">
        <v>44501</v>
      </c>
      <c r="F846" t="s">
        <v>5108</v>
      </c>
      <c r="G846" t="e">
        <f>INDEX(#REF!,MATCH(P846,#REF!,0),1)</f>
        <v>#REF!</v>
      </c>
      <c r="H846" t="s">
        <v>5109</v>
      </c>
      <c r="J846" t="s">
        <v>616</v>
      </c>
      <c r="K846" t="s">
        <v>342</v>
      </c>
      <c r="L846" t="s">
        <v>5110</v>
      </c>
      <c r="M846" t="s">
        <v>5111</v>
      </c>
      <c r="N846">
        <v>2298</v>
      </c>
      <c r="O846" t="s">
        <v>5108</v>
      </c>
      <c r="P846">
        <v>2298</v>
      </c>
      <c r="Q846" t="s">
        <v>5108</v>
      </c>
      <c r="R846" t="s">
        <v>245</v>
      </c>
      <c r="S846" t="s">
        <v>246</v>
      </c>
      <c r="T846" t="s">
        <v>44</v>
      </c>
      <c r="U846" t="s">
        <v>45</v>
      </c>
    </row>
    <row r="847" spans="1:33" x14ac:dyDescent="0.3">
      <c r="A847">
        <v>2302</v>
      </c>
      <c r="B847" t="s">
        <v>5112</v>
      </c>
      <c r="C847" t="str">
        <f>"1100002777821"</f>
        <v>1100002777821</v>
      </c>
      <c r="D847" t="str">
        <f>""</f>
        <v/>
      </c>
      <c r="E847" s="1">
        <v>34828</v>
      </c>
      <c r="F847" t="s">
        <v>5113</v>
      </c>
      <c r="G847" t="e">
        <f>INDEX(#REF!,MATCH(P847,#REF!,0),1)</f>
        <v>#REF!</v>
      </c>
      <c r="H847" t="s">
        <v>5114</v>
      </c>
      <c r="J847" t="s">
        <v>5115</v>
      </c>
      <c r="K847" t="s">
        <v>533</v>
      </c>
      <c r="L847" t="s">
        <v>5116</v>
      </c>
      <c r="M847" t="s">
        <v>5117</v>
      </c>
      <c r="N847">
        <v>2302</v>
      </c>
      <c r="O847" t="s">
        <v>5113</v>
      </c>
      <c r="P847">
        <v>2302</v>
      </c>
      <c r="Q847" t="s">
        <v>5113</v>
      </c>
      <c r="R847" t="s">
        <v>245</v>
      </c>
      <c r="S847" t="s">
        <v>246</v>
      </c>
      <c r="T847" t="s">
        <v>44</v>
      </c>
      <c r="U847" t="s">
        <v>45</v>
      </c>
      <c r="AC847" t="s">
        <v>1265</v>
      </c>
    </row>
    <row r="848" spans="1:33" x14ac:dyDescent="0.3">
      <c r="A848">
        <v>2325</v>
      </c>
      <c r="B848" t="s">
        <v>5118</v>
      </c>
      <c r="C848" t="str">
        <f>"1100004503848"</f>
        <v>1100004503848</v>
      </c>
      <c r="D848" t="str">
        <f>"K3Q26F000"</f>
        <v>K3Q26F000</v>
      </c>
      <c r="E848" s="1">
        <v>42521</v>
      </c>
      <c r="F848" t="s">
        <v>5119</v>
      </c>
      <c r="G848" t="e">
        <f>INDEX(#REF!,MATCH(P848,#REF!,0),1)</f>
        <v>#REF!</v>
      </c>
      <c r="H848" t="s">
        <v>5120</v>
      </c>
      <c r="J848" t="s">
        <v>1472</v>
      </c>
      <c r="K848" t="s">
        <v>111</v>
      </c>
      <c r="L848" t="s">
        <v>5121</v>
      </c>
      <c r="M848" t="s">
        <v>5122</v>
      </c>
      <c r="N848">
        <v>2325</v>
      </c>
      <c r="O848" t="s">
        <v>5119</v>
      </c>
      <c r="P848">
        <v>2325</v>
      </c>
      <c r="Q848" t="s">
        <v>5119</v>
      </c>
      <c r="R848" t="s">
        <v>5123</v>
      </c>
      <c r="S848" t="s">
        <v>5124</v>
      </c>
      <c r="T848" t="s">
        <v>4245</v>
      </c>
      <c r="U848" t="s">
        <v>4832</v>
      </c>
      <c r="V848" t="s">
        <v>2215</v>
      </c>
    </row>
    <row r="849" spans="1:33" x14ac:dyDescent="0.3">
      <c r="A849">
        <v>2326</v>
      </c>
      <c r="B849" t="s">
        <v>5125</v>
      </c>
      <c r="C849" t="str">
        <f>"1100004153579"</f>
        <v>1100004153579</v>
      </c>
      <c r="D849" t="str">
        <f>"ILCRRKH00"</f>
        <v>ILCRRKH00</v>
      </c>
      <c r="E849" s="1">
        <v>34820</v>
      </c>
      <c r="F849" t="s">
        <v>5126</v>
      </c>
      <c r="G849" t="e">
        <f>INDEX(#REF!,MATCH(P849,#REF!,0),1)</f>
        <v>#REF!</v>
      </c>
      <c r="H849" t="s">
        <v>5127</v>
      </c>
      <c r="J849" t="s">
        <v>4823</v>
      </c>
      <c r="K849" t="s">
        <v>2127</v>
      </c>
      <c r="L849" t="s">
        <v>5128</v>
      </c>
      <c r="M849" t="s">
        <v>5129</v>
      </c>
      <c r="N849">
        <v>41172</v>
      </c>
      <c r="O849" t="s">
        <v>2130</v>
      </c>
      <c r="P849">
        <v>41172</v>
      </c>
      <c r="Q849" t="s">
        <v>2130</v>
      </c>
      <c r="R849" t="s">
        <v>3139</v>
      </c>
      <c r="S849" t="s">
        <v>3140</v>
      </c>
      <c r="T849" t="s">
        <v>2277</v>
      </c>
      <c r="U849" t="s">
        <v>2278</v>
      </c>
      <c r="V849" t="s">
        <v>1824</v>
      </c>
      <c r="AC849" t="s">
        <v>538</v>
      </c>
      <c r="AD849" t="s">
        <v>94</v>
      </c>
    </row>
    <row r="850" spans="1:33" x14ac:dyDescent="0.3">
      <c r="A850">
        <v>2327</v>
      </c>
      <c r="B850" t="s">
        <v>5130</v>
      </c>
      <c r="C850" t="str">
        <f>"1100002659011"</f>
        <v>1100002659011</v>
      </c>
      <c r="D850" t="str">
        <f>"KK7XDQB00"</f>
        <v>KK7XDQB00</v>
      </c>
      <c r="E850" s="1">
        <v>34820</v>
      </c>
      <c r="F850" t="s">
        <v>5131</v>
      </c>
      <c r="G850" t="e">
        <f>INDEX(#REF!,MATCH(P850,#REF!,0),1)</f>
        <v>#REF!</v>
      </c>
      <c r="H850" t="s">
        <v>5132</v>
      </c>
      <c r="J850" t="s">
        <v>383</v>
      </c>
      <c r="K850" t="s">
        <v>384</v>
      </c>
      <c r="L850" t="s">
        <v>5133</v>
      </c>
      <c r="M850" t="s">
        <v>5134</v>
      </c>
      <c r="N850">
        <v>665</v>
      </c>
      <c r="O850" t="s">
        <v>387</v>
      </c>
      <c r="P850">
        <v>665</v>
      </c>
      <c r="Q850" t="s">
        <v>387</v>
      </c>
      <c r="R850" t="s">
        <v>2477</v>
      </c>
      <c r="S850" t="s">
        <v>2478</v>
      </c>
      <c r="T850" t="s">
        <v>117</v>
      </c>
      <c r="U850" t="s">
        <v>5135</v>
      </c>
      <c r="V850" t="s">
        <v>1824</v>
      </c>
      <c r="AA850" t="s">
        <v>82</v>
      </c>
      <c r="AE850" t="s">
        <v>83</v>
      </c>
    </row>
    <row r="851" spans="1:33" x14ac:dyDescent="0.3">
      <c r="A851">
        <v>2329</v>
      </c>
      <c r="B851" t="s">
        <v>5136</v>
      </c>
      <c r="C851" t="str">
        <f>"1100007113631"</f>
        <v>1100007113631</v>
      </c>
      <c r="D851" t="str">
        <f>"1693C3Y00"</f>
        <v>1693C3Y00</v>
      </c>
      <c r="E851" s="1">
        <v>42583</v>
      </c>
      <c r="F851" t="s">
        <v>3395</v>
      </c>
      <c r="G851" t="e">
        <f>INDEX(#REF!,MATCH(P851,#REF!,0),1)</f>
        <v>#REF!</v>
      </c>
      <c r="H851" t="s">
        <v>5137</v>
      </c>
      <c r="J851" t="s">
        <v>576</v>
      </c>
      <c r="K851" t="s">
        <v>577</v>
      </c>
      <c r="L851" t="s">
        <v>5138</v>
      </c>
      <c r="M851" t="s">
        <v>5139</v>
      </c>
      <c r="N851">
        <v>2329</v>
      </c>
      <c r="O851" t="s">
        <v>3395</v>
      </c>
      <c r="P851">
        <v>2329</v>
      </c>
      <c r="Q851" t="s">
        <v>3395</v>
      </c>
      <c r="R851" t="s">
        <v>245</v>
      </c>
      <c r="S851" t="s">
        <v>246</v>
      </c>
      <c r="T851" t="s">
        <v>44</v>
      </c>
      <c r="U851" t="s">
        <v>81</v>
      </c>
    </row>
    <row r="852" spans="1:33" x14ac:dyDescent="0.3">
      <c r="A852">
        <v>2336</v>
      </c>
      <c r="B852" t="s">
        <v>5140</v>
      </c>
      <c r="C852" t="str">
        <f>"1100003968068"</f>
        <v>1100003968068</v>
      </c>
      <c r="D852" t="str">
        <f>""</f>
        <v/>
      </c>
      <c r="E852" s="1">
        <v>32933</v>
      </c>
      <c r="F852" t="s">
        <v>5141</v>
      </c>
      <c r="G852" t="e">
        <f>INDEX(#REF!,MATCH(P852,#REF!,0),1)</f>
        <v>#REF!</v>
      </c>
      <c r="H852" t="s">
        <v>5142</v>
      </c>
      <c r="I852" t="s">
        <v>5143</v>
      </c>
      <c r="J852" t="s">
        <v>3956</v>
      </c>
      <c r="K852" t="s">
        <v>283</v>
      </c>
      <c r="L852">
        <v>55102</v>
      </c>
      <c r="M852" t="s">
        <v>5144</v>
      </c>
      <c r="N852">
        <v>90175</v>
      </c>
      <c r="O852" t="s">
        <v>5145</v>
      </c>
      <c r="P852">
        <v>90175</v>
      </c>
      <c r="Q852" t="s">
        <v>5145</v>
      </c>
      <c r="R852" t="s">
        <v>5146</v>
      </c>
      <c r="S852" t="s">
        <v>5147</v>
      </c>
      <c r="T852" t="s">
        <v>117</v>
      </c>
      <c r="U852" t="s">
        <v>4072</v>
      </c>
      <c r="V852" t="s">
        <v>2215</v>
      </c>
      <c r="AD852" t="s">
        <v>59</v>
      </c>
    </row>
    <row r="853" spans="1:33" x14ac:dyDescent="0.3">
      <c r="A853">
        <v>2339</v>
      </c>
      <c r="B853" t="s">
        <v>5148</v>
      </c>
      <c r="C853" t="str">
        <f>""</f>
        <v/>
      </c>
      <c r="D853" t="str">
        <f>"AD8G8VE00"</f>
        <v>AD8G8VE00</v>
      </c>
      <c r="E853" s="1">
        <v>41709</v>
      </c>
      <c r="F853" t="s">
        <v>5149</v>
      </c>
      <c r="G853" t="e">
        <f>INDEX(#REF!,MATCH(P853,#REF!,0),1)</f>
        <v>#REF!</v>
      </c>
      <c r="H853" t="s">
        <v>5150</v>
      </c>
      <c r="I853" t="s">
        <v>5151</v>
      </c>
      <c r="J853" t="s">
        <v>726</v>
      </c>
      <c r="K853" t="s">
        <v>727</v>
      </c>
      <c r="L853">
        <v>68118</v>
      </c>
      <c r="M853" t="s">
        <v>5152</v>
      </c>
      <c r="N853">
        <v>444</v>
      </c>
      <c r="O853" t="s">
        <v>1593</v>
      </c>
      <c r="P853">
        <v>44010</v>
      </c>
      <c r="Q853" t="s">
        <v>5153</v>
      </c>
      <c r="R853" t="s">
        <v>1597</v>
      </c>
      <c r="S853" t="s">
        <v>1598</v>
      </c>
      <c r="T853" t="s">
        <v>2277</v>
      </c>
      <c r="U853" t="s">
        <v>2278</v>
      </c>
      <c r="V853" t="s">
        <v>1824</v>
      </c>
      <c r="X853" t="s">
        <v>289</v>
      </c>
      <c r="AA853" t="s">
        <v>290</v>
      </c>
      <c r="AG853" t="s">
        <v>48</v>
      </c>
    </row>
    <row r="854" spans="1:33" x14ac:dyDescent="0.3">
      <c r="A854">
        <v>2340</v>
      </c>
      <c r="B854" t="s">
        <v>5154</v>
      </c>
      <c r="C854" t="str">
        <f>""</f>
        <v/>
      </c>
      <c r="D854" t="str">
        <f>"HWTM0YQ00"</f>
        <v>HWTM0YQ00</v>
      </c>
      <c r="E854" s="1">
        <v>41709</v>
      </c>
      <c r="F854" t="s">
        <v>5155</v>
      </c>
      <c r="G854" t="e">
        <f>INDEX(#REF!,MATCH(P854,#REF!,0),1)</f>
        <v>#REF!</v>
      </c>
      <c r="H854" t="s">
        <v>5156</v>
      </c>
      <c r="J854" t="s">
        <v>726</v>
      </c>
      <c r="K854" t="s">
        <v>727</v>
      </c>
      <c r="L854">
        <v>68114</v>
      </c>
      <c r="M854" t="s">
        <v>3226</v>
      </c>
      <c r="N854">
        <v>444</v>
      </c>
      <c r="O854" t="s">
        <v>1593</v>
      </c>
      <c r="P854">
        <v>44010</v>
      </c>
      <c r="Q854" t="s">
        <v>5153</v>
      </c>
      <c r="R854" t="s">
        <v>1597</v>
      </c>
      <c r="S854" t="s">
        <v>1598</v>
      </c>
      <c r="T854" t="s">
        <v>2277</v>
      </c>
      <c r="U854" t="s">
        <v>2278</v>
      </c>
      <c r="V854" t="s">
        <v>1824</v>
      </c>
      <c r="X854" t="s">
        <v>289</v>
      </c>
      <c r="AA854" t="s">
        <v>290</v>
      </c>
      <c r="AG854" t="s">
        <v>48</v>
      </c>
    </row>
    <row r="855" spans="1:33" x14ac:dyDescent="0.3">
      <c r="A855">
        <v>2341</v>
      </c>
      <c r="B855" t="s">
        <v>5157</v>
      </c>
      <c r="C855" t="str">
        <f>""</f>
        <v/>
      </c>
      <c r="D855" t="str">
        <f>"9KXD5FN00"</f>
        <v>9KXD5FN00</v>
      </c>
      <c r="E855" s="1">
        <v>41709</v>
      </c>
      <c r="F855" t="s">
        <v>5158</v>
      </c>
      <c r="G855" t="e">
        <f>INDEX(#REF!,MATCH(P855,#REF!,0),1)</f>
        <v>#REF!</v>
      </c>
      <c r="H855" t="s">
        <v>5159</v>
      </c>
      <c r="J855" t="s">
        <v>726</v>
      </c>
      <c r="K855" t="s">
        <v>727</v>
      </c>
      <c r="L855">
        <v>68164</v>
      </c>
      <c r="M855" t="s">
        <v>5160</v>
      </c>
      <c r="N855">
        <v>444</v>
      </c>
      <c r="O855" t="s">
        <v>1593</v>
      </c>
      <c r="P855">
        <v>2339</v>
      </c>
      <c r="Q855" t="s">
        <v>5149</v>
      </c>
      <c r="R855" t="s">
        <v>1597</v>
      </c>
      <c r="S855" t="s">
        <v>1598</v>
      </c>
      <c r="T855" t="s">
        <v>2277</v>
      </c>
      <c r="U855" t="s">
        <v>2278</v>
      </c>
      <c r="V855" t="s">
        <v>1824</v>
      </c>
      <c r="X855" t="s">
        <v>289</v>
      </c>
      <c r="AA855" t="s">
        <v>290</v>
      </c>
      <c r="AG855" t="s">
        <v>48</v>
      </c>
    </row>
    <row r="856" spans="1:33" x14ac:dyDescent="0.3">
      <c r="A856">
        <v>2344</v>
      </c>
      <c r="B856" t="s">
        <v>5161</v>
      </c>
      <c r="C856" t="str">
        <f>""</f>
        <v/>
      </c>
      <c r="D856" t="str">
        <f>"140100600"</f>
        <v>140100600</v>
      </c>
      <c r="E856" s="1">
        <v>34852</v>
      </c>
      <c r="F856" t="s">
        <v>5162</v>
      </c>
      <c r="G856" t="e">
        <f>INDEX(#REF!,MATCH(P856,#REF!,0),1)</f>
        <v>#REF!</v>
      </c>
      <c r="H856" t="s">
        <v>5163</v>
      </c>
      <c r="J856" t="s">
        <v>5164</v>
      </c>
      <c r="K856" t="s">
        <v>2004</v>
      </c>
      <c r="L856" t="str">
        <f>"02478-1048"</f>
        <v>02478-1048</v>
      </c>
      <c r="M856" t="s">
        <v>5165</v>
      </c>
      <c r="N856">
        <v>2598</v>
      </c>
      <c r="O856" t="s">
        <v>2136</v>
      </c>
      <c r="P856">
        <v>2598</v>
      </c>
      <c r="Q856" t="s">
        <v>2136</v>
      </c>
      <c r="R856" t="s">
        <v>2492</v>
      </c>
      <c r="S856" t="s">
        <v>2493</v>
      </c>
      <c r="T856" t="s">
        <v>44</v>
      </c>
      <c r="U856" t="s">
        <v>45</v>
      </c>
      <c r="AE856" t="s">
        <v>72</v>
      </c>
      <c r="AG856" t="s">
        <v>48</v>
      </c>
    </row>
    <row r="857" spans="1:33" x14ac:dyDescent="0.3">
      <c r="A857">
        <v>2345</v>
      </c>
      <c r="B857" t="s">
        <v>5166</v>
      </c>
      <c r="C857" t="str">
        <f>"1100005539549"</f>
        <v>1100005539549</v>
      </c>
      <c r="D857" t="str">
        <f>"520970N00"</f>
        <v>520970N00</v>
      </c>
      <c r="E857" s="1">
        <v>34851</v>
      </c>
      <c r="F857" t="s">
        <v>5167</v>
      </c>
      <c r="G857" t="e">
        <f>INDEX(#REF!,MATCH(P857,#REF!,0),1)</f>
        <v>#REF!</v>
      </c>
      <c r="H857" t="s">
        <v>5168</v>
      </c>
      <c r="J857" t="s">
        <v>5169</v>
      </c>
      <c r="K857" t="s">
        <v>139</v>
      </c>
      <c r="L857" t="s">
        <v>5170</v>
      </c>
      <c r="M857" t="s">
        <v>5171</v>
      </c>
      <c r="N857">
        <v>7585</v>
      </c>
      <c r="O857" t="s">
        <v>433</v>
      </c>
      <c r="P857">
        <v>7585</v>
      </c>
      <c r="Q857" t="s">
        <v>433</v>
      </c>
      <c r="R857" t="s">
        <v>434</v>
      </c>
      <c r="S857" t="s">
        <v>435</v>
      </c>
      <c r="T857" t="s">
        <v>44</v>
      </c>
      <c r="U857" t="s">
        <v>45</v>
      </c>
      <c r="AA857" t="s">
        <v>119</v>
      </c>
      <c r="AE857" t="s">
        <v>120</v>
      </c>
    </row>
    <row r="858" spans="1:33" x14ac:dyDescent="0.3">
      <c r="A858">
        <v>2347</v>
      </c>
      <c r="B858" t="s">
        <v>5172</v>
      </c>
      <c r="C858" t="str">
        <f>""</f>
        <v/>
      </c>
      <c r="D858" t="str">
        <f>"631830L00"</f>
        <v>631830L00</v>
      </c>
      <c r="E858" s="1">
        <v>34851</v>
      </c>
      <c r="F858" t="s">
        <v>5173</v>
      </c>
      <c r="G858" t="e">
        <f>INDEX(#REF!,MATCH(P858,#REF!,0),1)</f>
        <v>#REF!</v>
      </c>
      <c r="H858" t="s">
        <v>5174</v>
      </c>
      <c r="J858" t="s">
        <v>5175</v>
      </c>
      <c r="K858" t="s">
        <v>177</v>
      </c>
      <c r="L858">
        <v>64683</v>
      </c>
      <c r="M858" t="s">
        <v>5176</v>
      </c>
      <c r="N858">
        <v>6104582</v>
      </c>
      <c r="O858" t="s">
        <v>180</v>
      </c>
      <c r="P858">
        <v>3951</v>
      </c>
      <c r="Q858" t="s">
        <v>954</v>
      </c>
      <c r="R858" t="s">
        <v>182</v>
      </c>
      <c r="S858" t="s">
        <v>183</v>
      </c>
      <c r="T858" t="s">
        <v>44</v>
      </c>
      <c r="U858" t="s">
        <v>45</v>
      </c>
      <c r="AD858" t="s">
        <v>94</v>
      </c>
      <c r="AE858" t="s">
        <v>186</v>
      </c>
    </row>
    <row r="859" spans="1:33" x14ac:dyDescent="0.3">
      <c r="A859">
        <v>2348</v>
      </c>
      <c r="B859" t="s">
        <v>5177</v>
      </c>
      <c r="C859" t="str">
        <f>""</f>
        <v/>
      </c>
      <c r="D859" t="str">
        <f>"931730N00"</f>
        <v>931730N00</v>
      </c>
      <c r="E859" s="1">
        <v>44363</v>
      </c>
      <c r="F859" t="s">
        <v>5178</v>
      </c>
      <c r="G859" t="e">
        <f>INDEX(#REF!,MATCH(P859,#REF!,0),1)</f>
        <v>#REF!</v>
      </c>
      <c r="H859" t="s">
        <v>5179</v>
      </c>
      <c r="J859" t="s">
        <v>5180</v>
      </c>
      <c r="K859" t="s">
        <v>88</v>
      </c>
      <c r="L859" t="s">
        <v>5181</v>
      </c>
      <c r="M859" t="s">
        <v>5182</v>
      </c>
      <c r="N859">
        <v>1106500</v>
      </c>
      <c r="O859" t="s">
        <v>5183</v>
      </c>
      <c r="P859">
        <v>1106500</v>
      </c>
      <c r="Q859" t="s">
        <v>5183</v>
      </c>
      <c r="R859" t="s">
        <v>499</v>
      </c>
      <c r="S859" t="s">
        <v>500</v>
      </c>
      <c r="T859" t="s">
        <v>44</v>
      </c>
      <c r="U859" t="s">
        <v>1823</v>
      </c>
    </row>
    <row r="860" spans="1:33" x14ac:dyDescent="0.3">
      <c r="A860">
        <v>2350</v>
      </c>
      <c r="B860" t="s">
        <v>5184</v>
      </c>
      <c r="C860" t="str">
        <f>""</f>
        <v/>
      </c>
      <c r="D860" t="str">
        <f>"410560G00"</f>
        <v>410560G00</v>
      </c>
      <c r="E860" s="1">
        <v>42795</v>
      </c>
      <c r="F860" t="s">
        <v>5185</v>
      </c>
      <c r="G860" t="e">
        <f>INDEX(#REF!,MATCH(P860,#REF!,0),1)</f>
        <v>#REF!</v>
      </c>
      <c r="H860" t="s">
        <v>5186</v>
      </c>
      <c r="J860" t="s">
        <v>991</v>
      </c>
      <c r="K860" t="s">
        <v>37</v>
      </c>
      <c r="L860">
        <v>45219</v>
      </c>
      <c r="M860" t="s">
        <v>5187</v>
      </c>
      <c r="N860">
        <v>2416122</v>
      </c>
      <c r="O860" t="s">
        <v>5188</v>
      </c>
      <c r="P860">
        <v>2416122</v>
      </c>
      <c r="Q860" t="s">
        <v>5188</v>
      </c>
      <c r="R860" t="s">
        <v>711</v>
      </c>
      <c r="S860" t="s">
        <v>712</v>
      </c>
      <c r="T860" t="s">
        <v>44</v>
      </c>
      <c r="U860" t="s">
        <v>45</v>
      </c>
      <c r="AA860" t="s">
        <v>119</v>
      </c>
      <c r="AE860" t="s">
        <v>72</v>
      </c>
      <c r="AG860" t="s">
        <v>48</v>
      </c>
    </row>
    <row r="861" spans="1:33" x14ac:dyDescent="0.3">
      <c r="A861">
        <v>2352</v>
      </c>
      <c r="B861" t="s">
        <v>5189</v>
      </c>
      <c r="C861" t="str">
        <f>""</f>
        <v/>
      </c>
      <c r="D861" t="str">
        <f>"670180M00"</f>
        <v>670180M00</v>
      </c>
      <c r="E861" s="1">
        <v>34851</v>
      </c>
      <c r="F861" t="s">
        <v>5190</v>
      </c>
      <c r="G861" t="e">
        <f>INDEX(#REF!,MATCH(P861,#REF!,0),1)</f>
        <v>#REF!</v>
      </c>
      <c r="H861" t="s">
        <v>5191</v>
      </c>
      <c r="J861" t="s">
        <v>5192</v>
      </c>
      <c r="K861" t="s">
        <v>835</v>
      </c>
      <c r="L861" t="s">
        <v>5193</v>
      </c>
      <c r="M861" t="s">
        <v>5194</v>
      </c>
      <c r="N861">
        <v>2599</v>
      </c>
      <c r="O861" t="s">
        <v>1870</v>
      </c>
      <c r="P861">
        <v>2599</v>
      </c>
      <c r="Q861" t="s">
        <v>1870</v>
      </c>
      <c r="R861" t="s">
        <v>1895</v>
      </c>
      <c r="S861" t="s">
        <v>1896</v>
      </c>
      <c r="T861" t="s">
        <v>44</v>
      </c>
      <c r="U861" t="s">
        <v>45</v>
      </c>
      <c r="AA861" t="s">
        <v>327</v>
      </c>
      <c r="AD861" t="s">
        <v>94</v>
      </c>
      <c r="AE861" t="s">
        <v>1522</v>
      </c>
    </row>
    <row r="862" spans="1:33" x14ac:dyDescent="0.3">
      <c r="A862">
        <v>2355</v>
      </c>
      <c r="B862" t="s">
        <v>5195</v>
      </c>
      <c r="C862" t="str">
        <f>""</f>
        <v/>
      </c>
      <c r="D862" t="str">
        <f>"420700DF3"</f>
        <v>420700DF3</v>
      </c>
      <c r="E862" s="1">
        <v>34881</v>
      </c>
      <c r="F862" t="s">
        <v>5196</v>
      </c>
      <c r="G862" t="e">
        <f>INDEX(#REF!,MATCH(P862,#REF!,0),1)</f>
        <v>#REF!</v>
      </c>
      <c r="H862" t="s">
        <v>5197</v>
      </c>
      <c r="J862" t="s">
        <v>306</v>
      </c>
      <c r="K862" t="s">
        <v>307</v>
      </c>
      <c r="L862">
        <v>46202</v>
      </c>
      <c r="M862" t="s">
        <v>5198</v>
      </c>
      <c r="N862">
        <v>36874</v>
      </c>
      <c r="O862" t="s">
        <v>710</v>
      </c>
      <c r="P862">
        <v>36874</v>
      </c>
      <c r="Q862" t="s">
        <v>710</v>
      </c>
      <c r="R862" t="s">
        <v>711</v>
      </c>
      <c r="S862" t="s">
        <v>712</v>
      </c>
      <c r="T862" t="s">
        <v>44</v>
      </c>
      <c r="U862" t="s">
        <v>81</v>
      </c>
      <c r="AD862" t="s">
        <v>94</v>
      </c>
      <c r="AE862" t="s">
        <v>60</v>
      </c>
      <c r="AG862" t="s">
        <v>48</v>
      </c>
    </row>
    <row r="863" spans="1:33" x14ac:dyDescent="0.3">
      <c r="A863">
        <v>2356</v>
      </c>
      <c r="B863" t="s">
        <v>5199</v>
      </c>
      <c r="C863" t="str">
        <f>""</f>
        <v/>
      </c>
      <c r="D863" t="str">
        <f>"420700D00"</f>
        <v>420700D00</v>
      </c>
      <c r="E863" s="1">
        <v>34881</v>
      </c>
      <c r="F863" t="s">
        <v>5200</v>
      </c>
      <c r="G863" t="e">
        <f>INDEX(#REF!,MATCH(P863,#REF!,0),1)</f>
        <v>#REF!</v>
      </c>
      <c r="H863" t="s">
        <v>5197</v>
      </c>
      <c r="J863" t="s">
        <v>306</v>
      </c>
      <c r="K863" t="s">
        <v>307</v>
      </c>
      <c r="L863" t="s">
        <v>5201</v>
      </c>
      <c r="M863" t="s">
        <v>5202</v>
      </c>
      <c r="N863">
        <v>36874</v>
      </c>
      <c r="O863" t="s">
        <v>710</v>
      </c>
      <c r="P863">
        <v>36874</v>
      </c>
      <c r="Q863" t="s">
        <v>710</v>
      </c>
      <c r="R863" t="s">
        <v>711</v>
      </c>
      <c r="S863" t="s">
        <v>712</v>
      </c>
      <c r="T863" t="s">
        <v>44</v>
      </c>
      <c r="U863" t="s">
        <v>45</v>
      </c>
      <c r="AD863" t="s">
        <v>94</v>
      </c>
      <c r="AE863" t="s">
        <v>60</v>
      </c>
      <c r="AG863" t="s">
        <v>48</v>
      </c>
    </row>
    <row r="864" spans="1:33" x14ac:dyDescent="0.3">
      <c r="A864">
        <v>2357</v>
      </c>
      <c r="B864" t="s">
        <v>5203</v>
      </c>
      <c r="C864" t="str">
        <f>"1100004944092"</f>
        <v>1100004944092</v>
      </c>
      <c r="D864" t="str">
        <f>"LACGYBW00"</f>
        <v>LACGYBW00</v>
      </c>
      <c r="E864" s="1">
        <v>34881</v>
      </c>
      <c r="F864" t="s">
        <v>5204</v>
      </c>
      <c r="G864" t="e">
        <f>INDEX(#REF!,MATCH(P864,#REF!,0),1)</f>
        <v>#REF!</v>
      </c>
      <c r="H864" t="s">
        <v>5205</v>
      </c>
      <c r="J864" t="s">
        <v>306</v>
      </c>
      <c r="K864" t="s">
        <v>307</v>
      </c>
      <c r="L864" t="s">
        <v>5206</v>
      </c>
      <c r="M864" t="s">
        <v>5207</v>
      </c>
      <c r="N864">
        <v>36874</v>
      </c>
      <c r="O864" t="s">
        <v>710</v>
      </c>
      <c r="P864">
        <v>36874</v>
      </c>
      <c r="Q864" t="s">
        <v>710</v>
      </c>
      <c r="R864" t="s">
        <v>3807</v>
      </c>
      <c r="S864" t="s">
        <v>3808</v>
      </c>
      <c r="T864" t="s">
        <v>117</v>
      </c>
      <c r="U864" t="s">
        <v>118</v>
      </c>
      <c r="V864" t="s">
        <v>1824</v>
      </c>
      <c r="AD864" t="s">
        <v>94</v>
      </c>
      <c r="AE864" t="s">
        <v>60</v>
      </c>
      <c r="AG864" t="s">
        <v>48</v>
      </c>
    </row>
    <row r="865" spans="1:33" x14ac:dyDescent="0.3">
      <c r="A865">
        <v>2360</v>
      </c>
      <c r="B865" t="s">
        <v>5208</v>
      </c>
      <c r="C865" t="str">
        <f>"1100003039737"</f>
        <v>1100003039737</v>
      </c>
      <c r="D865" t="str">
        <f>"860170M00"</f>
        <v>860170M00</v>
      </c>
      <c r="E865" s="1">
        <v>42583</v>
      </c>
      <c r="F865" t="s">
        <v>5209</v>
      </c>
      <c r="G865" t="e">
        <f>INDEX(#REF!,MATCH(P865,#REF!,0),1)</f>
        <v>#REF!</v>
      </c>
      <c r="H865" t="s">
        <v>5210</v>
      </c>
      <c r="J865" t="s">
        <v>5211</v>
      </c>
      <c r="K865" t="s">
        <v>577</v>
      </c>
      <c r="L865" t="s">
        <v>5212</v>
      </c>
      <c r="M865" t="s">
        <v>5213</v>
      </c>
      <c r="N865">
        <v>2329</v>
      </c>
      <c r="O865" t="s">
        <v>3395</v>
      </c>
      <c r="P865">
        <v>2329</v>
      </c>
      <c r="Q865" t="s">
        <v>3395</v>
      </c>
      <c r="R865" t="s">
        <v>245</v>
      </c>
      <c r="S865" t="s">
        <v>246</v>
      </c>
      <c r="T865" t="s">
        <v>44</v>
      </c>
      <c r="U865" t="s">
        <v>45</v>
      </c>
    </row>
    <row r="866" spans="1:33" x14ac:dyDescent="0.3">
      <c r="A866">
        <v>2363</v>
      </c>
      <c r="B866" t="s">
        <v>5214</v>
      </c>
      <c r="C866" t="str">
        <f>"1100005870390"</f>
        <v>1100005870390</v>
      </c>
      <c r="D866" t="str">
        <f>"860670R00"</f>
        <v>860670R00</v>
      </c>
      <c r="E866" s="1">
        <v>42583</v>
      </c>
      <c r="F866" t="s">
        <v>5215</v>
      </c>
      <c r="G866" t="e">
        <f>INDEX(#REF!,MATCH(P866,#REF!,0),1)</f>
        <v>#REF!</v>
      </c>
      <c r="H866" t="s">
        <v>5216</v>
      </c>
      <c r="J866" t="s">
        <v>4699</v>
      </c>
      <c r="K866" t="s">
        <v>577</v>
      </c>
      <c r="L866" t="s">
        <v>5217</v>
      </c>
      <c r="M866" t="s">
        <v>5218</v>
      </c>
      <c r="N866">
        <v>2329</v>
      </c>
      <c r="O866" t="s">
        <v>3395</v>
      </c>
      <c r="P866">
        <v>2329</v>
      </c>
      <c r="Q866" t="s">
        <v>3395</v>
      </c>
      <c r="R866" t="s">
        <v>245</v>
      </c>
      <c r="S866" t="s">
        <v>246</v>
      </c>
      <c r="T866" t="s">
        <v>44</v>
      </c>
      <c r="U866" t="s">
        <v>45</v>
      </c>
    </row>
    <row r="867" spans="1:33" x14ac:dyDescent="0.3">
      <c r="A867">
        <v>2364</v>
      </c>
      <c r="B867" t="s">
        <v>5219</v>
      </c>
      <c r="C867" t="str">
        <f>""</f>
        <v/>
      </c>
      <c r="D867" t="str">
        <f>"860360N00"</f>
        <v>860360N00</v>
      </c>
      <c r="E867" s="1">
        <v>42583</v>
      </c>
      <c r="F867" t="s">
        <v>5220</v>
      </c>
      <c r="G867" t="e">
        <f>INDEX(#REF!,MATCH(P867,#REF!,0),1)</f>
        <v>#REF!</v>
      </c>
      <c r="H867" t="s">
        <v>5221</v>
      </c>
      <c r="J867" t="s">
        <v>5222</v>
      </c>
      <c r="K867" t="s">
        <v>577</v>
      </c>
      <c r="L867">
        <v>86040</v>
      </c>
      <c r="M867" t="s">
        <v>5223</v>
      </c>
      <c r="N867">
        <v>2329</v>
      </c>
      <c r="O867" t="s">
        <v>3395</v>
      </c>
      <c r="P867">
        <v>2329</v>
      </c>
      <c r="Q867" t="s">
        <v>3395</v>
      </c>
      <c r="R867" t="s">
        <v>245</v>
      </c>
      <c r="S867" t="s">
        <v>246</v>
      </c>
      <c r="T867" t="s">
        <v>44</v>
      </c>
      <c r="U867" t="s">
        <v>45</v>
      </c>
    </row>
    <row r="868" spans="1:33" x14ac:dyDescent="0.3">
      <c r="A868">
        <v>2365</v>
      </c>
      <c r="B868" t="s">
        <v>5224</v>
      </c>
      <c r="C868" t="str">
        <f>""</f>
        <v/>
      </c>
      <c r="D868" t="str">
        <f>"04X525D00"</f>
        <v>04X525D00</v>
      </c>
      <c r="E868" s="1">
        <v>42583</v>
      </c>
      <c r="F868" t="s">
        <v>5225</v>
      </c>
      <c r="G868" t="e">
        <f>INDEX(#REF!,MATCH(P868,#REF!,0),1)</f>
        <v>#REF!</v>
      </c>
      <c r="H868" t="s">
        <v>5226</v>
      </c>
      <c r="J868" t="s">
        <v>5227</v>
      </c>
      <c r="K868" t="s">
        <v>577</v>
      </c>
      <c r="L868" t="s">
        <v>5228</v>
      </c>
      <c r="M868" t="s">
        <v>5229</v>
      </c>
      <c r="N868">
        <v>2365</v>
      </c>
      <c r="O868" t="s">
        <v>5225</v>
      </c>
      <c r="P868">
        <v>2365</v>
      </c>
      <c r="Q868" t="s">
        <v>5225</v>
      </c>
      <c r="R868" t="s">
        <v>499</v>
      </c>
      <c r="S868" t="s">
        <v>500</v>
      </c>
      <c r="T868" t="s">
        <v>44</v>
      </c>
      <c r="U868" t="s">
        <v>45</v>
      </c>
      <c r="AA868" t="s">
        <v>211</v>
      </c>
    </row>
    <row r="869" spans="1:33" x14ac:dyDescent="0.3">
      <c r="A869">
        <v>2369</v>
      </c>
      <c r="B869" t="s">
        <v>5230</v>
      </c>
      <c r="C869" t="str">
        <f>""</f>
        <v/>
      </c>
      <c r="D869" t="str">
        <f>""</f>
        <v/>
      </c>
      <c r="E869" s="1">
        <v>39002</v>
      </c>
      <c r="F869" t="s">
        <v>5231</v>
      </c>
      <c r="G869" t="e">
        <f>INDEX(#REF!,MATCH(P869,#REF!,0),1)</f>
        <v>#REF!</v>
      </c>
      <c r="H869" t="s">
        <v>5232</v>
      </c>
      <c r="J869" t="s">
        <v>5233</v>
      </c>
      <c r="K869" t="s">
        <v>2127</v>
      </c>
      <c r="L869" t="s">
        <v>5234</v>
      </c>
      <c r="M869" t="s">
        <v>5235</v>
      </c>
      <c r="N869">
        <v>41172</v>
      </c>
      <c r="O869" t="s">
        <v>2130</v>
      </c>
      <c r="P869">
        <v>3080764</v>
      </c>
      <c r="Q869" t="s">
        <v>3350</v>
      </c>
      <c r="R869" t="s">
        <v>1844</v>
      </c>
      <c r="S869" t="s">
        <v>1845</v>
      </c>
      <c r="T869" t="s">
        <v>44</v>
      </c>
      <c r="U869" t="s">
        <v>45</v>
      </c>
      <c r="AC869" t="s">
        <v>538</v>
      </c>
      <c r="AD869" t="s">
        <v>94</v>
      </c>
      <c r="AE869" t="s">
        <v>539</v>
      </c>
    </row>
    <row r="870" spans="1:33" x14ac:dyDescent="0.3">
      <c r="A870">
        <v>2371</v>
      </c>
      <c r="B870" t="s">
        <v>5236</v>
      </c>
      <c r="C870" t="str">
        <f>"1100005705548"</f>
        <v>1100005705548</v>
      </c>
      <c r="D870" t="str">
        <f>"IGG03S900"</f>
        <v>IGG03S900</v>
      </c>
      <c r="E870" s="1">
        <v>34851</v>
      </c>
      <c r="F870" t="s">
        <v>5237</v>
      </c>
      <c r="G870" t="e">
        <f>INDEX(#REF!,MATCH(P870,#REF!,0),1)</f>
        <v>#REF!</v>
      </c>
      <c r="H870" t="s">
        <v>5238</v>
      </c>
      <c r="J870" t="s">
        <v>371</v>
      </c>
      <c r="K870" t="s">
        <v>167</v>
      </c>
      <c r="L870" t="s">
        <v>5239</v>
      </c>
      <c r="M870" t="s">
        <v>5240</v>
      </c>
      <c r="N870">
        <v>75245</v>
      </c>
      <c r="O870" t="s">
        <v>1020</v>
      </c>
      <c r="P870">
        <v>785750</v>
      </c>
      <c r="Q870" t="s">
        <v>5241</v>
      </c>
      <c r="R870" t="s">
        <v>1021</v>
      </c>
      <c r="S870" t="s">
        <v>1022</v>
      </c>
      <c r="T870" t="s">
        <v>44</v>
      </c>
      <c r="U870" t="s">
        <v>45</v>
      </c>
      <c r="AA870" t="s">
        <v>119</v>
      </c>
      <c r="AE870" t="s">
        <v>120</v>
      </c>
      <c r="AG870" t="s">
        <v>48</v>
      </c>
    </row>
    <row r="871" spans="1:33" x14ac:dyDescent="0.3">
      <c r="A871">
        <v>2375</v>
      </c>
      <c r="B871" t="s">
        <v>5242</v>
      </c>
      <c r="C871" t="str">
        <f>"1100005983656"</f>
        <v>1100005983656</v>
      </c>
      <c r="D871" t="str">
        <f>"U3EA8SL00"</f>
        <v>U3EA8SL00</v>
      </c>
      <c r="E871" s="1">
        <v>35309</v>
      </c>
      <c r="F871" t="s">
        <v>5243</v>
      </c>
      <c r="G871" t="e">
        <f>INDEX(#REF!,MATCH(P871,#REF!,0),1)</f>
        <v>#REF!</v>
      </c>
      <c r="H871" t="s">
        <v>5244</v>
      </c>
      <c r="J871" t="s">
        <v>5245</v>
      </c>
      <c r="K871" t="s">
        <v>283</v>
      </c>
      <c r="L871" t="s">
        <v>5246</v>
      </c>
      <c r="M871" t="s">
        <v>5247</v>
      </c>
      <c r="N871">
        <v>559</v>
      </c>
      <c r="O871" t="s">
        <v>2041</v>
      </c>
      <c r="P871">
        <v>3834</v>
      </c>
      <c r="Q871" t="s">
        <v>4510</v>
      </c>
      <c r="R871" t="s">
        <v>3864</v>
      </c>
      <c r="S871" t="s">
        <v>3865</v>
      </c>
      <c r="T871" t="s">
        <v>2277</v>
      </c>
      <c r="U871" t="s">
        <v>2278</v>
      </c>
      <c r="V871" t="s">
        <v>1824</v>
      </c>
      <c r="AD871" t="s">
        <v>94</v>
      </c>
      <c r="AE871" t="s">
        <v>120</v>
      </c>
    </row>
    <row r="872" spans="1:33" x14ac:dyDescent="0.3">
      <c r="A872">
        <v>2378</v>
      </c>
      <c r="B872" t="s">
        <v>5248</v>
      </c>
      <c r="C872" t="str">
        <f>""</f>
        <v/>
      </c>
      <c r="D872" t="str">
        <f>"G21F5GJ00"</f>
        <v>G21F5GJ00</v>
      </c>
      <c r="E872" s="1">
        <v>31396</v>
      </c>
      <c r="F872" t="s">
        <v>1987</v>
      </c>
      <c r="G872" t="e">
        <f>INDEX(#REF!,MATCH(P872,#REF!,0),1)</f>
        <v>#REF!</v>
      </c>
      <c r="H872" t="s">
        <v>1983</v>
      </c>
      <c r="J872" t="s">
        <v>1984</v>
      </c>
      <c r="K872" t="s">
        <v>1109</v>
      </c>
      <c r="L872" t="str">
        <f>"06810"</f>
        <v>06810</v>
      </c>
      <c r="M872" t="s">
        <v>5249</v>
      </c>
      <c r="N872">
        <v>3500897</v>
      </c>
      <c r="O872" t="s">
        <v>1986</v>
      </c>
      <c r="P872">
        <v>3500897</v>
      </c>
      <c r="Q872" t="s">
        <v>1986</v>
      </c>
      <c r="R872" t="s">
        <v>277</v>
      </c>
      <c r="S872" t="s">
        <v>278</v>
      </c>
      <c r="T872" t="s">
        <v>44</v>
      </c>
      <c r="U872" t="s">
        <v>81</v>
      </c>
      <c r="AA872" t="s">
        <v>58</v>
      </c>
      <c r="AE872" t="s">
        <v>60</v>
      </c>
    </row>
    <row r="873" spans="1:33" x14ac:dyDescent="0.3">
      <c r="A873">
        <v>2379</v>
      </c>
      <c r="B873" t="s">
        <v>5250</v>
      </c>
      <c r="C873" t="str">
        <f>"1100003865183"</f>
        <v>1100003865183</v>
      </c>
      <c r="D873" t="str">
        <f>"230180E00"</f>
        <v>230180E00</v>
      </c>
      <c r="E873" s="1">
        <v>42583</v>
      </c>
      <c r="F873" t="s">
        <v>5251</v>
      </c>
      <c r="G873" t="e">
        <f>INDEX(#REF!,MATCH(P873,#REF!,0),1)</f>
        <v>#REF!</v>
      </c>
      <c r="H873" t="s">
        <v>5252</v>
      </c>
      <c r="J873" t="s">
        <v>5253</v>
      </c>
      <c r="K873" t="s">
        <v>65</v>
      </c>
      <c r="L873">
        <v>15009</v>
      </c>
      <c r="M873" t="s">
        <v>5254</v>
      </c>
      <c r="N873">
        <v>866167</v>
      </c>
      <c r="O873" t="s">
        <v>938</v>
      </c>
      <c r="P873">
        <v>3601</v>
      </c>
      <c r="Q873" t="s">
        <v>939</v>
      </c>
      <c r="R873" t="s">
        <v>940</v>
      </c>
      <c r="S873" t="s">
        <v>941</v>
      </c>
      <c r="T873" t="s">
        <v>44</v>
      </c>
      <c r="U873" t="s">
        <v>45</v>
      </c>
    </row>
    <row r="874" spans="1:33" x14ac:dyDescent="0.3">
      <c r="A874">
        <v>2380</v>
      </c>
      <c r="B874" t="s">
        <v>5255</v>
      </c>
      <c r="C874" t="str">
        <f>""</f>
        <v/>
      </c>
      <c r="D874" t="str">
        <f>"850160K00"</f>
        <v>850160K00</v>
      </c>
      <c r="E874" s="1">
        <v>36039</v>
      </c>
      <c r="F874" t="s">
        <v>5256</v>
      </c>
      <c r="G874" t="e">
        <f>INDEX(#REF!,MATCH(P874,#REF!,0),1)</f>
        <v>#REF!</v>
      </c>
      <c r="H874" t="s">
        <v>5257</v>
      </c>
      <c r="J874" t="s">
        <v>5258</v>
      </c>
      <c r="K874" t="s">
        <v>5259</v>
      </c>
      <c r="L874">
        <v>87106</v>
      </c>
      <c r="M874" t="s">
        <v>5260</v>
      </c>
      <c r="N874">
        <v>3249013</v>
      </c>
      <c r="O874" t="s">
        <v>5261</v>
      </c>
      <c r="P874">
        <v>3249013</v>
      </c>
      <c r="Q874" t="s">
        <v>5261</v>
      </c>
      <c r="R874" t="s">
        <v>1029</v>
      </c>
      <c r="S874" t="s">
        <v>1030</v>
      </c>
      <c r="T874" t="s">
        <v>44</v>
      </c>
      <c r="U874" t="s">
        <v>45</v>
      </c>
      <c r="AD874" t="s">
        <v>94</v>
      </c>
      <c r="AG874" t="s">
        <v>48</v>
      </c>
    </row>
    <row r="875" spans="1:33" x14ac:dyDescent="0.3">
      <c r="A875">
        <v>2381</v>
      </c>
      <c r="B875" t="s">
        <v>5262</v>
      </c>
      <c r="C875" t="str">
        <f>""</f>
        <v/>
      </c>
      <c r="D875" t="str">
        <f>"432050E00"</f>
        <v>432050E00</v>
      </c>
      <c r="E875" s="1">
        <v>34881</v>
      </c>
      <c r="F875" t="s">
        <v>5263</v>
      </c>
      <c r="G875" t="e">
        <f>INDEX(#REF!,MATCH(P875,#REF!,0),1)</f>
        <v>#REF!</v>
      </c>
      <c r="H875" t="s">
        <v>5264</v>
      </c>
      <c r="J875" t="s">
        <v>5265</v>
      </c>
      <c r="K875" t="s">
        <v>342</v>
      </c>
      <c r="L875" t="s">
        <v>5266</v>
      </c>
      <c r="M875" t="s">
        <v>5267</v>
      </c>
      <c r="N875">
        <v>108</v>
      </c>
      <c r="O875" t="s">
        <v>450</v>
      </c>
      <c r="P875">
        <v>108</v>
      </c>
      <c r="Q875" t="s">
        <v>450</v>
      </c>
      <c r="R875" t="s">
        <v>346</v>
      </c>
      <c r="S875" t="s">
        <v>347</v>
      </c>
      <c r="T875" t="s">
        <v>44</v>
      </c>
      <c r="U875" t="s">
        <v>45</v>
      </c>
      <c r="AA875" t="s">
        <v>105</v>
      </c>
      <c r="AE875" t="s">
        <v>348</v>
      </c>
    </row>
    <row r="876" spans="1:33" x14ac:dyDescent="0.3">
      <c r="A876">
        <v>2382</v>
      </c>
      <c r="B876" t="s">
        <v>5268</v>
      </c>
      <c r="C876" t="str">
        <f>""</f>
        <v/>
      </c>
      <c r="D876" t="str">
        <f>"432190J00"</f>
        <v>432190J00</v>
      </c>
      <c r="E876" s="1">
        <v>44882</v>
      </c>
      <c r="F876" t="s">
        <v>5269</v>
      </c>
      <c r="G876" t="e">
        <f>INDEX(#REF!,MATCH(P876,#REF!,0),1)</f>
        <v>#REF!</v>
      </c>
      <c r="H876" t="s">
        <v>5270</v>
      </c>
      <c r="J876" t="s">
        <v>5271</v>
      </c>
      <c r="K876" t="s">
        <v>342</v>
      </c>
      <c r="L876" t="s">
        <v>5272</v>
      </c>
      <c r="M876" t="s">
        <v>5273</v>
      </c>
      <c r="N876">
        <v>2382</v>
      </c>
      <c r="O876" t="s">
        <v>5269</v>
      </c>
      <c r="P876">
        <v>2382</v>
      </c>
      <c r="Q876" t="s">
        <v>5269</v>
      </c>
      <c r="R876" t="s">
        <v>245</v>
      </c>
      <c r="S876" t="s">
        <v>246</v>
      </c>
      <c r="T876" t="s">
        <v>44</v>
      </c>
      <c r="U876" t="s">
        <v>45</v>
      </c>
    </row>
    <row r="877" spans="1:33" x14ac:dyDescent="0.3">
      <c r="A877">
        <v>2383</v>
      </c>
      <c r="B877" t="s">
        <v>5274</v>
      </c>
      <c r="C877" t="str">
        <f>""</f>
        <v/>
      </c>
      <c r="D877" t="str">
        <f>"350640I00"</f>
        <v>350640I00</v>
      </c>
      <c r="E877" s="1">
        <v>44470</v>
      </c>
      <c r="F877" t="s">
        <v>5275</v>
      </c>
      <c r="G877" t="e">
        <f>INDEX(#REF!,MATCH(P877,#REF!,0),1)</f>
        <v>#REF!</v>
      </c>
      <c r="H877" t="s">
        <v>5276</v>
      </c>
      <c r="J877" t="s">
        <v>5277</v>
      </c>
      <c r="K877" t="s">
        <v>235</v>
      </c>
      <c r="L877">
        <v>25271</v>
      </c>
      <c r="M877" t="s">
        <v>5278</v>
      </c>
      <c r="N877">
        <v>2383</v>
      </c>
      <c r="O877" t="s">
        <v>5275</v>
      </c>
      <c r="P877">
        <v>2383</v>
      </c>
      <c r="Q877" t="s">
        <v>5275</v>
      </c>
      <c r="R877" t="s">
        <v>237</v>
      </c>
      <c r="S877" t="s">
        <v>238</v>
      </c>
      <c r="T877" t="s">
        <v>44</v>
      </c>
      <c r="U877" t="s">
        <v>45</v>
      </c>
      <c r="AA877" t="s">
        <v>211</v>
      </c>
    </row>
    <row r="878" spans="1:33" x14ac:dyDescent="0.3">
      <c r="A878">
        <v>2384</v>
      </c>
      <c r="B878" t="s">
        <v>5279</v>
      </c>
      <c r="C878" t="str">
        <f>""</f>
        <v/>
      </c>
      <c r="D878" t="str">
        <f>"520020900"</f>
        <v>520020900</v>
      </c>
      <c r="E878" s="1">
        <v>42583</v>
      </c>
      <c r="F878" t="s">
        <v>5280</v>
      </c>
      <c r="G878" t="e">
        <f>INDEX(#REF!,MATCH(P878,#REF!,0),1)</f>
        <v>#REF!</v>
      </c>
      <c r="H878" t="s">
        <v>5281</v>
      </c>
      <c r="J878" t="s">
        <v>5282</v>
      </c>
      <c r="K878" t="s">
        <v>139</v>
      </c>
      <c r="L878" t="s">
        <v>5283</v>
      </c>
      <c r="M878" t="s">
        <v>5284</v>
      </c>
      <c r="N878">
        <v>1592</v>
      </c>
      <c r="O878" t="s">
        <v>3897</v>
      </c>
      <c r="P878">
        <v>1592</v>
      </c>
      <c r="Q878" t="s">
        <v>3897</v>
      </c>
      <c r="R878" t="s">
        <v>1092</v>
      </c>
      <c r="S878" t="s">
        <v>1093</v>
      </c>
      <c r="T878" t="s">
        <v>44</v>
      </c>
      <c r="U878" t="s">
        <v>45</v>
      </c>
      <c r="AA878" t="s">
        <v>93</v>
      </c>
      <c r="AE878" t="s">
        <v>220</v>
      </c>
    </row>
    <row r="879" spans="1:33" x14ac:dyDescent="0.3">
      <c r="A879">
        <v>2385</v>
      </c>
      <c r="B879" t="s">
        <v>5285</v>
      </c>
      <c r="C879" t="str">
        <f>"1100002640255"</f>
        <v>1100002640255</v>
      </c>
      <c r="D879" t="str">
        <f>"631360J00"</f>
        <v>631360J00</v>
      </c>
      <c r="E879" s="1">
        <v>34881</v>
      </c>
      <c r="F879" t="s">
        <v>5286</v>
      </c>
      <c r="G879" t="e">
        <f>INDEX(#REF!,MATCH(P879,#REF!,0),1)</f>
        <v>#REF!</v>
      </c>
      <c r="H879" t="s">
        <v>5287</v>
      </c>
      <c r="J879" t="s">
        <v>5288</v>
      </c>
      <c r="K879" t="s">
        <v>177</v>
      </c>
      <c r="L879" t="s">
        <v>5289</v>
      </c>
      <c r="M879" t="s">
        <v>5290</v>
      </c>
      <c r="N879">
        <v>2385</v>
      </c>
      <c r="O879" t="s">
        <v>5286</v>
      </c>
      <c r="P879">
        <v>2385</v>
      </c>
      <c r="Q879" t="s">
        <v>5286</v>
      </c>
      <c r="R879" t="s">
        <v>1309</v>
      </c>
      <c r="S879" t="s">
        <v>1310</v>
      </c>
      <c r="T879" t="s">
        <v>44</v>
      </c>
      <c r="U879" t="s">
        <v>45</v>
      </c>
      <c r="AA879" t="s">
        <v>105</v>
      </c>
      <c r="AE879" t="s">
        <v>1522</v>
      </c>
    </row>
    <row r="880" spans="1:33" x14ac:dyDescent="0.3">
      <c r="A880">
        <v>2386</v>
      </c>
      <c r="B880" t="s">
        <v>5291</v>
      </c>
      <c r="C880" t="str">
        <f>""</f>
        <v/>
      </c>
      <c r="D880" t="str">
        <f>"7GC25W200"</f>
        <v>7GC25W200</v>
      </c>
      <c r="E880" s="1">
        <v>34881</v>
      </c>
      <c r="F880" t="s">
        <v>5292</v>
      </c>
      <c r="G880" t="e">
        <f>INDEX(#REF!,MATCH(P880,#REF!,0),1)</f>
        <v>#REF!</v>
      </c>
      <c r="H880" t="s">
        <v>5293</v>
      </c>
      <c r="J880" t="s">
        <v>110</v>
      </c>
      <c r="K880" t="s">
        <v>111</v>
      </c>
      <c r="L880" t="s">
        <v>5294</v>
      </c>
      <c r="M880" t="s">
        <v>5295</v>
      </c>
      <c r="N880">
        <v>28</v>
      </c>
      <c r="O880" t="s">
        <v>114</v>
      </c>
      <c r="P880">
        <v>28</v>
      </c>
      <c r="Q880" t="s">
        <v>114</v>
      </c>
      <c r="R880" t="s">
        <v>4838</v>
      </c>
      <c r="S880" t="s">
        <v>4839</v>
      </c>
      <c r="T880" t="s">
        <v>4245</v>
      </c>
      <c r="U880" t="s">
        <v>4832</v>
      </c>
      <c r="V880" t="s">
        <v>1824</v>
      </c>
      <c r="AA880" t="s">
        <v>119</v>
      </c>
      <c r="AE880" t="s">
        <v>120</v>
      </c>
    </row>
    <row r="881" spans="1:33" x14ac:dyDescent="0.3">
      <c r="A881">
        <v>2388</v>
      </c>
      <c r="B881" t="s">
        <v>5296</v>
      </c>
      <c r="C881" t="str">
        <f>""</f>
        <v/>
      </c>
      <c r="D881" t="str">
        <f>"D7KQ0VP00"</f>
        <v>D7KQ0VP00</v>
      </c>
      <c r="E881" s="1">
        <v>34881</v>
      </c>
      <c r="F881" t="s">
        <v>5297</v>
      </c>
      <c r="G881" t="e">
        <f>INDEX(#REF!,MATCH(P881,#REF!,0),1)</f>
        <v>#REF!</v>
      </c>
      <c r="H881" t="s">
        <v>5298</v>
      </c>
      <c r="J881" t="s">
        <v>543</v>
      </c>
      <c r="K881" t="s">
        <v>125</v>
      </c>
      <c r="L881" t="s">
        <v>5299</v>
      </c>
      <c r="M881" t="s">
        <v>5300</v>
      </c>
      <c r="N881">
        <v>952385</v>
      </c>
      <c r="O881" t="s">
        <v>1784</v>
      </c>
      <c r="P881">
        <v>81141</v>
      </c>
      <c r="Q881" t="s">
        <v>114</v>
      </c>
      <c r="R881" t="s">
        <v>4838</v>
      </c>
      <c r="S881" t="s">
        <v>4839</v>
      </c>
      <c r="T881" t="s">
        <v>117</v>
      </c>
      <c r="U881" t="s">
        <v>2479</v>
      </c>
      <c r="V881" t="s">
        <v>1824</v>
      </c>
      <c r="AA881" t="s">
        <v>105</v>
      </c>
      <c r="AE881" t="s">
        <v>72</v>
      </c>
      <c r="AG881" t="s">
        <v>48</v>
      </c>
    </row>
    <row r="882" spans="1:33" x14ac:dyDescent="0.3">
      <c r="A882">
        <v>2389</v>
      </c>
      <c r="B882" t="s">
        <v>5301</v>
      </c>
      <c r="C882" t="str">
        <f>"1100004931979"</f>
        <v>1100004931979</v>
      </c>
      <c r="D882" t="str">
        <f>"OMXP9TY00"</f>
        <v>OMXP9TY00</v>
      </c>
      <c r="E882" s="1">
        <v>34881</v>
      </c>
      <c r="F882" t="s">
        <v>5302</v>
      </c>
      <c r="G882" t="e">
        <f>INDEX(#REF!,MATCH(P882,#REF!,0),1)</f>
        <v>#REF!</v>
      </c>
      <c r="H882" t="s">
        <v>5303</v>
      </c>
      <c r="J882" t="s">
        <v>543</v>
      </c>
      <c r="K882" t="s">
        <v>125</v>
      </c>
      <c r="L882">
        <v>36116</v>
      </c>
      <c r="M882" t="s">
        <v>5300</v>
      </c>
      <c r="N882">
        <v>952385</v>
      </c>
      <c r="O882" t="s">
        <v>1784</v>
      </c>
      <c r="P882">
        <v>2388</v>
      </c>
      <c r="Q882" t="s">
        <v>5297</v>
      </c>
      <c r="R882" t="s">
        <v>4838</v>
      </c>
      <c r="S882" t="s">
        <v>4839</v>
      </c>
      <c r="T882" t="s">
        <v>2140</v>
      </c>
      <c r="U882" t="s">
        <v>2141</v>
      </c>
      <c r="V882" t="s">
        <v>1824</v>
      </c>
      <c r="AA882" t="s">
        <v>105</v>
      </c>
      <c r="AG882" t="s">
        <v>48</v>
      </c>
    </row>
    <row r="883" spans="1:33" x14ac:dyDescent="0.3">
      <c r="A883">
        <v>2393</v>
      </c>
      <c r="B883" t="s">
        <v>5304</v>
      </c>
      <c r="C883" t="str">
        <f>"1100002520496"</f>
        <v>1100002520496</v>
      </c>
      <c r="D883" t="str">
        <f>"RYTDSE1F0"</f>
        <v>RYTDSE1F0</v>
      </c>
      <c r="E883" s="1">
        <v>34881</v>
      </c>
      <c r="F883" t="s">
        <v>5305</v>
      </c>
      <c r="G883" t="e">
        <f>INDEX(#REF!,MATCH(P883,#REF!,0),1)</f>
        <v>#REF!</v>
      </c>
      <c r="H883" t="s">
        <v>5306</v>
      </c>
      <c r="J883" t="s">
        <v>726</v>
      </c>
      <c r="K883" t="s">
        <v>727</v>
      </c>
      <c r="L883" t="s">
        <v>5307</v>
      </c>
      <c r="M883" t="s">
        <v>5308</v>
      </c>
      <c r="N883">
        <v>908</v>
      </c>
      <c r="O883" t="s">
        <v>730</v>
      </c>
      <c r="P883">
        <v>26846</v>
      </c>
      <c r="Q883" t="s">
        <v>4530</v>
      </c>
      <c r="R883" t="s">
        <v>3139</v>
      </c>
      <c r="S883" t="s">
        <v>3140</v>
      </c>
      <c r="T883" t="s">
        <v>2277</v>
      </c>
      <c r="U883" t="s">
        <v>2278</v>
      </c>
      <c r="V883" t="s">
        <v>1824</v>
      </c>
      <c r="AA883" t="s">
        <v>327</v>
      </c>
      <c r="AD883" t="s">
        <v>94</v>
      </c>
      <c r="AE883" t="s">
        <v>348</v>
      </c>
    </row>
    <row r="884" spans="1:33" x14ac:dyDescent="0.3">
      <c r="A884">
        <v>2398</v>
      </c>
      <c r="B884" t="s">
        <v>5309</v>
      </c>
      <c r="C884" t="str">
        <f>"1100002106447"</f>
        <v>1100002106447</v>
      </c>
      <c r="D884" t="str">
        <f>"GG8X72A00"</f>
        <v>GG8X72A00</v>
      </c>
      <c r="E884" s="1">
        <v>34881</v>
      </c>
      <c r="F884" t="s">
        <v>5310</v>
      </c>
      <c r="G884" t="e">
        <f>INDEX(#REF!,MATCH(P884,#REF!,0),1)</f>
        <v>#REF!</v>
      </c>
      <c r="H884" t="s">
        <v>5311</v>
      </c>
      <c r="J884" t="s">
        <v>726</v>
      </c>
      <c r="K884" t="s">
        <v>727</v>
      </c>
      <c r="L884" t="s">
        <v>5312</v>
      </c>
      <c r="M884" t="s">
        <v>5313</v>
      </c>
      <c r="N884">
        <v>908</v>
      </c>
      <c r="O884" t="s">
        <v>730</v>
      </c>
      <c r="P884">
        <v>26846</v>
      </c>
      <c r="Q884" t="s">
        <v>4530</v>
      </c>
      <c r="R884" t="s">
        <v>3139</v>
      </c>
      <c r="S884" t="s">
        <v>3140</v>
      </c>
      <c r="T884" t="s">
        <v>2277</v>
      </c>
      <c r="U884" t="s">
        <v>2278</v>
      </c>
      <c r="V884" t="s">
        <v>1824</v>
      </c>
      <c r="AA884" t="s">
        <v>327</v>
      </c>
      <c r="AD884" t="s">
        <v>94</v>
      </c>
      <c r="AE884" t="s">
        <v>348</v>
      </c>
    </row>
    <row r="885" spans="1:33" x14ac:dyDescent="0.3">
      <c r="A885">
        <v>2400</v>
      </c>
      <c r="B885" t="s">
        <v>5314</v>
      </c>
      <c r="C885" t="str">
        <f>"1100004373779"</f>
        <v>1100004373779</v>
      </c>
      <c r="D885" t="str">
        <f>"GF808P000"</f>
        <v>GF808P000</v>
      </c>
      <c r="E885" s="1">
        <v>34881</v>
      </c>
      <c r="F885" t="s">
        <v>5315</v>
      </c>
      <c r="G885" t="e">
        <f>INDEX(#REF!,MATCH(P885,#REF!,0),1)</f>
        <v>#REF!</v>
      </c>
      <c r="H885" t="s">
        <v>5316</v>
      </c>
      <c r="J885" t="s">
        <v>726</v>
      </c>
      <c r="K885" t="s">
        <v>727</v>
      </c>
      <c r="L885">
        <v>68134</v>
      </c>
      <c r="M885" t="s">
        <v>5317</v>
      </c>
      <c r="N885">
        <v>908</v>
      </c>
      <c r="O885" t="s">
        <v>730</v>
      </c>
      <c r="P885">
        <v>26846</v>
      </c>
      <c r="Q885" t="s">
        <v>4530</v>
      </c>
      <c r="R885" t="s">
        <v>3139</v>
      </c>
      <c r="S885" t="s">
        <v>3140</v>
      </c>
      <c r="T885" t="s">
        <v>2277</v>
      </c>
      <c r="U885" t="s">
        <v>2278</v>
      </c>
      <c r="V885" t="s">
        <v>1824</v>
      </c>
      <c r="AA885" t="s">
        <v>327</v>
      </c>
      <c r="AD885" t="s">
        <v>94</v>
      </c>
      <c r="AE885" t="s">
        <v>348</v>
      </c>
    </row>
    <row r="886" spans="1:33" x14ac:dyDescent="0.3">
      <c r="A886">
        <v>2402</v>
      </c>
      <c r="B886" t="s">
        <v>5318</v>
      </c>
      <c r="C886" t="str">
        <f>""</f>
        <v/>
      </c>
      <c r="D886" t="str">
        <f>"99CRVL100"</f>
        <v>99CRVL100</v>
      </c>
      <c r="E886" s="1">
        <v>34881</v>
      </c>
      <c r="F886" t="s">
        <v>5319</v>
      </c>
      <c r="G886" t="e">
        <f>INDEX(#REF!,MATCH(P886,#REF!,0),1)</f>
        <v>#REF!</v>
      </c>
      <c r="H886" t="s">
        <v>5320</v>
      </c>
      <c r="J886" t="s">
        <v>5321</v>
      </c>
      <c r="K886" t="s">
        <v>1603</v>
      </c>
      <c r="L886">
        <v>51534</v>
      </c>
      <c r="M886" t="s">
        <v>5322</v>
      </c>
      <c r="N886">
        <v>908</v>
      </c>
      <c r="O886" t="s">
        <v>730</v>
      </c>
      <c r="P886">
        <v>26846</v>
      </c>
      <c r="Q886" t="s">
        <v>4530</v>
      </c>
      <c r="R886" t="s">
        <v>3139</v>
      </c>
      <c r="S886" t="s">
        <v>3140</v>
      </c>
      <c r="T886" t="s">
        <v>2277</v>
      </c>
      <c r="U886" t="s">
        <v>2278</v>
      </c>
      <c r="V886" t="s">
        <v>1824</v>
      </c>
      <c r="AA886" t="s">
        <v>327</v>
      </c>
      <c r="AD886" t="s">
        <v>94</v>
      </c>
      <c r="AE886" t="s">
        <v>348</v>
      </c>
    </row>
    <row r="887" spans="1:33" x14ac:dyDescent="0.3">
      <c r="A887">
        <v>2411</v>
      </c>
      <c r="B887" t="s">
        <v>5323</v>
      </c>
      <c r="C887" t="str">
        <f>""</f>
        <v/>
      </c>
      <c r="D887" t="str">
        <f>"5ETD1KA00"</f>
        <v>5ETD1KA00</v>
      </c>
      <c r="E887" s="1">
        <v>40909</v>
      </c>
      <c r="F887" t="s">
        <v>5324</v>
      </c>
      <c r="G887" t="e">
        <f>INDEX(#REF!,MATCH(P887,#REF!,0),1)</f>
        <v>#REF!</v>
      </c>
      <c r="H887" t="s">
        <v>5325</v>
      </c>
      <c r="J887" t="s">
        <v>5326</v>
      </c>
      <c r="K887" t="s">
        <v>835</v>
      </c>
      <c r="L887" t="s">
        <v>5327</v>
      </c>
      <c r="M887" t="s">
        <v>5328</v>
      </c>
      <c r="N887">
        <v>2411</v>
      </c>
      <c r="O887" t="s">
        <v>5324</v>
      </c>
      <c r="P887">
        <v>2411</v>
      </c>
      <c r="Q887" t="s">
        <v>5324</v>
      </c>
      <c r="R887" t="s">
        <v>5329</v>
      </c>
      <c r="S887" t="s">
        <v>5330</v>
      </c>
      <c r="T887" t="s">
        <v>2214</v>
      </c>
      <c r="U887" t="s">
        <v>2552</v>
      </c>
      <c r="V887" t="s">
        <v>2215</v>
      </c>
    </row>
    <row r="888" spans="1:33" x14ac:dyDescent="0.3">
      <c r="A888">
        <v>2412</v>
      </c>
      <c r="B888" t="s">
        <v>5331</v>
      </c>
      <c r="C888" t="str">
        <f>""</f>
        <v/>
      </c>
      <c r="D888" t="str">
        <f>"20YA06G00"</f>
        <v>20YA06G00</v>
      </c>
      <c r="E888" s="1">
        <v>40909</v>
      </c>
      <c r="F888" t="s">
        <v>5332</v>
      </c>
      <c r="G888" t="e">
        <f>INDEX(#REF!,MATCH(P888,#REF!,0),1)</f>
        <v>#REF!</v>
      </c>
      <c r="H888" t="s">
        <v>5333</v>
      </c>
      <c r="J888" t="s">
        <v>5334</v>
      </c>
      <c r="K888" t="s">
        <v>835</v>
      </c>
      <c r="L888" t="s">
        <v>5335</v>
      </c>
      <c r="M888" t="s">
        <v>5336</v>
      </c>
      <c r="N888">
        <v>2411</v>
      </c>
      <c r="O888" t="s">
        <v>5324</v>
      </c>
      <c r="P888">
        <v>2411</v>
      </c>
      <c r="Q888" t="s">
        <v>5324</v>
      </c>
      <c r="R888" t="s">
        <v>5329</v>
      </c>
      <c r="S888" t="s">
        <v>5330</v>
      </c>
      <c r="T888" t="s">
        <v>2214</v>
      </c>
      <c r="U888" t="s">
        <v>2552</v>
      </c>
      <c r="V888" t="s">
        <v>2215</v>
      </c>
    </row>
    <row r="889" spans="1:33" x14ac:dyDescent="0.3">
      <c r="A889">
        <v>2413</v>
      </c>
      <c r="B889" t="s">
        <v>5337</v>
      </c>
      <c r="C889" t="str">
        <f>""</f>
        <v/>
      </c>
      <c r="D889" t="str">
        <f>"20XLAHB00"</f>
        <v>20XLAHB00</v>
      </c>
      <c r="E889" s="1">
        <v>40909</v>
      </c>
      <c r="F889" t="s">
        <v>5338</v>
      </c>
      <c r="G889" t="e">
        <f>INDEX(#REF!,MATCH(P889,#REF!,0),1)</f>
        <v>#REF!</v>
      </c>
      <c r="H889" t="s">
        <v>5339</v>
      </c>
      <c r="J889" t="s">
        <v>5192</v>
      </c>
      <c r="K889" t="s">
        <v>835</v>
      </c>
      <c r="L889" t="s">
        <v>5340</v>
      </c>
      <c r="M889" t="s">
        <v>5341</v>
      </c>
      <c r="N889">
        <v>2411</v>
      </c>
      <c r="O889" t="s">
        <v>5324</v>
      </c>
      <c r="P889">
        <v>2411</v>
      </c>
      <c r="Q889" t="s">
        <v>5324</v>
      </c>
      <c r="R889" t="s">
        <v>5329</v>
      </c>
      <c r="S889" t="s">
        <v>5330</v>
      </c>
      <c r="T889" t="s">
        <v>2214</v>
      </c>
      <c r="U889" t="s">
        <v>2552</v>
      </c>
      <c r="V889" t="s">
        <v>2215</v>
      </c>
    </row>
    <row r="890" spans="1:33" x14ac:dyDescent="0.3">
      <c r="A890">
        <v>2414</v>
      </c>
      <c r="B890" t="s">
        <v>5342</v>
      </c>
      <c r="C890" t="str">
        <f>""</f>
        <v/>
      </c>
      <c r="D890" t="str">
        <f>"202NHJR00"</f>
        <v>202NHJR00</v>
      </c>
      <c r="E890" s="1">
        <v>40909</v>
      </c>
      <c r="F890" t="s">
        <v>5343</v>
      </c>
      <c r="G890" t="e">
        <f>INDEX(#REF!,MATCH(P890,#REF!,0),1)</f>
        <v>#REF!</v>
      </c>
      <c r="H890" t="s">
        <v>5344</v>
      </c>
      <c r="J890" t="s">
        <v>5345</v>
      </c>
      <c r="K890" t="s">
        <v>835</v>
      </c>
      <c r="L890" t="s">
        <v>5346</v>
      </c>
      <c r="M890" t="s">
        <v>5347</v>
      </c>
      <c r="N890">
        <v>2411</v>
      </c>
      <c r="O890" t="s">
        <v>5324</v>
      </c>
      <c r="P890">
        <v>2411</v>
      </c>
      <c r="Q890" t="s">
        <v>5324</v>
      </c>
      <c r="R890" t="s">
        <v>5329</v>
      </c>
      <c r="S890" t="s">
        <v>5330</v>
      </c>
      <c r="T890" t="s">
        <v>2214</v>
      </c>
      <c r="U890" t="s">
        <v>2552</v>
      </c>
      <c r="V890" t="s">
        <v>2215</v>
      </c>
    </row>
    <row r="891" spans="1:33" x14ac:dyDescent="0.3">
      <c r="A891">
        <v>2415</v>
      </c>
      <c r="B891" t="s">
        <v>5348</v>
      </c>
      <c r="C891" t="str">
        <f>""</f>
        <v/>
      </c>
      <c r="D891" t="str">
        <f>"1XP875700"</f>
        <v>1XP875700</v>
      </c>
      <c r="E891" s="1">
        <v>40909</v>
      </c>
      <c r="F891" t="s">
        <v>5349</v>
      </c>
      <c r="G891" t="e">
        <f>INDEX(#REF!,MATCH(P891,#REF!,0),1)</f>
        <v>#REF!</v>
      </c>
      <c r="H891" t="s">
        <v>5350</v>
      </c>
      <c r="J891" t="s">
        <v>5351</v>
      </c>
      <c r="K891" t="s">
        <v>835</v>
      </c>
      <c r="L891" t="s">
        <v>5352</v>
      </c>
      <c r="M891" t="s">
        <v>5353</v>
      </c>
      <c r="N891">
        <v>2411</v>
      </c>
      <c r="O891" t="s">
        <v>5324</v>
      </c>
      <c r="P891">
        <v>2411</v>
      </c>
      <c r="Q891" t="s">
        <v>5324</v>
      </c>
      <c r="R891" t="s">
        <v>5329</v>
      </c>
      <c r="S891" t="s">
        <v>5330</v>
      </c>
      <c r="T891" t="s">
        <v>2214</v>
      </c>
      <c r="U891" t="s">
        <v>2552</v>
      </c>
      <c r="V891" t="s">
        <v>2215</v>
      </c>
    </row>
    <row r="892" spans="1:33" x14ac:dyDescent="0.3">
      <c r="A892">
        <v>2416</v>
      </c>
      <c r="B892" t="s">
        <v>5354</v>
      </c>
      <c r="C892" t="str">
        <f>""</f>
        <v/>
      </c>
      <c r="D892" t="str">
        <f>"29RHWBQ00"</f>
        <v>29RHWBQ00</v>
      </c>
      <c r="E892" s="1">
        <v>40909</v>
      </c>
      <c r="F892" t="s">
        <v>5355</v>
      </c>
      <c r="G892" t="e">
        <f>INDEX(#REF!,MATCH(P892,#REF!,0),1)</f>
        <v>#REF!</v>
      </c>
      <c r="H892" t="s">
        <v>5356</v>
      </c>
      <c r="J892" t="s">
        <v>1772</v>
      </c>
      <c r="K892" t="s">
        <v>177</v>
      </c>
      <c r="L892" t="s">
        <v>5357</v>
      </c>
      <c r="M892" t="s">
        <v>5358</v>
      </c>
      <c r="N892">
        <v>2411</v>
      </c>
      <c r="O892" t="s">
        <v>5324</v>
      </c>
      <c r="P892">
        <v>2411</v>
      </c>
      <c r="Q892" t="s">
        <v>5324</v>
      </c>
      <c r="R892" t="s">
        <v>5329</v>
      </c>
      <c r="S892" t="s">
        <v>5330</v>
      </c>
      <c r="T892" t="s">
        <v>2214</v>
      </c>
      <c r="U892" t="s">
        <v>2552</v>
      </c>
      <c r="V892" t="s">
        <v>2215</v>
      </c>
    </row>
    <row r="893" spans="1:33" x14ac:dyDescent="0.3">
      <c r="A893">
        <v>2418</v>
      </c>
      <c r="B893" t="s">
        <v>5359</v>
      </c>
      <c r="C893" t="str">
        <f>""</f>
        <v/>
      </c>
      <c r="D893" t="str">
        <f>"209MNI200"</f>
        <v>209MNI200</v>
      </c>
      <c r="E893" s="1">
        <v>40909</v>
      </c>
      <c r="F893" t="s">
        <v>5360</v>
      </c>
      <c r="G893" t="e">
        <f>INDEX(#REF!,MATCH(P893,#REF!,0),1)</f>
        <v>#REF!</v>
      </c>
      <c r="H893" t="s">
        <v>5361</v>
      </c>
      <c r="J893" t="s">
        <v>951</v>
      </c>
      <c r="K893" t="s">
        <v>835</v>
      </c>
      <c r="L893" t="s">
        <v>5362</v>
      </c>
      <c r="M893" t="s">
        <v>5363</v>
      </c>
      <c r="N893">
        <v>2411</v>
      </c>
      <c r="O893" t="s">
        <v>5324</v>
      </c>
      <c r="P893">
        <v>2411</v>
      </c>
      <c r="Q893" t="s">
        <v>5324</v>
      </c>
      <c r="R893" t="s">
        <v>5329</v>
      </c>
      <c r="S893" t="s">
        <v>5330</v>
      </c>
      <c r="T893" t="s">
        <v>2214</v>
      </c>
      <c r="U893" t="s">
        <v>2552</v>
      </c>
      <c r="V893" t="s">
        <v>2215</v>
      </c>
    </row>
    <row r="894" spans="1:33" x14ac:dyDescent="0.3">
      <c r="A894">
        <v>2420</v>
      </c>
      <c r="B894" t="s">
        <v>5364</v>
      </c>
      <c r="C894" t="str">
        <f>""</f>
        <v/>
      </c>
      <c r="D894" t="str">
        <f>"20ZKBGC00"</f>
        <v>20ZKBGC00</v>
      </c>
      <c r="E894" s="1">
        <v>40909</v>
      </c>
      <c r="F894" t="s">
        <v>5365</v>
      </c>
      <c r="G894" t="e">
        <f>INDEX(#REF!,MATCH(P894,#REF!,0),1)</f>
        <v>#REF!</v>
      </c>
      <c r="H894" t="s">
        <v>5366</v>
      </c>
      <c r="J894" t="s">
        <v>2497</v>
      </c>
      <c r="K894" t="s">
        <v>835</v>
      </c>
      <c r="L894" t="s">
        <v>5367</v>
      </c>
      <c r="M894" t="s">
        <v>5368</v>
      </c>
      <c r="N894">
        <v>2411</v>
      </c>
      <c r="O894" t="s">
        <v>5324</v>
      </c>
      <c r="P894">
        <v>2411</v>
      </c>
      <c r="Q894" t="s">
        <v>5324</v>
      </c>
      <c r="R894" t="s">
        <v>5329</v>
      </c>
      <c r="S894" t="s">
        <v>5330</v>
      </c>
      <c r="T894" t="s">
        <v>2214</v>
      </c>
      <c r="U894" t="s">
        <v>2552</v>
      </c>
      <c r="V894" t="s">
        <v>2215</v>
      </c>
    </row>
    <row r="895" spans="1:33" x14ac:dyDescent="0.3">
      <c r="A895">
        <v>2421</v>
      </c>
      <c r="B895" t="s">
        <v>5369</v>
      </c>
      <c r="C895" t="str">
        <f>""</f>
        <v/>
      </c>
      <c r="D895" t="str">
        <f>"20UOG5500"</f>
        <v>20UOG5500</v>
      </c>
      <c r="E895" s="1">
        <v>40909</v>
      </c>
      <c r="F895" t="s">
        <v>5370</v>
      </c>
      <c r="G895" t="e">
        <f>INDEX(#REF!,MATCH(P895,#REF!,0),1)</f>
        <v>#REF!</v>
      </c>
      <c r="H895" t="s">
        <v>5371</v>
      </c>
      <c r="J895" t="s">
        <v>5372</v>
      </c>
      <c r="K895" t="s">
        <v>835</v>
      </c>
      <c r="L895" t="s">
        <v>5373</v>
      </c>
      <c r="M895" t="s">
        <v>5374</v>
      </c>
      <c r="N895">
        <v>2411</v>
      </c>
      <c r="O895" t="s">
        <v>5324</v>
      </c>
      <c r="P895">
        <v>2411</v>
      </c>
      <c r="Q895" t="s">
        <v>5324</v>
      </c>
      <c r="R895" t="s">
        <v>5329</v>
      </c>
      <c r="S895" t="s">
        <v>5330</v>
      </c>
      <c r="T895" t="s">
        <v>2214</v>
      </c>
      <c r="U895" t="s">
        <v>2552</v>
      </c>
      <c r="V895" t="s">
        <v>2215</v>
      </c>
    </row>
    <row r="896" spans="1:33" x14ac:dyDescent="0.3">
      <c r="A896">
        <v>2422</v>
      </c>
      <c r="B896" t="s">
        <v>5375</v>
      </c>
      <c r="C896" t="str">
        <f>""</f>
        <v/>
      </c>
      <c r="D896" t="str">
        <f>"200F7BZ00"</f>
        <v>200F7BZ00</v>
      </c>
      <c r="E896" s="1">
        <v>40909</v>
      </c>
      <c r="F896" t="s">
        <v>5376</v>
      </c>
      <c r="G896" t="e">
        <f>INDEX(#REF!,MATCH(P896,#REF!,0),1)</f>
        <v>#REF!</v>
      </c>
      <c r="H896" t="s">
        <v>5377</v>
      </c>
      <c r="J896" t="s">
        <v>2490</v>
      </c>
      <c r="K896" t="s">
        <v>835</v>
      </c>
      <c r="L896" t="s">
        <v>5378</v>
      </c>
      <c r="M896" t="s">
        <v>5379</v>
      </c>
      <c r="N896">
        <v>2411</v>
      </c>
      <c r="O896" t="s">
        <v>5324</v>
      </c>
      <c r="P896">
        <v>2411</v>
      </c>
      <c r="Q896" t="s">
        <v>5324</v>
      </c>
      <c r="R896" t="s">
        <v>5329</v>
      </c>
      <c r="S896" t="s">
        <v>5330</v>
      </c>
      <c r="T896" t="s">
        <v>2214</v>
      </c>
      <c r="U896" t="s">
        <v>2552</v>
      </c>
      <c r="V896" t="s">
        <v>2215</v>
      </c>
    </row>
    <row r="897" spans="1:33" x14ac:dyDescent="0.3">
      <c r="A897">
        <v>2423</v>
      </c>
      <c r="B897" t="s">
        <v>5380</v>
      </c>
      <c r="C897" t="str">
        <f>""</f>
        <v/>
      </c>
      <c r="D897" t="str">
        <f>"202ICEC00"</f>
        <v>202ICEC00</v>
      </c>
      <c r="E897" s="1">
        <v>40909</v>
      </c>
      <c r="F897" t="s">
        <v>5381</v>
      </c>
      <c r="G897" t="e">
        <f>INDEX(#REF!,MATCH(P897,#REF!,0),1)</f>
        <v>#REF!</v>
      </c>
      <c r="H897" t="s">
        <v>5382</v>
      </c>
      <c r="J897" t="s">
        <v>4998</v>
      </c>
      <c r="K897" t="s">
        <v>835</v>
      </c>
      <c r="L897" t="s">
        <v>5383</v>
      </c>
      <c r="M897" t="s">
        <v>5384</v>
      </c>
      <c r="N897">
        <v>2411</v>
      </c>
      <c r="O897" t="s">
        <v>5324</v>
      </c>
      <c r="P897">
        <v>2411</v>
      </c>
      <c r="Q897" t="s">
        <v>5324</v>
      </c>
      <c r="R897" t="s">
        <v>5329</v>
      </c>
      <c r="S897" t="s">
        <v>5330</v>
      </c>
      <c r="T897" t="s">
        <v>2214</v>
      </c>
      <c r="U897" t="s">
        <v>2552</v>
      </c>
      <c r="V897" t="s">
        <v>2215</v>
      </c>
    </row>
    <row r="898" spans="1:33" x14ac:dyDescent="0.3">
      <c r="A898">
        <v>2424</v>
      </c>
      <c r="B898" t="s">
        <v>5385</v>
      </c>
      <c r="C898" t="str">
        <f>""</f>
        <v/>
      </c>
      <c r="D898" t="str">
        <f>"29NMXGX00"</f>
        <v>29NMXGX00</v>
      </c>
      <c r="E898" s="1">
        <v>40909</v>
      </c>
      <c r="F898" t="s">
        <v>5386</v>
      </c>
      <c r="G898" t="e">
        <f>INDEX(#REF!,MATCH(P898,#REF!,0),1)</f>
        <v>#REF!</v>
      </c>
      <c r="H898" t="s">
        <v>5387</v>
      </c>
      <c r="J898" t="s">
        <v>5388</v>
      </c>
      <c r="K898" t="s">
        <v>177</v>
      </c>
      <c r="L898" t="s">
        <v>5389</v>
      </c>
      <c r="M898" t="s">
        <v>5390</v>
      </c>
      <c r="N898">
        <v>2411</v>
      </c>
      <c r="O898" t="s">
        <v>5324</v>
      </c>
      <c r="P898">
        <v>2411</v>
      </c>
      <c r="Q898" t="s">
        <v>5324</v>
      </c>
      <c r="R898" t="s">
        <v>5329</v>
      </c>
      <c r="S898" t="s">
        <v>5330</v>
      </c>
      <c r="T898" t="s">
        <v>2214</v>
      </c>
      <c r="U898" t="s">
        <v>2552</v>
      </c>
      <c r="V898" t="s">
        <v>2215</v>
      </c>
    </row>
    <row r="899" spans="1:33" x14ac:dyDescent="0.3">
      <c r="A899">
        <v>2425</v>
      </c>
      <c r="B899" t="s">
        <v>5391</v>
      </c>
      <c r="C899" t="str">
        <f>""</f>
        <v/>
      </c>
      <c r="D899" t="str">
        <f>"206NLJZ00"</f>
        <v>206NLJZ00</v>
      </c>
      <c r="E899" s="1">
        <v>40909</v>
      </c>
      <c r="F899" t="s">
        <v>5392</v>
      </c>
      <c r="G899" t="e">
        <f>INDEX(#REF!,MATCH(P899,#REF!,0),1)</f>
        <v>#REF!</v>
      </c>
      <c r="H899" t="s">
        <v>5393</v>
      </c>
      <c r="J899" t="s">
        <v>5394</v>
      </c>
      <c r="K899" t="s">
        <v>835</v>
      </c>
      <c r="L899" t="s">
        <v>5395</v>
      </c>
      <c r="M899" t="s">
        <v>5396</v>
      </c>
      <c r="N899">
        <v>2411</v>
      </c>
      <c r="O899" t="s">
        <v>5324</v>
      </c>
      <c r="P899">
        <v>2411</v>
      </c>
      <c r="Q899" t="s">
        <v>5324</v>
      </c>
      <c r="R899" t="s">
        <v>5329</v>
      </c>
      <c r="S899" t="s">
        <v>5330</v>
      </c>
      <c r="T899" t="s">
        <v>2214</v>
      </c>
      <c r="U899" t="s">
        <v>2552</v>
      </c>
      <c r="V899" t="s">
        <v>2215</v>
      </c>
    </row>
    <row r="900" spans="1:33" x14ac:dyDescent="0.3">
      <c r="A900">
        <v>2426</v>
      </c>
      <c r="B900" t="s">
        <v>5397</v>
      </c>
      <c r="C900" t="str">
        <f>""</f>
        <v/>
      </c>
      <c r="D900" t="str">
        <f>"205FCB900"</f>
        <v>205FCB900</v>
      </c>
      <c r="E900" s="1">
        <v>40909</v>
      </c>
      <c r="F900" t="s">
        <v>5398</v>
      </c>
      <c r="G900" t="e">
        <f>INDEX(#REF!,MATCH(P900,#REF!,0),1)</f>
        <v>#REF!</v>
      </c>
      <c r="H900" t="s">
        <v>5399</v>
      </c>
      <c r="J900" t="s">
        <v>5400</v>
      </c>
      <c r="K900" t="s">
        <v>835</v>
      </c>
      <c r="L900" t="s">
        <v>5401</v>
      </c>
      <c r="M900" t="s">
        <v>5402</v>
      </c>
      <c r="N900">
        <v>3659517</v>
      </c>
      <c r="O900" t="s">
        <v>5403</v>
      </c>
      <c r="P900">
        <v>3659517</v>
      </c>
      <c r="Q900" t="s">
        <v>5403</v>
      </c>
      <c r="R900" t="s">
        <v>3945</v>
      </c>
      <c r="S900" t="s">
        <v>3946</v>
      </c>
      <c r="T900" t="s">
        <v>2214</v>
      </c>
      <c r="U900" t="s">
        <v>2552</v>
      </c>
      <c r="V900" t="s">
        <v>2215</v>
      </c>
    </row>
    <row r="901" spans="1:33" x14ac:dyDescent="0.3">
      <c r="A901">
        <v>2427</v>
      </c>
      <c r="B901" t="s">
        <v>5404</v>
      </c>
      <c r="C901" t="str">
        <f>""</f>
        <v/>
      </c>
      <c r="D901" t="str">
        <f>"20XZUG800"</f>
        <v>20XZUG800</v>
      </c>
      <c r="E901" s="1">
        <v>40909</v>
      </c>
      <c r="F901" t="s">
        <v>5405</v>
      </c>
      <c r="G901" t="e">
        <f>INDEX(#REF!,MATCH(P901,#REF!,0),1)</f>
        <v>#REF!</v>
      </c>
      <c r="H901" t="s">
        <v>5406</v>
      </c>
      <c r="J901" t="s">
        <v>964</v>
      </c>
      <c r="K901" t="s">
        <v>835</v>
      </c>
      <c r="L901" t="s">
        <v>5407</v>
      </c>
      <c r="M901" t="s">
        <v>5408</v>
      </c>
      <c r="N901">
        <v>2411</v>
      </c>
      <c r="O901" t="s">
        <v>5324</v>
      </c>
      <c r="P901">
        <v>2411</v>
      </c>
      <c r="Q901" t="s">
        <v>5324</v>
      </c>
      <c r="R901" t="s">
        <v>5329</v>
      </c>
      <c r="S901" t="s">
        <v>5330</v>
      </c>
      <c r="T901" t="s">
        <v>2214</v>
      </c>
      <c r="U901" t="s">
        <v>2552</v>
      </c>
      <c r="V901" t="s">
        <v>2215</v>
      </c>
    </row>
    <row r="902" spans="1:33" x14ac:dyDescent="0.3">
      <c r="A902">
        <v>2428</v>
      </c>
      <c r="B902" t="s">
        <v>5409</v>
      </c>
      <c r="C902" t="str">
        <f>""</f>
        <v/>
      </c>
      <c r="D902" t="str">
        <f>"207652M00"</f>
        <v>207652M00</v>
      </c>
      <c r="E902" s="1">
        <v>40909</v>
      </c>
      <c r="F902" t="s">
        <v>5410</v>
      </c>
      <c r="G902" t="e">
        <f>INDEX(#REF!,MATCH(P902,#REF!,0),1)</f>
        <v>#REF!</v>
      </c>
      <c r="H902" t="s">
        <v>5411</v>
      </c>
      <c r="J902" t="s">
        <v>5326</v>
      </c>
      <c r="K902" t="s">
        <v>835</v>
      </c>
      <c r="L902" t="s">
        <v>5412</v>
      </c>
      <c r="M902" t="s">
        <v>5413</v>
      </c>
      <c r="N902">
        <v>2411</v>
      </c>
      <c r="O902" t="s">
        <v>5324</v>
      </c>
      <c r="P902">
        <v>2411</v>
      </c>
      <c r="Q902" t="s">
        <v>5324</v>
      </c>
      <c r="R902" t="s">
        <v>5329</v>
      </c>
      <c r="S902" t="s">
        <v>5330</v>
      </c>
      <c r="T902" t="s">
        <v>2214</v>
      </c>
      <c r="U902" t="s">
        <v>2552</v>
      </c>
      <c r="V902" t="s">
        <v>2215</v>
      </c>
    </row>
    <row r="903" spans="1:33" x14ac:dyDescent="0.3">
      <c r="A903">
        <v>2430</v>
      </c>
      <c r="B903" t="s">
        <v>5414</v>
      </c>
      <c r="C903" t="str">
        <f>"1100004608291"</f>
        <v>1100004608291</v>
      </c>
      <c r="D903" t="str">
        <f>"ZUM7C6400"</f>
        <v>ZUM7C6400</v>
      </c>
      <c r="E903" s="1">
        <v>34881</v>
      </c>
      <c r="F903" t="s">
        <v>5415</v>
      </c>
      <c r="G903" t="e">
        <f>INDEX(#REF!,MATCH(P903,#REF!,0),1)</f>
        <v>#REF!</v>
      </c>
      <c r="H903" t="s">
        <v>5416</v>
      </c>
      <c r="J903" t="s">
        <v>2031</v>
      </c>
      <c r="K903" t="s">
        <v>1109</v>
      </c>
      <c r="L903" t="str">
        <f>"06608-2409"</f>
        <v>06608-2409</v>
      </c>
      <c r="M903" t="s">
        <v>5417</v>
      </c>
      <c r="N903">
        <v>2314431</v>
      </c>
      <c r="O903" t="s">
        <v>5418</v>
      </c>
      <c r="P903">
        <v>2314431</v>
      </c>
      <c r="Q903" t="s">
        <v>5418</v>
      </c>
      <c r="R903" t="s">
        <v>5419</v>
      </c>
      <c r="S903" t="s">
        <v>5420</v>
      </c>
      <c r="T903" t="s">
        <v>2277</v>
      </c>
      <c r="U903" t="s">
        <v>2278</v>
      </c>
      <c r="V903" t="s">
        <v>2215</v>
      </c>
      <c r="AF903" t="s">
        <v>5421</v>
      </c>
    </row>
    <row r="904" spans="1:33" x14ac:dyDescent="0.3">
      <c r="A904">
        <v>2433</v>
      </c>
      <c r="B904" t="s">
        <v>5422</v>
      </c>
      <c r="C904" t="str">
        <f>"850079516007"</f>
        <v>850079516007</v>
      </c>
      <c r="D904" t="str">
        <f>"330020800"</f>
        <v>330020800</v>
      </c>
      <c r="E904" s="1">
        <v>41183</v>
      </c>
      <c r="F904" t="s">
        <v>3132</v>
      </c>
      <c r="G904" t="e">
        <f>INDEX(#REF!,MATCH(P904,#REF!,0),1)</f>
        <v>#REF!</v>
      </c>
      <c r="H904" t="s">
        <v>5423</v>
      </c>
      <c r="J904" t="s">
        <v>2145</v>
      </c>
      <c r="K904" t="s">
        <v>2451</v>
      </c>
      <c r="L904" t="s">
        <v>5424</v>
      </c>
      <c r="M904" t="s">
        <v>5425</v>
      </c>
      <c r="N904">
        <v>2433</v>
      </c>
      <c r="O904" t="s">
        <v>3132</v>
      </c>
      <c r="P904">
        <v>2433</v>
      </c>
      <c r="Q904" t="s">
        <v>3132</v>
      </c>
      <c r="R904" t="s">
        <v>3133</v>
      </c>
      <c r="S904" t="s">
        <v>3134</v>
      </c>
      <c r="T904" t="s">
        <v>44</v>
      </c>
      <c r="U904" t="s">
        <v>288</v>
      </c>
      <c r="X904" t="s">
        <v>289</v>
      </c>
      <c r="AA904" t="s">
        <v>119</v>
      </c>
      <c r="AB904" t="s">
        <v>290</v>
      </c>
      <c r="AG904" t="s">
        <v>48</v>
      </c>
    </row>
    <row r="905" spans="1:33" x14ac:dyDescent="0.3">
      <c r="A905">
        <v>2436</v>
      </c>
      <c r="B905" t="s">
        <v>5426</v>
      </c>
      <c r="C905" t="str">
        <f>"1100005899117"</f>
        <v>1100005899117</v>
      </c>
      <c r="D905" t="str">
        <f>"320670I00"</f>
        <v>320670I00</v>
      </c>
      <c r="E905" s="1">
        <v>42795</v>
      </c>
      <c r="F905" t="s">
        <v>5427</v>
      </c>
      <c r="G905" t="e">
        <f>INDEX(#REF!,MATCH(P905,#REF!,0),1)</f>
        <v>#REF!</v>
      </c>
      <c r="H905" t="s">
        <v>5428</v>
      </c>
      <c r="J905" t="s">
        <v>5429</v>
      </c>
      <c r="K905" t="s">
        <v>982</v>
      </c>
      <c r="L905">
        <v>21061</v>
      </c>
      <c r="M905" t="s">
        <v>5430</v>
      </c>
      <c r="N905">
        <v>767189</v>
      </c>
      <c r="O905" t="s">
        <v>985</v>
      </c>
      <c r="P905">
        <v>25684</v>
      </c>
      <c r="Q905" t="s">
        <v>5431</v>
      </c>
      <c r="R905" t="s">
        <v>986</v>
      </c>
      <c r="S905" t="s">
        <v>987</v>
      </c>
      <c r="T905" t="s">
        <v>44</v>
      </c>
      <c r="U905" t="s">
        <v>45</v>
      </c>
      <c r="Y905" t="s">
        <v>46</v>
      </c>
      <c r="Z905" s="1">
        <v>44805</v>
      </c>
      <c r="AA905" t="s">
        <v>219</v>
      </c>
      <c r="AB905" t="s">
        <v>93</v>
      </c>
      <c r="AE905" t="s">
        <v>220</v>
      </c>
      <c r="AG905" t="s">
        <v>48</v>
      </c>
    </row>
    <row r="906" spans="1:33" x14ac:dyDescent="0.3">
      <c r="A906">
        <v>2448</v>
      </c>
      <c r="B906" t="s">
        <v>5432</v>
      </c>
      <c r="C906" t="str">
        <f>"1100002828646"</f>
        <v>1100002828646</v>
      </c>
      <c r="D906" t="str">
        <f>""</f>
        <v/>
      </c>
      <c r="E906" s="1">
        <v>44501</v>
      </c>
      <c r="F906" t="s">
        <v>5433</v>
      </c>
      <c r="G906" t="e">
        <f>INDEX(#REF!,MATCH(P906,#REF!,0),1)</f>
        <v>#REF!</v>
      </c>
      <c r="H906" t="s">
        <v>5434</v>
      </c>
      <c r="J906" t="s">
        <v>1926</v>
      </c>
      <c r="K906" t="s">
        <v>342</v>
      </c>
      <c r="L906" t="s">
        <v>5435</v>
      </c>
      <c r="M906" t="s">
        <v>3226</v>
      </c>
      <c r="N906">
        <v>3788511</v>
      </c>
      <c r="O906" t="s">
        <v>5436</v>
      </c>
      <c r="P906">
        <v>3788511</v>
      </c>
      <c r="Q906" t="s">
        <v>5436</v>
      </c>
      <c r="R906" t="s">
        <v>245</v>
      </c>
      <c r="S906" t="s">
        <v>246</v>
      </c>
      <c r="T906" t="s">
        <v>44</v>
      </c>
      <c r="U906" t="s">
        <v>45</v>
      </c>
    </row>
    <row r="907" spans="1:33" x14ac:dyDescent="0.3">
      <c r="A907">
        <v>2449</v>
      </c>
      <c r="B907" t="s">
        <v>5437</v>
      </c>
      <c r="C907" t="str">
        <f>"1100005570436"</f>
        <v>1100005570436</v>
      </c>
      <c r="D907" t="str">
        <f>"320010600"</f>
        <v>320010600</v>
      </c>
      <c r="E907" s="1">
        <v>42626</v>
      </c>
      <c r="F907" t="s">
        <v>5438</v>
      </c>
      <c r="G907" t="e">
        <f>INDEX(#REF!,MATCH(P907,#REF!,0),1)</f>
        <v>#REF!</v>
      </c>
      <c r="H907" t="s">
        <v>5439</v>
      </c>
      <c r="J907" t="s">
        <v>5440</v>
      </c>
      <c r="K907" t="s">
        <v>982</v>
      </c>
      <c r="L907">
        <v>21401</v>
      </c>
      <c r="M907" t="s">
        <v>5441</v>
      </c>
      <c r="N907">
        <v>3624816</v>
      </c>
      <c r="O907" t="s">
        <v>5442</v>
      </c>
      <c r="P907">
        <v>3624816</v>
      </c>
      <c r="Q907" t="s">
        <v>5442</v>
      </c>
      <c r="R907" t="s">
        <v>5443</v>
      </c>
      <c r="S907" t="s">
        <v>5444</v>
      </c>
      <c r="T907" t="s">
        <v>44</v>
      </c>
      <c r="U907" t="s">
        <v>45</v>
      </c>
    </row>
    <row r="908" spans="1:33" x14ac:dyDescent="0.3">
      <c r="A908">
        <v>2451</v>
      </c>
      <c r="B908" t="s">
        <v>5445</v>
      </c>
      <c r="C908" t="str">
        <f>"1100002937973"</f>
        <v>1100002937973</v>
      </c>
      <c r="D908" t="str">
        <f>""</f>
        <v/>
      </c>
      <c r="E908" s="1">
        <v>42996</v>
      </c>
      <c r="F908" t="s">
        <v>5446</v>
      </c>
      <c r="G908" t="e">
        <f>INDEX(#REF!,MATCH(P908,#REF!,0),1)</f>
        <v>#REF!</v>
      </c>
      <c r="H908" t="s">
        <v>5447</v>
      </c>
      <c r="J908" t="s">
        <v>5448</v>
      </c>
      <c r="K908" t="s">
        <v>763</v>
      </c>
      <c r="L908" t="s">
        <v>5449</v>
      </c>
      <c r="M908" t="s">
        <v>3226</v>
      </c>
      <c r="N908">
        <v>711515</v>
      </c>
      <c r="O908" t="s">
        <v>1400</v>
      </c>
      <c r="P908">
        <v>711515</v>
      </c>
      <c r="Q908" t="s">
        <v>1400</v>
      </c>
      <c r="R908" t="s">
        <v>1401</v>
      </c>
      <c r="S908" t="s">
        <v>1402</v>
      </c>
      <c r="T908" t="s">
        <v>44</v>
      </c>
      <c r="U908" t="s">
        <v>45</v>
      </c>
      <c r="AA908" t="s">
        <v>119</v>
      </c>
      <c r="AE908" t="s">
        <v>766</v>
      </c>
    </row>
    <row r="909" spans="1:33" x14ac:dyDescent="0.3">
      <c r="A909">
        <v>2463</v>
      </c>
      <c r="B909" t="s">
        <v>5450</v>
      </c>
      <c r="C909" t="str">
        <f>"1100003468254"</f>
        <v>1100003468254</v>
      </c>
      <c r="D909" t="str">
        <f>"211800CF2"</f>
        <v>211800CF2</v>
      </c>
      <c r="E909" s="1">
        <v>42583</v>
      </c>
      <c r="F909" t="s">
        <v>5451</v>
      </c>
      <c r="G909" t="e">
        <f>INDEX(#REF!,MATCH(P909,#REF!,0),1)</f>
        <v>#REF!</v>
      </c>
      <c r="H909" t="s">
        <v>5452</v>
      </c>
      <c r="J909" t="s">
        <v>5453</v>
      </c>
      <c r="K909" t="s">
        <v>2244</v>
      </c>
      <c r="L909">
        <v>11030</v>
      </c>
      <c r="M909" t="s">
        <v>5454</v>
      </c>
      <c r="N909">
        <v>76790</v>
      </c>
      <c r="O909" t="s">
        <v>5455</v>
      </c>
      <c r="P909">
        <v>76790</v>
      </c>
      <c r="Q909" t="s">
        <v>5455</v>
      </c>
      <c r="R909" t="s">
        <v>1301</v>
      </c>
      <c r="S909" t="s">
        <v>1302</v>
      </c>
      <c r="T909" t="s">
        <v>44</v>
      </c>
      <c r="U909" t="s">
        <v>45</v>
      </c>
    </row>
    <row r="910" spans="1:33" x14ac:dyDescent="0.3">
      <c r="A910">
        <v>2465</v>
      </c>
      <c r="B910" t="s">
        <v>5456</v>
      </c>
      <c r="C910" t="str">
        <f>"1100005779839"</f>
        <v>1100005779839</v>
      </c>
      <c r="D910" t="str">
        <f>"211310800"</f>
        <v>211310800</v>
      </c>
      <c r="E910" s="1">
        <v>42583</v>
      </c>
      <c r="F910" t="s">
        <v>5457</v>
      </c>
      <c r="G910" t="e">
        <f>INDEX(#REF!,MATCH(P910,#REF!,0),1)</f>
        <v>#REF!</v>
      </c>
      <c r="H910" t="s">
        <v>5458</v>
      </c>
      <c r="J910" t="s">
        <v>5459</v>
      </c>
      <c r="K910" t="s">
        <v>2244</v>
      </c>
      <c r="L910">
        <v>11542</v>
      </c>
      <c r="M910" t="s">
        <v>5460</v>
      </c>
      <c r="N910">
        <v>76790</v>
      </c>
      <c r="O910" t="s">
        <v>5455</v>
      </c>
      <c r="P910">
        <v>76790</v>
      </c>
      <c r="Q910" t="s">
        <v>5455</v>
      </c>
      <c r="R910" t="s">
        <v>1301</v>
      </c>
      <c r="S910" t="s">
        <v>1302</v>
      </c>
      <c r="T910" t="s">
        <v>44</v>
      </c>
      <c r="U910" t="s">
        <v>45</v>
      </c>
    </row>
    <row r="911" spans="1:33" x14ac:dyDescent="0.3">
      <c r="A911">
        <v>2466</v>
      </c>
      <c r="B911" t="s">
        <v>5461</v>
      </c>
      <c r="C911" t="str">
        <f>"1100004133878"</f>
        <v>1100004133878</v>
      </c>
      <c r="D911" t="str">
        <f>"212520C00"</f>
        <v>212520C00</v>
      </c>
      <c r="E911" s="1">
        <v>42583</v>
      </c>
      <c r="F911" t="s">
        <v>5462</v>
      </c>
      <c r="G911" t="e">
        <f>INDEX(#REF!,MATCH(P911,#REF!,0),1)</f>
        <v>#REF!</v>
      </c>
      <c r="H911" t="s">
        <v>5463</v>
      </c>
      <c r="J911" t="s">
        <v>3488</v>
      </c>
      <c r="K911" t="s">
        <v>2244</v>
      </c>
      <c r="L911">
        <v>11803</v>
      </c>
      <c r="M911" t="s">
        <v>5464</v>
      </c>
      <c r="N911">
        <v>76790</v>
      </c>
      <c r="O911" t="s">
        <v>5455</v>
      </c>
      <c r="P911">
        <v>76790</v>
      </c>
      <c r="Q911" t="s">
        <v>5455</v>
      </c>
      <c r="R911" t="s">
        <v>1301</v>
      </c>
      <c r="S911" t="s">
        <v>1302</v>
      </c>
      <c r="T911" t="s">
        <v>44</v>
      </c>
      <c r="U911" t="s">
        <v>45</v>
      </c>
    </row>
    <row r="912" spans="1:33" x14ac:dyDescent="0.3">
      <c r="A912">
        <v>2467</v>
      </c>
      <c r="B912" t="s">
        <v>5465</v>
      </c>
      <c r="C912" t="str">
        <f>"1100002636111"</f>
        <v>1100002636111</v>
      </c>
      <c r="D912" t="str">
        <f>"211510A00"</f>
        <v>211510A00</v>
      </c>
      <c r="E912" s="1">
        <v>42583</v>
      </c>
      <c r="F912" t="s">
        <v>5466</v>
      </c>
      <c r="G912" t="e">
        <f>INDEX(#REF!,MATCH(P912,#REF!,0),1)</f>
        <v>#REF!</v>
      </c>
      <c r="H912" t="s">
        <v>5467</v>
      </c>
      <c r="J912" t="s">
        <v>5468</v>
      </c>
      <c r="K912" t="s">
        <v>2244</v>
      </c>
      <c r="L912">
        <v>11743</v>
      </c>
      <c r="M912" t="s">
        <v>5469</v>
      </c>
      <c r="N912">
        <v>76790</v>
      </c>
      <c r="O912" t="s">
        <v>5455</v>
      </c>
      <c r="P912">
        <v>76790</v>
      </c>
      <c r="Q912" t="s">
        <v>5455</v>
      </c>
      <c r="R912" t="s">
        <v>1301</v>
      </c>
      <c r="S912" t="s">
        <v>1302</v>
      </c>
      <c r="T912" t="s">
        <v>44</v>
      </c>
      <c r="U912" t="s">
        <v>45</v>
      </c>
    </row>
    <row r="913" spans="1:33" x14ac:dyDescent="0.3">
      <c r="A913">
        <v>2468</v>
      </c>
      <c r="B913" t="s">
        <v>5470</v>
      </c>
      <c r="C913" t="str">
        <f>""</f>
        <v/>
      </c>
      <c r="D913" t="str">
        <f>"213330C00"</f>
        <v>213330C00</v>
      </c>
      <c r="E913" s="1">
        <v>42583</v>
      </c>
      <c r="F913" t="s">
        <v>5471</v>
      </c>
      <c r="G913" t="e">
        <f>INDEX(#REF!,MATCH(P913,#REF!,0),1)</f>
        <v>#REF!</v>
      </c>
      <c r="H913" t="s">
        <v>5472</v>
      </c>
      <c r="J913" t="s">
        <v>5473</v>
      </c>
      <c r="K913" t="s">
        <v>2244</v>
      </c>
      <c r="L913">
        <v>11580</v>
      </c>
      <c r="M913" t="s">
        <v>5474</v>
      </c>
      <c r="N913">
        <v>76790</v>
      </c>
      <c r="O913" t="s">
        <v>5455</v>
      </c>
      <c r="P913">
        <v>76790</v>
      </c>
      <c r="Q913" t="s">
        <v>5455</v>
      </c>
      <c r="R913" t="s">
        <v>1301</v>
      </c>
      <c r="S913" t="s">
        <v>1302</v>
      </c>
      <c r="T913" t="s">
        <v>44</v>
      </c>
      <c r="U913" t="s">
        <v>45</v>
      </c>
    </row>
    <row r="914" spans="1:33" x14ac:dyDescent="0.3">
      <c r="A914">
        <v>2488</v>
      </c>
      <c r="B914" t="s">
        <v>5475</v>
      </c>
      <c r="C914" t="str">
        <f>"1100002118181"</f>
        <v>1100002118181</v>
      </c>
      <c r="D914" t="str">
        <f>"231440E00"</f>
        <v>231440E00</v>
      </c>
      <c r="E914" s="1">
        <v>42583</v>
      </c>
      <c r="F914" t="s">
        <v>5476</v>
      </c>
      <c r="G914" t="e">
        <f>INDEX(#REF!,MATCH(P914,#REF!,0),1)</f>
        <v>#REF!</v>
      </c>
      <c r="H914" t="s">
        <v>3114</v>
      </c>
      <c r="J914" t="s">
        <v>5477</v>
      </c>
      <c r="K914" t="s">
        <v>65</v>
      </c>
      <c r="L914" t="s">
        <v>5478</v>
      </c>
      <c r="M914" t="s">
        <v>5479</v>
      </c>
      <c r="N914">
        <v>53913</v>
      </c>
      <c r="O914" t="s">
        <v>318</v>
      </c>
      <c r="P914">
        <v>53913</v>
      </c>
      <c r="Q914" t="s">
        <v>318</v>
      </c>
      <c r="R914" t="s">
        <v>245</v>
      </c>
      <c r="S914" t="s">
        <v>246</v>
      </c>
      <c r="T914" t="s">
        <v>44</v>
      </c>
      <c r="U914" t="s">
        <v>45</v>
      </c>
    </row>
    <row r="915" spans="1:33" x14ac:dyDescent="0.3">
      <c r="A915">
        <v>2498</v>
      </c>
      <c r="B915" t="s">
        <v>5480</v>
      </c>
      <c r="C915" t="str">
        <f>"1100005065659"</f>
        <v>1100005065659</v>
      </c>
      <c r="D915" t="str">
        <f>"KK6T0D800"</f>
        <v>KK6T0D800</v>
      </c>
      <c r="E915" s="1">
        <v>42661</v>
      </c>
      <c r="F915" t="s">
        <v>5481</v>
      </c>
      <c r="G915" t="e">
        <f>INDEX(#REF!,MATCH(P915,#REF!,0),1)</f>
        <v>#REF!</v>
      </c>
      <c r="H915" t="s">
        <v>5482</v>
      </c>
      <c r="J915" t="s">
        <v>2037</v>
      </c>
      <c r="K915" t="s">
        <v>167</v>
      </c>
      <c r="L915">
        <v>33136</v>
      </c>
      <c r="M915" t="s">
        <v>5483</v>
      </c>
      <c r="N915">
        <v>2498</v>
      </c>
      <c r="O915" t="s">
        <v>5481</v>
      </c>
      <c r="P915">
        <v>2498</v>
      </c>
      <c r="Q915" t="s">
        <v>5481</v>
      </c>
      <c r="R915" t="s">
        <v>376</v>
      </c>
      <c r="S915" t="s">
        <v>377</v>
      </c>
      <c r="T915" t="s">
        <v>44</v>
      </c>
      <c r="U915" t="s">
        <v>81</v>
      </c>
      <c r="AA915" t="s">
        <v>105</v>
      </c>
      <c r="AE915" t="s">
        <v>106</v>
      </c>
      <c r="AG915" t="s">
        <v>48</v>
      </c>
    </row>
    <row r="916" spans="1:33" x14ac:dyDescent="0.3">
      <c r="A916">
        <v>2500</v>
      </c>
      <c r="B916" t="s">
        <v>5484</v>
      </c>
      <c r="C916" t="str">
        <f>"1100009166314"</f>
        <v>1100009166314</v>
      </c>
      <c r="D916" t="str">
        <f>"450140E00"</f>
        <v>450140E00</v>
      </c>
      <c r="E916" s="1">
        <v>42019</v>
      </c>
      <c r="F916" t="s">
        <v>5485</v>
      </c>
      <c r="G916" t="e">
        <f>INDEX(#REF!,MATCH(P916,#REF!,0),1)</f>
        <v>#REF!</v>
      </c>
      <c r="H916" t="s">
        <v>5486</v>
      </c>
      <c r="J916" t="s">
        <v>1288</v>
      </c>
      <c r="K916" t="s">
        <v>208</v>
      </c>
      <c r="L916" t="s">
        <v>5487</v>
      </c>
      <c r="M916" t="s">
        <v>5488</v>
      </c>
      <c r="N916">
        <v>711504</v>
      </c>
      <c r="O916" t="s">
        <v>737</v>
      </c>
      <c r="P916">
        <v>39661</v>
      </c>
      <c r="Q916" t="s">
        <v>738</v>
      </c>
      <c r="R916" t="s">
        <v>711</v>
      </c>
      <c r="S916" t="s">
        <v>712</v>
      </c>
      <c r="T916" t="s">
        <v>44</v>
      </c>
      <c r="U916" t="s">
        <v>45</v>
      </c>
      <c r="AA916" t="s">
        <v>119</v>
      </c>
      <c r="AE916" t="s">
        <v>120</v>
      </c>
      <c r="AG916" t="s">
        <v>48</v>
      </c>
    </row>
    <row r="917" spans="1:33" x14ac:dyDescent="0.3">
      <c r="A917">
        <v>2505</v>
      </c>
      <c r="B917" t="s">
        <v>5489</v>
      </c>
      <c r="C917" t="str">
        <f>""</f>
        <v/>
      </c>
      <c r="D917" t="str">
        <f>"4PXOLBA00"</f>
        <v>4PXOLBA00</v>
      </c>
      <c r="E917" s="1">
        <v>34943</v>
      </c>
      <c r="F917" t="s">
        <v>5490</v>
      </c>
      <c r="G917" t="e">
        <f>INDEX(#REF!,MATCH(P917,#REF!,0),1)</f>
        <v>#REF!</v>
      </c>
      <c r="H917" t="s">
        <v>5491</v>
      </c>
      <c r="J917" t="s">
        <v>5492</v>
      </c>
      <c r="K917" t="s">
        <v>1109</v>
      </c>
      <c r="L917" t="str">
        <f>"06051-3916"</f>
        <v>06051-3916</v>
      </c>
      <c r="M917" t="s">
        <v>5493</v>
      </c>
      <c r="N917">
        <v>2623303</v>
      </c>
      <c r="O917" t="s">
        <v>5494</v>
      </c>
      <c r="P917">
        <v>72099</v>
      </c>
      <c r="Q917" t="s">
        <v>5490</v>
      </c>
      <c r="R917" t="s">
        <v>5495</v>
      </c>
      <c r="S917" t="s">
        <v>5496</v>
      </c>
      <c r="T917" t="s">
        <v>2277</v>
      </c>
      <c r="U917" t="s">
        <v>5497</v>
      </c>
      <c r="V917" t="s">
        <v>2215</v>
      </c>
    </row>
    <row r="918" spans="1:33" x14ac:dyDescent="0.3">
      <c r="A918">
        <v>2506</v>
      </c>
      <c r="B918" t="s">
        <v>5498</v>
      </c>
      <c r="C918" t="str">
        <f>"1100004779380"</f>
        <v>1100004779380</v>
      </c>
      <c r="D918" t="str">
        <f>"340790N00"</f>
        <v>340790N00</v>
      </c>
      <c r="E918" s="1">
        <v>42583</v>
      </c>
      <c r="F918" t="s">
        <v>5499</v>
      </c>
      <c r="G918" t="e">
        <f>INDEX(#REF!,MATCH(P918,#REF!,0),1)</f>
        <v>#REF!</v>
      </c>
      <c r="H918" t="s">
        <v>5500</v>
      </c>
      <c r="J918" t="s">
        <v>5501</v>
      </c>
      <c r="K918" t="s">
        <v>77</v>
      </c>
      <c r="L918" t="s">
        <v>5502</v>
      </c>
      <c r="M918" t="s">
        <v>5503</v>
      </c>
      <c r="N918">
        <v>709151</v>
      </c>
      <c r="O918" t="s">
        <v>5504</v>
      </c>
      <c r="P918">
        <v>709151</v>
      </c>
      <c r="Q918" t="s">
        <v>5504</v>
      </c>
      <c r="R918" t="s">
        <v>1193</v>
      </c>
      <c r="S918" t="s">
        <v>1194</v>
      </c>
      <c r="T918" t="s">
        <v>44</v>
      </c>
      <c r="U918" t="s">
        <v>45</v>
      </c>
    </row>
    <row r="919" spans="1:33" x14ac:dyDescent="0.3">
      <c r="A919">
        <v>2507</v>
      </c>
      <c r="B919" t="s">
        <v>5505</v>
      </c>
      <c r="C919" t="str">
        <f>"1100005948402"</f>
        <v>1100005948402</v>
      </c>
      <c r="D919" t="str">
        <f>"G1JY9AH00"</f>
        <v>G1JY9AH00</v>
      </c>
      <c r="E919" s="1">
        <v>44501</v>
      </c>
      <c r="F919" t="s">
        <v>5506</v>
      </c>
      <c r="G919" t="e">
        <f>INDEX(#REF!,MATCH(P919,#REF!,0),1)</f>
        <v>#REF!</v>
      </c>
      <c r="H919" t="s">
        <v>5507</v>
      </c>
      <c r="J919" t="s">
        <v>2741</v>
      </c>
      <c r="K919" t="s">
        <v>53</v>
      </c>
      <c r="L919" t="str">
        <f>"03301-7539"</f>
        <v>03301-7539</v>
      </c>
      <c r="M919" t="s">
        <v>5508</v>
      </c>
      <c r="N919">
        <v>2507</v>
      </c>
      <c r="O919" t="s">
        <v>5506</v>
      </c>
      <c r="P919">
        <v>2507</v>
      </c>
      <c r="Q919" t="s">
        <v>5506</v>
      </c>
      <c r="R919" t="s">
        <v>1301</v>
      </c>
      <c r="S919" t="s">
        <v>1302</v>
      </c>
      <c r="T919" t="s">
        <v>44</v>
      </c>
      <c r="U919" t="s">
        <v>81</v>
      </c>
    </row>
    <row r="920" spans="1:33" x14ac:dyDescent="0.3">
      <c r="A920">
        <v>2508</v>
      </c>
      <c r="B920" t="s">
        <v>5509</v>
      </c>
      <c r="C920" t="str">
        <f>"1100005821675"</f>
        <v>1100005821675</v>
      </c>
      <c r="D920" t="str">
        <f>"360330F00"</f>
        <v>360330F00</v>
      </c>
      <c r="E920" s="1">
        <v>42583</v>
      </c>
      <c r="F920" t="s">
        <v>5510</v>
      </c>
      <c r="G920" t="e">
        <f>INDEX(#REF!,MATCH(P920,#REF!,0),1)</f>
        <v>#REF!</v>
      </c>
      <c r="H920" t="s">
        <v>5511</v>
      </c>
      <c r="J920" t="s">
        <v>2328</v>
      </c>
      <c r="K920" t="s">
        <v>384</v>
      </c>
      <c r="L920">
        <v>28207</v>
      </c>
      <c r="M920" t="s">
        <v>5512</v>
      </c>
      <c r="N920">
        <v>5949</v>
      </c>
      <c r="O920" t="s">
        <v>2330</v>
      </c>
      <c r="P920">
        <v>5949</v>
      </c>
      <c r="Q920" t="s">
        <v>2330</v>
      </c>
      <c r="R920" t="s">
        <v>2331</v>
      </c>
      <c r="S920" t="s">
        <v>2332</v>
      </c>
      <c r="T920" t="s">
        <v>44</v>
      </c>
      <c r="U920" t="s">
        <v>45</v>
      </c>
      <c r="AC920" t="s">
        <v>2333</v>
      </c>
    </row>
    <row r="921" spans="1:33" x14ac:dyDescent="0.3">
      <c r="A921">
        <v>2509</v>
      </c>
      <c r="B921" t="s">
        <v>5513</v>
      </c>
      <c r="C921" t="str">
        <f>"1100002350857"</f>
        <v>1100002350857</v>
      </c>
      <c r="D921" t="str">
        <f>"360340G00"</f>
        <v>360340G00</v>
      </c>
      <c r="E921" s="1">
        <v>42583</v>
      </c>
      <c r="F921" t="s">
        <v>5514</v>
      </c>
      <c r="G921" t="e">
        <f>INDEX(#REF!,MATCH(P921,#REF!,0),1)</f>
        <v>#REF!</v>
      </c>
      <c r="H921" t="s">
        <v>5515</v>
      </c>
      <c r="J921" t="s">
        <v>2328</v>
      </c>
      <c r="K921" t="s">
        <v>384</v>
      </c>
      <c r="L921">
        <v>28210</v>
      </c>
      <c r="M921" t="s">
        <v>5516</v>
      </c>
      <c r="N921">
        <v>5949</v>
      </c>
      <c r="O921" t="s">
        <v>2330</v>
      </c>
      <c r="P921">
        <v>5949</v>
      </c>
      <c r="Q921" t="s">
        <v>2330</v>
      </c>
      <c r="R921" t="s">
        <v>2331</v>
      </c>
      <c r="S921" t="s">
        <v>2332</v>
      </c>
      <c r="T921" t="s">
        <v>44</v>
      </c>
      <c r="U921" t="s">
        <v>45</v>
      </c>
      <c r="AC921" t="s">
        <v>2333</v>
      </c>
    </row>
    <row r="922" spans="1:33" x14ac:dyDescent="0.3">
      <c r="A922">
        <v>2510</v>
      </c>
      <c r="B922" t="s">
        <v>5517</v>
      </c>
      <c r="C922" t="str">
        <f>""</f>
        <v/>
      </c>
      <c r="D922" t="str">
        <f>"521560J00"</f>
        <v>521560J00</v>
      </c>
      <c r="E922" s="1">
        <v>45139</v>
      </c>
      <c r="F922" t="s">
        <v>5518</v>
      </c>
      <c r="G922" t="e">
        <f>INDEX(#REF!,MATCH(P922,#REF!,0),1)</f>
        <v>#REF!</v>
      </c>
      <c r="H922" t="s">
        <v>5519</v>
      </c>
      <c r="J922" t="s">
        <v>5520</v>
      </c>
      <c r="K922" t="s">
        <v>139</v>
      </c>
      <c r="L922" t="s">
        <v>5521</v>
      </c>
      <c r="M922" t="s">
        <v>5522</v>
      </c>
      <c r="N922">
        <v>1592</v>
      </c>
      <c r="O922" t="s">
        <v>3897</v>
      </c>
      <c r="P922">
        <v>1592</v>
      </c>
      <c r="Q922" t="s">
        <v>3897</v>
      </c>
      <c r="R922" t="s">
        <v>1092</v>
      </c>
      <c r="S922" t="s">
        <v>1093</v>
      </c>
      <c r="T922" t="s">
        <v>44</v>
      </c>
      <c r="U922" t="s">
        <v>45</v>
      </c>
      <c r="AA922" t="s">
        <v>93</v>
      </c>
      <c r="AE922" t="s">
        <v>220</v>
      </c>
    </row>
    <row r="923" spans="1:33" x14ac:dyDescent="0.3">
      <c r="A923">
        <v>2511</v>
      </c>
      <c r="B923" t="s">
        <v>5523</v>
      </c>
      <c r="C923" t="str">
        <f>"1100005097766"</f>
        <v>1100005097766</v>
      </c>
      <c r="D923" t="str">
        <f>"9LPLLH6F1"</f>
        <v>9LPLLH6F1</v>
      </c>
      <c r="E923" s="1">
        <v>42248</v>
      </c>
      <c r="F923" t="s">
        <v>5524</v>
      </c>
      <c r="G923" t="e">
        <f>INDEX(#REF!,MATCH(P923,#REF!,0),1)</f>
        <v>#REF!</v>
      </c>
      <c r="H923" t="s">
        <v>5525</v>
      </c>
      <c r="J923" t="s">
        <v>5526</v>
      </c>
      <c r="K923" t="s">
        <v>37</v>
      </c>
      <c r="L923" t="s">
        <v>5527</v>
      </c>
      <c r="M923" t="s">
        <v>5528</v>
      </c>
      <c r="N923">
        <v>3548</v>
      </c>
      <c r="O923" t="s">
        <v>2222</v>
      </c>
      <c r="P923">
        <v>3548</v>
      </c>
      <c r="Q923" t="s">
        <v>2222</v>
      </c>
      <c r="R923" t="s">
        <v>335</v>
      </c>
      <c r="S923" t="s">
        <v>336</v>
      </c>
      <c r="T923" t="s">
        <v>44</v>
      </c>
      <c r="U923" t="s">
        <v>45</v>
      </c>
      <c r="Y923" t="s">
        <v>46</v>
      </c>
      <c r="Z923" s="1">
        <v>42248</v>
      </c>
      <c r="AE923" t="s">
        <v>47</v>
      </c>
      <c r="AG923" t="s">
        <v>48</v>
      </c>
    </row>
    <row r="924" spans="1:33" x14ac:dyDescent="0.3">
      <c r="A924">
        <v>2513</v>
      </c>
      <c r="B924" t="s">
        <v>5529</v>
      </c>
      <c r="C924" t="str">
        <f>""</f>
        <v/>
      </c>
      <c r="D924" t="str">
        <f>"141240C00"</f>
        <v>141240C00</v>
      </c>
      <c r="E924" s="1">
        <v>39384</v>
      </c>
      <c r="F924" t="s">
        <v>5530</v>
      </c>
      <c r="G924" t="e">
        <f>INDEX(#REF!,MATCH(P924,#REF!,0),1)</f>
        <v>#REF!</v>
      </c>
      <c r="H924" t="s">
        <v>5531</v>
      </c>
      <c r="J924" t="s">
        <v>5532</v>
      </c>
      <c r="K924" t="s">
        <v>2004</v>
      </c>
      <c r="L924" t="str">
        <f>"02557"</f>
        <v>02557</v>
      </c>
      <c r="M924" t="s">
        <v>5533</v>
      </c>
      <c r="N924">
        <v>2598</v>
      </c>
      <c r="O924" t="s">
        <v>2136</v>
      </c>
      <c r="P924">
        <v>2598</v>
      </c>
      <c r="Q924" t="s">
        <v>2136</v>
      </c>
      <c r="R924" t="s">
        <v>2492</v>
      </c>
      <c r="S924" t="s">
        <v>2493</v>
      </c>
      <c r="T924" t="s">
        <v>44</v>
      </c>
      <c r="U924" t="s">
        <v>45</v>
      </c>
      <c r="AE924" t="s">
        <v>72</v>
      </c>
      <c r="AG924" t="s">
        <v>48</v>
      </c>
    </row>
    <row r="925" spans="1:33" x14ac:dyDescent="0.3">
      <c r="A925">
        <v>2518</v>
      </c>
      <c r="B925" t="s">
        <v>5534</v>
      </c>
      <c r="C925" t="str">
        <f>""</f>
        <v/>
      </c>
      <c r="D925" t="str">
        <f>"34CCA5A00"</f>
        <v>34CCA5A00</v>
      </c>
      <c r="E925" s="1">
        <v>42583</v>
      </c>
      <c r="F925" t="s">
        <v>5535</v>
      </c>
      <c r="G925" t="e">
        <f>INDEX(#REF!,MATCH(P925,#REF!,0),1)</f>
        <v>#REF!</v>
      </c>
      <c r="H925" t="s">
        <v>5536</v>
      </c>
      <c r="J925" t="s">
        <v>1828</v>
      </c>
      <c r="K925" t="s">
        <v>251</v>
      </c>
      <c r="L925" t="str">
        <f>"08755"</f>
        <v>08755</v>
      </c>
      <c r="M925" t="s">
        <v>5537</v>
      </c>
      <c r="N925">
        <v>3209841</v>
      </c>
      <c r="O925" t="s">
        <v>410</v>
      </c>
      <c r="P925">
        <v>3209841</v>
      </c>
      <c r="Q925" t="s">
        <v>410</v>
      </c>
      <c r="R925" t="s">
        <v>4102</v>
      </c>
      <c r="S925" t="s">
        <v>4103</v>
      </c>
      <c r="T925" t="s">
        <v>2214</v>
      </c>
      <c r="U925" t="s">
        <v>2214</v>
      </c>
      <c r="V925" t="s">
        <v>1824</v>
      </c>
      <c r="Y925" t="s">
        <v>46</v>
      </c>
      <c r="Z925" s="1">
        <v>45170</v>
      </c>
      <c r="AE925" t="s">
        <v>47</v>
      </c>
      <c r="AG925" t="s">
        <v>48</v>
      </c>
    </row>
    <row r="926" spans="1:33" x14ac:dyDescent="0.3">
      <c r="A926">
        <v>2563</v>
      </c>
      <c r="B926" t="s">
        <v>5538</v>
      </c>
      <c r="C926" t="str">
        <f>""</f>
        <v/>
      </c>
      <c r="D926" t="str">
        <f>"R1NEKKX00"</f>
        <v>R1NEKKX00</v>
      </c>
      <c r="E926" s="1">
        <v>41151</v>
      </c>
      <c r="F926" t="s">
        <v>5539</v>
      </c>
      <c r="G926" t="e">
        <f>INDEX(#REF!,MATCH(P926,#REF!,0),1)</f>
        <v>#REF!</v>
      </c>
      <c r="H926" t="s">
        <v>5540</v>
      </c>
      <c r="J926" t="s">
        <v>5541</v>
      </c>
      <c r="K926" t="s">
        <v>125</v>
      </c>
      <c r="L926" t="s">
        <v>5542</v>
      </c>
      <c r="M926" t="s">
        <v>5543</v>
      </c>
      <c r="N926">
        <v>2563</v>
      </c>
      <c r="O926" t="s">
        <v>5539</v>
      </c>
      <c r="P926">
        <v>2563</v>
      </c>
      <c r="Q926" t="s">
        <v>5539</v>
      </c>
      <c r="R926" t="s">
        <v>4609</v>
      </c>
      <c r="S926" t="s">
        <v>4610</v>
      </c>
      <c r="T926" t="s">
        <v>2277</v>
      </c>
      <c r="U926" t="s">
        <v>3103</v>
      </c>
      <c r="V926" t="s">
        <v>2215</v>
      </c>
      <c r="AF926" t="s">
        <v>5544</v>
      </c>
    </row>
    <row r="927" spans="1:33" x14ac:dyDescent="0.3">
      <c r="A927">
        <v>2583</v>
      </c>
      <c r="B927" t="s">
        <v>5545</v>
      </c>
      <c r="C927" t="str">
        <f>"1100002980139"</f>
        <v>1100002980139</v>
      </c>
      <c r="D927" t="str">
        <f>"JEKPY7B00"</f>
        <v>JEKPY7B00</v>
      </c>
      <c r="E927" s="1">
        <v>31686</v>
      </c>
      <c r="F927" t="s">
        <v>2404</v>
      </c>
      <c r="G927" t="e">
        <f>INDEX(#REF!,MATCH(P927,#REF!,0),1)</f>
        <v>#REF!</v>
      </c>
      <c r="H927" t="s">
        <v>2401</v>
      </c>
      <c r="J927" t="s">
        <v>2402</v>
      </c>
      <c r="K927" t="s">
        <v>37</v>
      </c>
      <c r="L927" t="s">
        <v>5546</v>
      </c>
      <c r="M927" t="s">
        <v>2403</v>
      </c>
      <c r="N927">
        <v>210</v>
      </c>
      <c r="O927" t="s">
        <v>840</v>
      </c>
      <c r="P927">
        <v>210</v>
      </c>
      <c r="Q927" t="s">
        <v>840</v>
      </c>
      <c r="R927" t="s">
        <v>844</v>
      </c>
      <c r="S927" t="s">
        <v>845</v>
      </c>
      <c r="T927" t="s">
        <v>44</v>
      </c>
      <c r="U927" t="s">
        <v>81</v>
      </c>
      <c r="Y927" t="s">
        <v>46</v>
      </c>
      <c r="Z927" s="1">
        <v>42370</v>
      </c>
      <c r="AC927" t="s">
        <v>846</v>
      </c>
    </row>
    <row r="928" spans="1:33" x14ac:dyDescent="0.3">
      <c r="A928">
        <v>2586</v>
      </c>
      <c r="B928" t="s">
        <v>5547</v>
      </c>
      <c r="C928" t="str">
        <f>"1100003741531"</f>
        <v>1100003741531</v>
      </c>
      <c r="D928" t="str">
        <f>"631050F00"</f>
        <v>631050F00</v>
      </c>
      <c r="E928" s="1">
        <v>36220</v>
      </c>
      <c r="F928" t="s">
        <v>5548</v>
      </c>
      <c r="G928" t="e">
        <f>INDEX(#REF!,MATCH(P928,#REF!,0),1)</f>
        <v>#REF!</v>
      </c>
      <c r="H928" t="s">
        <v>5549</v>
      </c>
      <c r="J928" t="s">
        <v>3893</v>
      </c>
      <c r="K928" t="s">
        <v>177</v>
      </c>
      <c r="L928" t="s">
        <v>5550</v>
      </c>
      <c r="M928" t="s">
        <v>5551</v>
      </c>
      <c r="N928">
        <v>427</v>
      </c>
      <c r="O928" t="s">
        <v>1524</v>
      </c>
      <c r="P928">
        <v>427</v>
      </c>
      <c r="Q928" t="s">
        <v>1524</v>
      </c>
      <c r="R928" t="s">
        <v>1401</v>
      </c>
      <c r="S928" t="s">
        <v>1402</v>
      </c>
      <c r="T928" t="s">
        <v>44</v>
      </c>
      <c r="U928" t="s">
        <v>45</v>
      </c>
    </row>
    <row r="929" spans="1:33" x14ac:dyDescent="0.3">
      <c r="A929">
        <v>2589</v>
      </c>
      <c r="B929" t="s">
        <v>5552</v>
      </c>
      <c r="C929" t="str">
        <f>"1100002263348"</f>
        <v>1100002263348</v>
      </c>
      <c r="D929" t="str">
        <f>"744010G00"</f>
        <v>744010G00</v>
      </c>
      <c r="E929" s="1">
        <v>42583</v>
      </c>
      <c r="F929" t="s">
        <v>5553</v>
      </c>
      <c r="G929" t="e">
        <f>INDEX(#REF!,MATCH(P929,#REF!,0),1)</f>
        <v>#REF!</v>
      </c>
      <c r="H929" t="s">
        <v>5554</v>
      </c>
      <c r="J929" t="s">
        <v>1463</v>
      </c>
      <c r="K929" t="s">
        <v>676</v>
      </c>
      <c r="L929" t="s">
        <v>5555</v>
      </c>
      <c r="M929" t="s">
        <v>5556</v>
      </c>
      <c r="N929">
        <v>43193</v>
      </c>
      <c r="O929" t="s">
        <v>1465</v>
      </c>
      <c r="P929">
        <v>1101885</v>
      </c>
      <c r="Q929" t="s">
        <v>1466</v>
      </c>
      <c r="R929" t="s">
        <v>1467</v>
      </c>
      <c r="S929" t="s">
        <v>1468</v>
      </c>
      <c r="T929" t="s">
        <v>44</v>
      </c>
      <c r="U929" t="s">
        <v>45</v>
      </c>
      <c r="AA929" t="s">
        <v>1031</v>
      </c>
      <c r="AE929" t="s">
        <v>72</v>
      </c>
    </row>
    <row r="930" spans="1:33" x14ac:dyDescent="0.3">
      <c r="A930">
        <v>2598</v>
      </c>
      <c r="B930" t="s">
        <v>5557</v>
      </c>
      <c r="C930" t="str">
        <f>"1100002051754"</f>
        <v>1100002051754</v>
      </c>
      <c r="D930" t="str">
        <f>"B3VY5BN00"</f>
        <v>B3VY5BN00</v>
      </c>
      <c r="E930" s="1">
        <v>31385</v>
      </c>
      <c r="F930" t="s">
        <v>2136</v>
      </c>
      <c r="G930" t="e">
        <f>INDEX(#REF!,MATCH(P930,#REF!,0),1)</f>
        <v>#REF!</v>
      </c>
      <c r="H930" t="s">
        <v>5558</v>
      </c>
      <c r="I930" t="s">
        <v>5559</v>
      </c>
      <c r="J930" t="s">
        <v>2134</v>
      </c>
      <c r="K930" t="s">
        <v>2004</v>
      </c>
      <c r="L930" t="str">
        <f>"02199-8123"</f>
        <v>02199-8123</v>
      </c>
      <c r="M930" t="s">
        <v>5560</v>
      </c>
      <c r="N930">
        <v>2598</v>
      </c>
      <c r="O930" t="s">
        <v>2136</v>
      </c>
      <c r="P930">
        <v>2598</v>
      </c>
      <c r="Q930" t="s">
        <v>2136</v>
      </c>
      <c r="R930" t="s">
        <v>2492</v>
      </c>
      <c r="S930" t="s">
        <v>2493</v>
      </c>
      <c r="T930" t="s">
        <v>44</v>
      </c>
      <c r="U930" t="s">
        <v>81</v>
      </c>
      <c r="AE930" t="s">
        <v>72</v>
      </c>
      <c r="AG930" t="s">
        <v>48</v>
      </c>
    </row>
    <row r="931" spans="1:33" x14ac:dyDescent="0.3">
      <c r="A931">
        <v>2599</v>
      </c>
      <c r="B931" t="s">
        <v>5561</v>
      </c>
      <c r="C931" t="str">
        <f>""</f>
        <v/>
      </c>
      <c r="D931" t="str">
        <f>"HFT3CGK00"</f>
        <v>HFT3CGK00</v>
      </c>
      <c r="E931" s="1">
        <v>32097</v>
      </c>
      <c r="F931" t="s">
        <v>1870</v>
      </c>
      <c r="G931" t="e">
        <f>INDEX(#REF!,MATCH(P931,#REF!,0),1)</f>
        <v>#REF!</v>
      </c>
      <c r="H931" t="s">
        <v>5562</v>
      </c>
      <c r="J931" t="s">
        <v>5394</v>
      </c>
      <c r="K931" t="s">
        <v>835</v>
      </c>
      <c r="L931" t="s">
        <v>5563</v>
      </c>
      <c r="M931" t="s">
        <v>5564</v>
      </c>
      <c r="N931">
        <v>2599</v>
      </c>
      <c r="O931" t="s">
        <v>1870</v>
      </c>
      <c r="P931">
        <v>2599</v>
      </c>
      <c r="Q931" t="s">
        <v>1870</v>
      </c>
      <c r="R931" t="s">
        <v>649</v>
      </c>
      <c r="S931" t="s">
        <v>650</v>
      </c>
      <c r="T931" t="s">
        <v>44</v>
      </c>
      <c r="U931" t="s">
        <v>81</v>
      </c>
      <c r="AA931" t="s">
        <v>327</v>
      </c>
      <c r="AD931" t="s">
        <v>94</v>
      </c>
      <c r="AE931" t="s">
        <v>348</v>
      </c>
    </row>
    <row r="932" spans="1:33" x14ac:dyDescent="0.3">
      <c r="A932">
        <v>2600</v>
      </c>
      <c r="B932" t="s">
        <v>5565</v>
      </c>
      <c r="C932" t="str">
        <f>"1100004249906"</f>
        <v>1100004249906</v>
      </c>
      <c r="D932" t="str">
        <f>"72WRMN500"</f>
        <v>72WRMN500</v>
      </c>
      <c r="E932" s="1">
        <v>31414</v>
      </c>
      <c r="F932" t="s">
        <v>2033</v>
      </c>
      <c r="G932" t="e">
        <f>INDEX(#REF!,MATCH(P932,#REF!,0),1)</f>
        <v>#REF!</v>
      </c>
      <c r="H932" t="s">
        <v>2030</v>
      </c>
      <c r="J932" t="s">
        <v>2031</v>
      </c>
      <c r="K932" t="s">
        <v>1109</v>
      </c>
      <c r="L932" t="str">
        <f>"06610-2870"</f>
        <v>06610-2870</v>
      </c>
      <c r="M932" t="s">
        <v>5566</v>
      </c>
      <c r="N932">
        <v>286</v>
      </c>
      <c r="O932" t="s">
        <v>1106</v>
      </c>
      <c r="P932">
        <v>286</v>
      </c>
      <c r="Q932" t="s">
        <v>1106</v>
      </c>
      <c r="R932" t="s">
        <v>56</v>
      </c>
      <c r="S932" t="s">
        <v>57</v>
      </c>
      <c r="T932" t="s">
        <v>44</v>
      </c>
      <c r="U932" t="s">
        <v>81</v>
      </c>
      <c r="AA932" t="s">
        <v>58</v>
      </c>
      <c r="AE932" t="s">
        <v>60</v>
      </c>
      <c r="AG932" t="s">
        <v>48</v>
      </c>
    </row>
    <row r="933" spans="1:33" x14ac:dyDescent="0.3">
      <c r="A933">
        <v>2602</v>
      </c>
      <c r="B933" t="s">
        <v>5567</v>
      </c>
      <c r="C933" t="str">
        <f>"1100003375316"</f>
        <v>1100003375316</v>
      </c>
      <c r="D933" t="str">
        <f>"361550K00"</f>
        <v>361550K00</v>
      </c>
      <c r="E933" s="1">
        <v>44774</v>
      </c>
      <c r="F933" t="s">
        <v>5568</v>
      </c>
      <c r="G933" t="e">
        <f>INDEX(#REF!,MATCH(P933,#REF!,0),1)</f>
        <v>#REF!</v>
      </c>
      <c r="H933" t="s">
        <v>5569</v>
      </c>
      <c r="J933" t="s">
        <v>5570</v>
      </c>
      <c r="K933" t="s">
        <v>384</v>
      </c>
      <c r="L933">
        <v>28690</v>
      </c>
      <c r="M933" t="s">
        <v>5571</v>
      </c>
      <c r="N933">
        <v>2627538</v>
      </c>
      <c r="O933" t="s">
        <v>4554</v>
      </c>
      <c r="P933">
        <v>87200</v>
      </c>
      <c r="Q933" t="s">
        <v>5572</v>
      </c>
      <c r="R933" t="s">
        <v>2477</v>
      </c>
      <c r="S933" t="s">
        <v>2478</v>
      </c>
      <c r="T933" t="s">
        <v>2277</v>
      </c>
      <c r="U933" t="s">
        <v>2278</v>
      </c>
      <c r="V933" t="s">
        <v>1824</v>
      </c>
      <c r="AA933" t="s">
        <v>93</v>
      </c>
      <c r="AE933" t="s">
        <v>591</v>
      </c>
      <c r="AG933" t="s">
        <v>48</v>
      </c>
    </row>
    <row r="934" spans="1:33" x14ac:dyDescent="0.3">
      <c r="A934">
        <v>2603</v>
      </c>
      <c r="B934" t="s">
        <v>5573</v>
      </c>
      <c r="C934" t="str">
        <f>""</f>
        <v/>
      </c>
      <c r="D934" t="str">
        <f>"670410I00"</f>
        <v>670410I00</v>
      </c>
      <c r="E934" s="1">
        <v>34973</v>
      </c>
      <c r="F934" t="s">
        <v>5574</v>
      </c>
      <c r="G934" t="e">
        <f>INDEX(#REF!,MATCH(P934,#REF!,0),1)</f>
        <v>#REF!</v>
      </c>
      <c r="H934" t="s">
        <v>5575</v>
      </c>
      <c r="J934" t="s">
        <v>5576</v>
      </c>
      <c r="K934" t="s">
        <v>835</v>
      </c>
      <c r="L934" t="s">
        <v>5577</v>
      </c>
      <c r="M934" t="s">
        <v>5578</v>
      </c>
      <c r="N934">
        <v>6104582</v>
      </c>
      <c r="O934" t="s">
        <v>180</v>
      </c>
      <c r="P934">
        <v>3951</v>
      </c>
      <c r="Q934" t="s">
        <v>954</v>
      </c>
      <c r="R934" t="s">
        <v>182</v>
      </c>
      <c r="S934" t="s">
        <v>183</v>
      </c>
      <c r="T934" t="s">
        <v>44</v>
      </c>
      <c r="U934" t="s">
        <v>45</v>
      </c>
      <c r="AD934" t="s">
        <v>94</v>
      </c>
      <c r="AE934" t="s">
        <v>186</v>
      </c>
    </row>
    <row r="935" spans="1:33" x14ac:dyDescent="0.3">
      <c r="A935">
        <v>2610</v>
      </c>
      <c r="B935" t="s">
        <v>5579</v>
      </c>
      <c r="C935" t="str">
        <f>""</f>
        <v/>
      </c>
      <c r="D935" t="str">
        <f>"411600C00"</f>
        <v>411600C00</v>
      </c>
      <c r="E935" s="1">
        <v>44531</v>
      </c>
      <c r="F935" t="s">
        <v>5580</v>
      </c>
      <c r="G935" t="e">
        <f>INDEX(#REF!,MATCH(P935,#REF!,0),1)</f>
        <v>#REF!</v>
      </c>
      <c r="H935" t="s">
        <v>5581</v>
      </c>
      <c r="J935" t="s">
        <v>5582</v>
      </c>
      <c r="K935" t="s">
        <v>37</v>
      </c>
      <c r="L935">
        <v>44646</v>
      </c>
      <c r="M935" t="s">
        <v>5583</v>
      </c>
      <c r="N935">
        <v>2610</v>
      </c>
      <c r="O935" t="s">
        <v>5580</v>
      </c>
      <c r="P935">
        <v>2610</v>
      </c>
      <c r="Q935" t="s">
        <v>5580</v>
      </c>
      <c r="R935" t="s">
        <v>245</v>
      </c>
      <c r="S935" t="s">
        <v>246</v>
      </c>
      <c r="T935" t="s">
        <v>44</v>
      </c>
      <c r="U935" t="s">
        <v>45</v>
      </c>
    </row>
    <row r="936" spans="1:33" x14ac:dyDescent="0.3">
      <c r="A936">
        <v>2611</v>
      </c>
      <c r="B936" t="s">
        <v>5584</v>
      </c>
      <c r="C936" t="str">
        <f>""</f>
        <v/>
      </c>
      <c r="D936" t="str">
        <f>"410960K00"</f>
        <v>410960K00</v>
      </c>
      <c r="E936" s="1">
        <v>42583</v>
      </c>
      <c r="F936" t="s">
        <v>5585</v>
      </c>
      <c r="G936" t="e">
        <f>INDEX(#REF!,MATCH(P936,#REF!,0),1)</f>
        <v>#REF!</v>
      </c>
      <c r="H936" t="s">
        <v>5586</v>
      </c>
      <c r="J936" t="s">
        <v>5587</v>
      </c>
      <c r="K936" t="s">
        <v>37</v>
      </c>
      <c r="L936">
        <v>44223</v>
      </c>
      <c r="M936" t="s">
        <v>5588</v>
      </c>
      <c r="N936">
        <v>2611</v>
      </c>
      <c r="O936" t="s">
        <v>5585</v>
      </c>
      <c r="P936">
        <v>2611</v>
      </c>
      <c r="Q936" t="s">
        <v>5585</v>
      </c>
      <c r="R936" t="s">
        <v>940</v>
      </c>
      <c r="S936" t="s">
        <v>941</v>
      </c>
      <c r="T936" t="s">
        <v>44</v>
      </c>
      <c r="U936" t="s">
        <v>45</v>
      </c>
    </row>
    <row r="937" spans="1:33" x14ac:dyDescent="0.3">
      <c r="A937">
        <v>2613</v>
      </c>
      <c r="B937" t="s">
        <v>5589</v>
      </c>
      <c r="C937" t="str">
        <f>""</f>
        <v/>
      </c>
      <c r="D937" t="str">
        <f>"670230I00"</f>
        <v>670230I00</v>
      </c>
      <c r="E937" s="1">
        <v>34973</v>
      </c>
      <c r="F937" t="s">
        <v>5590</v>
      </c>
      <c r="G937" t="e">
        <f>INDEX(#REF!,MATCH(P937,#REF!,0),1)</f>
        <v>#REF!</v>
      </c>
      <c r="H937" t="s">
        <v>5591</v>
      </c>
      <c r="J937" t="s">
        <v>5592</v>
      </c>
      <c r="K937" t="s">
        <v>835</v>
      </c>
      <c r="L937" t="s">
        <v>5593</v>
      </c>
      <c r="M937" t="s">
        <v>5594</v>
      </c>
      <c r="N937">
        <v>2599</v>
      </c>
      <c r="O937" t="s">
        <v>1870</v>
      </c>
      <c r="P937">
        <v>2599</v>
      </c>
      <c r="Q937" t="s">
        <v>1870</v>
      </c>
      <c r="R937" t="s">
        <v>649</v>
      </c>
      <c r="S937" t="s">
        <v>650</v>
      </c>
      <c r="T937" t="s">
        <v>44</v>
      </c>
      <c r="U937" t="s">
        <v>45</v>
      </c>
      <c r="AA937" t="s">
        <v>327</v>
      </c>
      <c r="AD937" t="s">
        <v>94</v>
      </c>
      <c r="AE937" t="s">
        <v>348</v>
      </c>
    </row>
    <row r="938" spans="1:33" x14ac:dyDescent="0.3">
      <c r="A938">
        <v>2618</v>
      </c>
      <c r="B938" t="s">
        <v>5595</v>
      </c>
      <c r="C938" t="str">
        <f>""</f>
        <v/>
      </c>
      <c r="D938" t="str">
        <f>"RWF7G4T00"</f>
        <v>RWF7G4T00</v>
      </c>
      <c r="E938" s="1">
        <v>39846</v>
      </c>
      <c r="F938" t="s">
        <v>5596</v>
      </c>
      <c r="G938" t="e">
        <f>INDEX(#REF!,MATCH(P938,#REF!,0),1)</f>
        <v>#REF!</v>
      </c>
      <c r="H938" t="s">
        <v>5597</v>
      </c>
      <c r="J938" t="s">
        <v>5570</v>
      </c>
      <c r="K938" t="s">
        <v>384</v>
      </c>
      <c r="L938">
        <v>28690</v>
      </c>
      <c r="M938" t="s">
        <v>5598</v>
      </c>
      <c r="N938">
        <v>5949</v>
      </c>
      <c r="O938" t="s">
        <v>2330</v>
      </c>
      <c r="P938">
        <v>5949</v>
      </c>
      <c r="Q938" t="s">
        <v>2330</v>
      </c>
      <c r="R938" t="s">
        <v>2331</v>
      </c>
      <c r="S938" t="s">
        <v>2332</v>
      </c>
      <c r="T938" t="s">
        <v>2214</v>
      </c>
      <c r="U938" t="s">
        <v>5012</v>
      </c>
      <c r="V938" t="s">
        <v>2215</v>
      </c>
      <c r="AC938" t="s">
        <v>2333</v>
      </c>
    </row>
    <row r="939" spans="1:33" x14ac:dyDescent="0.3">
      <c r="A939">
        <v>2622</v>
      </c>
      <c r="B939" t="s">
        <v>5599</v>
      </c>
      <c r="C939" t="str">
        <f>""</f>
        <v/>
      </c>
      <c r="D939" t="str">
        <f>"2NJ2X0700"</f>
        <v>2NJ2X0700</v>
      </c>
      <c r="E939" s="1">
        <v>34973</v>
      </c>
      <c r="F939" t="s">
        <v>5600</v>
      </c>
      <c r="G939" t="e">
        <f>INDEX(#REF!,MATCH(P939,#REF!,0),1)</f>
        <v>#REF!</v>
      </c>
      <c r="H939" t="s">
        <v>5601</v>
      </c>
      <c r="J939" t="s">
        <v>5602</v>
      </c>
      <c r="K939" t="s">
        <v>1109</v>
      </c>
      <c r="L939" t="str">
        <f>"06801-1067"</f>
        <v>06801-1067</v>
      </c>
      <c r="M939" t="s">
        <v>5603</v>
      </c>
      <c r="N939">
        <v>3500897</v>
      </c>
      <c r="O939" t="s">
        <v>1986</v>
      </c>
      <c r="P939">
        <v>2378</v>
      </c>
      <c r="Q939" t="s">
        <v>1987</v>
      </c>
      <c r="R939" t="s">
        <v>1821</v>
      </c>
      <c r="S939" t="s">
        <v>1822</v>
      </c>
      <c r="T939" t="s">
        <v>4245</v>
      </c>
      <c r="U939" t="s">
        <v>4832</v>
      </c>
      <c r="V939" t="s">
        <v>1824</v>
      </c>
      <c r="AA939" t="s">
        <v>58</v>
      </c>
      <c r="AE939" t="s">
        <v>60</v>
      </c>
    </row>
    <row r="940" spans="1:33" x14ac:dyDescent="0.3">
      <c r="A940">
        <v>2626</v>
      </c>
      <c r="B940" t="s">
        <v>5604</v>
      </c>
      <c r="C940" t="str">
        <f>"1100003429712"</f>
        <v>1100003429712</v>
      </c>
      <c r="D940" t="str">
        <f>"1YJLPNF00"</f>
        <v>1YJLPNF00</v>
      </c>
      <c r="E940" s="1">
        <v>34943</v>
      </c>
      <c r="F940" t="s">
        <v>5605</v>
      </c>
      <c r="G940" t="e">
        <f>INDEX(#REF!,MATCH(P940,#REF!,0),1)</f>
        <v>#REF!</v>
      </c>
      <c r="H940" t="s">
        <v>5606</v>
      </c>
      <c r="J940" t="s">
        <v>5607</v>
      </c>
      <c r="K940" t="s">
        <v>676</v>
      </c>
      <c r="L940" t="s">
        <v>5608</v>
      </c>
      <c r="M940" t="s">
        <v>5609</v>
      </c>
      <c r="N940">
        <v>170</v>
      </c>
      <c r="O940" t="s">
        <v>673</v>
      </c>
      <c r="P940">
        <v>170</v>
      </c>
      <c r="Q940" t="s">
        <v>673</v>
      </c>
      <c r="R940" t="s">
        <v>3799</v>
      </c>
      <c r="S940" t="s">
        <v>3800</v>
      </c>
      <c r="T940" t="s">
        <v>2277</v>
      </c>
      <c r="U940" t="s">
        <v>2278</v>
      </c>
      <c r="V940" t="s">
        <v>1824</v>
      </c>
      <c r="AA940" t="s">
        <v>105</v>
      </c>
      <c r="AE940" t="s">
        <v>106</v>
      </c>
      <c r="AG940" t="s">
        <v>48</v>
      </c>
    </row>
    <row r="941" spans="1:33" x14ac:dyDescent="0.3">
      <c r="A941">
        <v>2627</v>
      </c>
      <c r="B941" t="s">
        <v>5610</v>
      </c>
      <c r="C941" t="str">
        <f>"1100002185589"</f>
        <v>1100002185589</v>
      </c>
      <c r="D941" t="str">
        <f>"37BX3N800"</f>
        <v>37BX3N800</v>
      </c>
      <c r="E941" s="1">
        <v>34943</v>
      </c>
      <c r="F941" t="s">
        <v>5611</v>
      </c>
      <c r="G941" t="e">
        <f>INDEX(#REF!,MATCH(P941,#REF!,0),1)</f>
        <v>#REF!</v>
      </c>
      <c r="H941" t="s">
        <v>5612</v>
      </c>
      <c r="J941" t="s">
        <v>5613</v>
      </c>
      <c r="K941" t="s">
        <v>676</v>
      </c>
      <c r="L941" t="s">
        <v>5614</v>
      </c>
      <c r="M941" t="s">
        <v>5615</v>
      </c>
      <c r="N941">
        <v>170</v>
      </c>
      <c r="O941" t="s">
        <v>673</v>
      </c>
      <c r="P941">
        <v>170</v>
      </c>
      <c r="Q941" t="s">
        <v>673</v>
      </c>
      <c r="R941" t="s">
        <v>3799</v>
      </c>
      <c r="S941" t="s">
        <v>3800</v>
      </c>
      <c r="T941" t="s">
        <v>2277</v>
      </c>
      <c r="U941" t="s">
        <v>2278</v>
      </c>
      <c r="V941" t="s">
        <v>1824</v>
      </c>
      <c r="AA941" t="s">
        <v>105</v>
      </c>
      <c r="AE941" t="s">
        <v>106</v>
      </c>
      <c r="AG941" t="s">
        <v>48</v>
      </c>
    </row>
    <row r="942" spans="1:33" x14ac:dyDescent="0.3">
      <c r="A942">
        <v>2628</v>
      </c>
      <c r="B942" t="s">
        <v>5616</v>
      </c>
      <c r="C942" t="str">
        <f>"1100005594180"</f>
        <v>1100005594180</v>
      </c>
      <c r="D942" t="str">
        <f>""</f>
        <v/>
      </c>
      <c r="E942" s="1">
        <v>34943</v>
      </c>
      <c r="F942" t="s">
        <v>5617</v>
      </c>
      <c r="G942" t="e">
        <f>INDEX(#REF!,MATCH(P942,#REF!,0),1)</f>
        <v>#REF!</v>
      </c>
      <c r="H942" t="s">
        <v>5618</v>
      </c>
      <c r="J942" t="s">
        <v>5619</v>
      </c>
      <c r="K942" t="s">
        <v>676</v>
      </c>
      <c r="L942" t="s">
        <v>5620</v>
      </c>
      <c r="M942" t="s">
        <v>5621</v>
      </c>
      <c r="N942">
        <v>170</v>
      </c>
      <c r="O942" t="s">
        <v>673</v>
      </c>
      <c r="P942">
        <v>170</v>
      </c>
      <c r="Q942" t="s">
        <v>673</v>
      </c>
      <c r="R942" t="s">
        <v>3799</v>
      </c>
      <c r="S942" t="s">
        <v>3800</v>
      </c>
      <c r="T942" t="s">
        <v>2277</v>
      </c>
      <c r="U942" t="s">
        <v>5622</v>
      </c>
      <c r="V942" t="s">
        <v>1824</v>
      </c>
      <c r="AA942" t="s">
        <v>105</v>
      </c>
      <c r="AG942" t="s">
        <v>48</v>
      </c>
    </row>
    <row r="943" spans="1:33" x14ac:dyDescent="0.3">
      <c r="A943">
        <v>2630</v>
      </c>
      <c r="B943" t="s">
        <v>5623</v>
      </c>
      <c r="C943" t="str">
        <f>"1100002507183"</f>
        <v>1100002507183</v>
      </c>
      <c r="D943" t="str">
        <f>"R7CQ0XX00"</f>
        <v>R7CQ0XX00</v>
      </c>
      <c r="E943" s="1">
        <v>34943</v>
      </c>
      <c r="F943" t="s">
        <v>5624</v>
      </c>
      <c r="G943" t="e">
        <f>INDEX(#REF!,MATCH(P943,#REF!,0),1)</f>
        <v>#REF!</v>
      </c>
      <c r="H943" t="s">
        <v>5625</v>
      </c>
      <c r="J943" t="s">
        <v>5626</v>
      </c>
      <c r="K943" t="s">
        <v>676</v>
      </c>
      <c r="L943" t="s">
        <v>5627</v>
      </c>
      <c r="M943" t="s">
        <v>5628</v>
      </c>
      <c r="N943">
        <v>170</v>
      </c>
      <c r="O943" t="s">
        <v>673</v>
      </c>
      <c r="P943">
        <v>170</v>
      </c>
      <c r="Q943" t="s">
        <v>673</v>
      </c>
      <c r="R943" t="s">
        <v>3799</v>
      </c>
      <c r="S943" t="s">
        <v>3800</v>
      </c>
      <c r="T943" t="s">
        <v>2277</v>
      </c>
      <c r="U943" t="s">
        <v>5629</v>
      </c>
      <c r="V943" t="s">
        <v>1824</v>
      </c>
      <c r="AA943" t="s">
        <v>105</v>
      </c>
      <c r="AE943" t="s">
        <v>106</v>
      </c>
      <c r="AG943" t="s">
        <v>48</v>
      </c>
    </row>
    <row r="944" spans="1:33" x14ac:dyDescent="0.3">
      <c r="A944">
        <v>2631</v>
      </c>
      <c r="B944" t="s">
        <v>5630</v>
      </c>
      <c r="C944" t="str">
        <f>"1100002107802"</f>
        <v>1100002107802</v>
      </c>
      <c r="D944" t="str">
        <f>"6JJXME500"</f>
        <v>6JJXME500</v>
      </c>
      <c r="E944" s="1">
        <v>34943</v>
      </c>
      <c r="F944" t="s">
        <v>5631</v>
      </c>
      <c r="G944" t="e">
        <f>INDEX(#REF!,MATCH(P944,#REF!,0),1)</f>
        <v>#REF!</v>
      </c>
      <c r="H944" t="s">
        <v>5632</v>
      </c>
      <c r="J944" t="s">
        <v>675</v>
      </c>
      <c r="K944" t="s">
        <v>676</v>
      </c>
      <c r="L944" t="s">
        <v>5633</v>
      </c>
      <c r="M944" t="s">
        <v>5634</v>
      </c>
      <c r="N944">
        <v>170</v>
      </c>
      <c r="O944" t="s">
        <v>673</v>
      </c>
      <c r="P944">
        <v>170</v>
      </c>
      <c r="Q944" t="s">
        <v>673</v>
      </c>
      <c r="R944" t="s">
        <v>3799</v>
      </c>
      <c r="S944" t="s">
        <v>3800</v>
      </c>
      <c r="T944" t="s">
        <v>2277</v>
      </c>
      <c r="U944" t="s">
        <v>5629</v>
      </c>
      <c r="V944" t="s">
        <v>1824</v>
      </c>
      <c r="AA944" t="s">
        <v>105</v>
      </c>
      <c r="AE944" t="s">
        <v>106</v>
      </c>
      <c r="AG944" t="s">
        <v>48</v>
      </c>
    </row>
    <row r="945" spans="1:33" x14ac:dyDescent="0.3">
      <c r="A945">
        <v>2632</v>
      </c>
      <c r="B945" t="s">
        <v>5635</v>
      </c>
      <c r="C945" t="str">
        <f>"1100002618957"</f>
        <v>1100002618957</v>
      </c>
      <c r="D945" t="str">
        <f>"329TPC800"</f>
        <v>329TPC800</v>
      </c>
      <c r="E945" s="1">
        <v>34943</v>
      </c>
      <c r="F945" t="s">
        <v>5636</v>
      </c>
      <c r="G945" t="e">
        <f>INDEX(#REF!,MATCH(P945,#REF!,0),1)</f>
        <v>#REF!</v>
      </c>
      <c r="H945" t="s">
        <v>5637</v>
      </c>
      <c r="J945" t="s">
        <v>5638</v>
      </c>
      <c r="K945" t="s">
        <v>676</v>
      </c>
      <c r="L945" t="s">
        <v>5639</v>
      </c>
      <c r="M945" t="s">
        <v>5640</v>
      </c>
      <c r="N945">
        <v>170</v>
      </c>
      <c r="O945" t="s">
        <v>673</v>
      </c>
      <c r="P945">
        <v>170</v>
      </c>
      <c r="Q945" t="s">
        <v>673</v>
      </c>
      <c r="R945" t="s">
        <v>3799</v>
      </c>
      <c r="S945" t="s">
        <v>3800</v>
      </c>
      <c r="T945" t="s">
        <v>2277</v>
      </c>
      <c r="U945" t="s">
        <v>2278</v>
      </c>
      <c r="V945" t="s">
        <v>1824</v>
      </c>
      <c r="AA945" t="s">
        <v>105</v>
      </c>
      <c r="AE945" t="s">
        <v>106</v>
      </c>
      <c r="AG945" t="s">
        <v>48</v>
      </c>
    </row>
    <row r="946" spans="1:33" x14ac:dyDescent="0.3">
      <c r="A946">
        <v>2633</v>
      </c>
      <c r="B946" t="s">
        <v>5641</v>
      </c>
      <c r="C946" t="str">
        <f>"1100003573163"</f>
        <v>1100003573163</v>
      </c>
      <c r="D946" t="str">
        <f>"FVQH20J00"</f>
        <v>FVQH20J00</v>
      </c>
      <c r="E946" s="1">
        <v>34943</v>
      </c>
      <c r="F946" t="s">
        <v>5642</v>
      </c>
      <c r="G946" t="e">
        <f>INDEX(#REF!,MATCH(P946,#REF!,0),1)</f>
        <v>#REF!</v>
      </c>
      <c r="H946" t="s">
        <v>5643</v>
      </c>
      <c r="J946" t="s">
        <v>675</v>
      </c>
      <c r="K946" t="s">
        <v>676</v>
      </c>
      <c r="L946" t="s">
        <v>5644</v>
      </c>
      <c r="M946" t="s">
        <v>4345</v>
      </c>
      <c r="N946">
        <v>170</v>
      </c>
      <c r="O946" t="s">
        <v>673</v>
      </c>
      <c r="P946">
        <v>170</v>
      </c>
      <c r="Q946" t="s">
        <v>673</v>
      </c>
      <c r="R946" t="s">
        <v>3799</v>
      </c>
      <c r="S946" t="s">
        <v>3800</v>
      </c>
      <c r="T946" t="s">
        <v>2277</v>
      </c>
      <c r="U946" t="s">
        <v>5629</v>
      </c>
      <c r="V946" t="s">
        <v>1824</v>
      </c>
      <c r="AA946" t="s">
        <v>105</v>
      </c>
      <c r="AE946" t="s">
        <v>106</v>
      </c>
      <c r="AG946" t="s">
        <v>48</v>
      </c>
    </row>
    <row r="947" spans="1:33" x14ac:dyDescent="0.3">
      <c r="A947">
        <v>2634</v>
      </c>
      <c r="B947" t="s">
        <v>5645</v>
      </c>
      <c r="C947" t="str">
        <f>"1100003846489"</f>
        <v>1100003846489</v>
      </c>
      <c r="D947" t="str">
        <f>"L8CLAXX00"</f>
        <v>L8CLAXX00</v>
      </c>
      <c r="E947" s="1">
        <v>34943</v>
      </c>
      <c r="F947" t="s">
        <v>5646</v>
      </c>
      <c r="G947" t="e">
        <f>INDEX(#REF!,MATCH(P947,#REF!,0),1)</f>
        <v>#REF!</v>
      </c>
      <c r="H947" t="s">
        <v>5647</v>
      </c>
      <c r="J947" t="s">
        <v>5648</v>
      </c>
      <c r="K947" t="s">
        <v>676</v>
      </c>
      <c r="L947" t="s">
        <v>5649</v>
      </c>
      <c r="M947" t="s">
        <v>5650</v>
      </c>
      <c r="N947">
        <v>170</v>
      </c>
      <c r="O947" t="s">
        <v>673</v>
      </c>
      <c r="P947">
        <v>170</v>
      </c>
      <c r="Q947" t="s">
        <v>673</v>
      </c>
      <c r="R947" t="s">
        <v>3799</v>
      </c>
      <c r="S947" t="s">
        <v>3800</v>
      </c>
      <c r="T947" t="s">
        <v>2277</v>
      </c>
      <c r="U947" t="s">
        <v>5651</v>
      </c>
      <c r="V947" t="s">
        <v>1824</v>
      </c>
      <c r="AA947" t="s">
        <v>105</v>
      </c>
      <c r="AE947" t="s">
        <v>106</v>
      </c>
      <c r="AG947" t="s">
        <v>48</v>
      </c>
    </row>
    <row r="948" spans="1:33" x14ac:dyDescent="0.3">
      <c r="A948">
        <v>2635</v>
      </c>
      <c r="B948" t="s">
        <v>5652</v>
      </c>
      <c r="C948" t="str">
        <f>""</f>
        <v/>
      </c>
      <c r="D948" t="str">
        <f>"09JBL8W00"</f>
        <v>09JBL8W00</v>
      </c>
      <c r="E948" s="1">
        <v>34943</v>
      </c>
      <c r="F948" t="s">
        <v>5653</v>
      </c>
      <c r="G948" t="e">
        <f>INDEX(#REF!,MATCH(P948,#REF!,0),1)</f>
        <v>#REF!</v>
      </c>
      <c r="H948" t="s">
        <v>5654</v>
      </c>
      <c r="J948" t="s">
        <v>5648</v>
      </c>
      <c r="K948" t="s">
        <v>676</v>
      </c>
      <c r="L948" t="s">
        <v>5655</v>
      </c>
      <c r="M948" t="s">
        <v>5656</v>
      </c>
      <c r="N948">
        <v>170</v>
      </c>
      <c r="O948" t="s">
        <v>673</v>
      </c>
      <c r="P948">
        <v>170</v>
      </c>
      <c r="Q948" t="s">
        <v>673</v>
      </c>
      <c r="R948" t="s">
        <v>3799</v>
      </c>
      <c r="S948" t="s">
        <v>3800</v>
      </c>
      <c r="T948" t="s">
        <v>2277</v>
      </c>
      <c r="U948" t="s">
        <v>5497</v>
      </c>
      <c r="V948" t="s">
        <v>1824</v>
      </c>
      <c r="AA948" t="s">
        <v>105</v>
      </c>
      <c r="AE948" t="s">
        <v>106</v>
      </c>
      <c r="AG948" t="s">
        <v>48</v>
      </c>
    </row>
    <row r="949" spans="1:33" x14ac:dyDescent="0.3">
      <c r="A949">
        <v>2636</v>
      </c>
      <c r="B949" t="s">
        <v>5657</v>
      </c>
      <c r="C949" t="str">
        <f>"1100005293502"</f>
        <v>1100005293502</v>
      </c>
      <c r="D949" t="str">
        <f>""</f>
        <v/>
      </c>
      <c r="E949" s="1">
        <v>34943</v>
      </c>
      <c r="F949" t="s">
        <v>5658</v>
      </c>
      <c r="G949" t="e">
        <f>INDEX(#REF!,MATCH(P949,#REF!,0),1)</f>
        <v>#REF!</v>
      </c>
      <c r="H949" t="s">
        <v>5659</v>
      </c>
      <c r="J949" t="s">
        <v>5648</v>
      </c>
      <c r="K949" t="s">
        <v>676</v>
      </c>
      <c r="L949">
        <v>77702</v>
      </c>
      <c r="M949" t="s">
        <v>5660</v>
      </c>
      <c r="N949">
        <v>170</v>
      </c>
      <c r="O949" t="s">
        <v>673</v>
      </c>
      <c r="P949">
        <v>170</v>
      </c>
      <c r="Q949" t="s">
        <v>673</v>
      </c>
      <c r="R949" t="s">
        <v>3799</v>
      </c>
      <c r="S949" t="s">
        <v>3800</v>
      </c>
      <c r="T949" t="s">
        <v>2277</v>
      </c>
      <c r="U949" t="s">
        <v>2278</v>
      </c>
      <c r="V949" t="s">
        <v>1824</v>
      </c>
      <c r="AA949" t="s">
        <v>105</v>
      </c>
      <c r="AG949" t="s">
        <v>48</v>
      </c>
    </row>
    <row r="950" spans="1:33" x14ac:dyDescent="0.3">
      <c r="A950">
        <v>2637</v>
      </c>
      <c r="B950" t="s">
        <v>5661</v>
      </c>
      <c r="C950" t="str">
        <f>"1100002927851"</f>
        <v>1100002927851</v>
      </c>
      <c r="D950" t="str">
        <f>"1F3222P00"</f>
        <v>1F3222P00</v>
      </c>
      <c r="E950" s="1">
        <v>34943</v>
      </c>
      <c r="F950" t="s">
        <v>5662</v>
      </c>
      <c r="G950" t="e">
        <f>INDEX(#REF!,MATCH(P950,#REF!,0),1)</f>
        <v>#REF!</v>
      </c>
      <c r="H950" t="s">
        <v>5663</v>
      </c>
      <c r="I950" t="s">
        <v>5664</v>
      </c>
      <c r="J950" t="s">
        <v>675</v>
      </c>
      <c r="K950" t="s">
        <v>676</v>
      </c>
      <c r="L950" t="s">
        <v>5665</v>
      </c>
      <c r="M950" t="s">
        <v>4345</v>
      </c>
      <c r="N950">
        <v>170</v>
      </c>
      <c r="O950" t="s">
        <v>673</v>
      </c>
      <c r="P950">
        <v>170</v>
      </c>
      <c r="Q950" t="s">
        <v>673</v>
      </c>
      <c r="R950" t="s">
        <v>3799</v>
      </c>
      <c r="S950" t="s">
        <v>3800</v>
      </c>
      <c r="T950" t="s">
        <v>2277</v>
      </c>
      <c r="U950" t="s">
        <v>5651</v>
      </c>
      <c r="V950" t="s">
        <v>1824</v>
      </c>
      <c r="AA950" t="s">
        <v>105</v>
      </c>
      <c r="AE950" t="s">
        <v>106</v>
      </c>
      <c r="AG950" t="s">
        <v>48</v>
      </c>
    </row>
    <row r="951" spans="1:33" x14ac:dyDescent="0.3">
      <c r="A951">
        <v>2638</v>
      </c>
      <c r="B951" t="s">
        <v>5666</v>
      </c>
      <c r="C951" t="str">
        <f>"1100005888418"</f>
        <v>1100005888418</v>
      </c>
      <c r="D951" t="str">
        <f>"EXJ9TPL00"</f>
        <v>EXJ9TPL00</v>
      </c>
      <c r="E951" s="1">
        <v>34943</v>
      </c>
      <c r="F951" t="s">
        <v>5667</v>
      </c>
      <c r="G951" t="e">
        <f>INDEX(#REF!,MATCH(P951,#REF!,0),1)</f>
        <v>#REF!</v>
      </c>
      <c r="H951" t="s">
        <v>5668</v>
      </c>
      <c r="J951" t="s">
        <v>675</v>
      </c>
      <c r="K951" t="s">
        <v>676</v>
      </c>
      <c r="L951" t="s">
        <v>5669</v>
      </c>
      <c r="M951" t="s">
        <v>5670</v>
      </c>
      <c r="N951">
        <v>170</v>
      </c>
      <c r="O951" t="s">
        <v>673</v>
      </c>
      <c r="P951">
        <v>170</v>
      </c>
      <c r="Q951" t="s">
        <v>673</v>
      </c>
      <c r="R951" t="s">
        <v>3799</v>
      </c>
      <c r="S951" t="s">
        <v>3800</v>
      </c>
      <c r="T951" t="s">
        <v>2277</v>
      </c>
      <c r="U951" t="s">
        <v>5651</v>
      </c>
      <c r="V951" t="s">
        <v>1824</v>
      </c>
      <c r="AA951" t="s">
        <v>105</v>
      </c>
      <c r="AE951" t="s">
        <v>106</v>
      </c>
      <c r="AG951" t="s">
        <v>48</v>
      </c>
    </row>
    <row r="952" spans="1:33" x14ac:dyDescent="0.3">
      <c r="A952">
        <v>2639</v>
      </c>
      <c r="B952" t="s">
        <v>5671</v>
      </c>
      <c r="C952" t="str">
        <f>"1100003258008"</f>
        <v>1100003258008</v>
      </c>
      <c r="D952" t="str">
        <f>"EFA9M8600"</f>
        <v>EFA9M8600</v>
      </c>
      <c r="E952" s="1">
        <v>34943</v>
      </c>
      <c r="F952" t="s">
        <v>5672</v>
      </c>
      <c r="G952" t="e">
        <f>INDEX(#REF!,MATCH(P952,#REF!,0),1)</f>
        <v>#REF!</v>
      </c>
      <c r="H952" t="s">
        <v>5673</v>
      </c>
      <c r="J952" t="s">
        <v>675</v>
      </c>
      <c r="K952" t="s">
        <v>676</v>
      </c>
      <c r="L952" t="s">
        <v>5674</v>
      </c>
      <c r="M952" t="s">
        <v>5675</v>
      </c>
      <c r="N952">
        <v>170</v>
      </c>
      <c r="O952" t="s">
        <v>673</v>
      </c>
      <c r="P952">
        <v>170</v>
      </c>
      <c r="Q952" t="s">
        <v>673</v>
      </c>
      <c r="R952" t="s">
        <v>3799</v>
      </c>
      <c r="S952" t="s">
        <v>3800</v>
      </c>
      <c r="T952" t="s">
        <v>2277</v>
      </c>
      <c r="U952" t="s">
        <v>2278</v>
      </c>
      <c r="V952" t="s">
        <v>1824</v>
      </c>
      <c r="AA952" t="s">
        <v>105</v>
      </c>
      <c r="AE952" t="s">
        <v>106</v>
      </c>
      <c r="AG952" t="s">
        <v>48</v>
      </c>
    </row>
    <row r="953" spans="1:33" x14ac:dyDescent="0.3">
      <c r="A953">
        <v>2640</v>
      </c>
      <c r="B953" t="s">
        <v>5676</v>
      </c>
      <c r="C953" t="str">
        <f>"1100002784096"</f>
        <v>1100002784096</v>
      </c>
      <c r="D953" t="str">
        <f>"T6BEG1500"</f>
        <v>T6BEG1500</v>
      </c>
      <c r="E953" s="1">
        <v>34943</v>
      </c>
      <c r="F953" t="s">
        <v>5677</v>
      </c>
      <c r="G953" t="e">
        <f>INDEX(#REF!,MATCH(P953,#REF!,0),1)</f>
        <v>#REF!</v>
      </c>
      <c r="H953" t="s">
        <v>5678</v>
      </c>
      <c r="J953" t="s">
        <v>5679</v>
      </c>
      <c r="K953" t="s">
        <v>676</v>
      </c>
      <c r="L953" t="s">
        <v>5680</v>
      </c>
      <c r="M953" t="s">
        <v>5681</v>
      </c>
      <c r="N953">
        <v>170</v>
      </c>
      <c r="O953" t="s">
        <v>673</v>
      </c>
      <c r="P953">
        <v>170</v>
      </c>
      <c r="Q953" t="s">
        <v>673</v>
      </c>
      <c r="R953" t="s">
        <v>3799</v>
      </c>
      <c r="S953" t="s">
        <v>3800</v>
      </c>
      <c r="T953" t="s">
        <v>2277</v>
      </c>
      <c r="U953" t="s">
        <v>2278</v>
      </c>
      <c r="V953" t="s">
        <v>1824</v>
      </c>
      <c r="AA953" t="s">
        <v>105</v>
      </c>
      <c r="AE953" t="s">
        <v>106</v>
      </c>
      <c r="AG953" t="s">
        <v>48</v>
      </c>
    </row>
    <row r="954" spans="1:33" x14ac:dyDescent="0.3">
      <c r="A954">
        <v>2642</v>
      </c>
      <c r="B954" t="s">
        <v>5682</v>
      </c>
      <c r="C954" t="str">
        <f>"1100003563898"</f>
        <v>1100003563898</v>
      </c>
      <c r="D954" t="str">
        <f>"0LMGL4C00"</f>
        <v>0LMGL4C00</v>
      </c>
      <c r="E954" s="1">
        <v>34943</v>
      </c>
      <c r="F954" t="s">
        <v>5683</v>
      </c>
      <c r="G954" t="e">
        <f>INDEX(#REF!,MATCH(P954,#REF!,0),1)</f>
        <v>#REF!</v>
      </c>
      <c r="H954" t="s">
        <v>5684</v>
      </c>
      <c r="J954" t="s">
        <v>5685</v>
      </c>
      <c r="K954" t="s">
        <v>676</v>
      </c>
      <c r="L954" t="s">
        <v>5686</v>
      </c>
      <c r="M954" t="s">
        <v>4345</v>
      </c>
      <c r="N954">
        <v>170</v>
      </c>
      <c r="O954" t="s">
        <v>673</v>
      </c>
      <c r="P954">
        <v>170</v>
      </c>
      <c r="Q954" t="s">
        <v>673</v>
      </c>
      <c r="R954" t="s">
        <v>3799</v>
      </c>
      <c r="S954" t="s">
        <v>3800</v>
      </c>
      <c r="T954" t="s">
        <v>2277</v>
      </c>
      <c r="U954" t="s">
        <v>5629</v>
      </c>
      <c r="V954" t="s">
        <v>1824</v>
      </c>
      <c r="AA954" t="s">
        <v>105</v>
      </c>
      <c r="AE954" t="s">
        <v>106</v>
      </c>
      <c r="AG954" t="s">
        <v>48</v>
      </c>
    </row>
    <row r="955" spans="1:33" x14ac:dyDescent="0.3">
      <c r="A955">
        <v>2643</v>
      </c>
      <c r="B955" t="s">
        <v>5687</v>
      </c>
      <c r="C955" t="str">
        <f>""</f>
        <v/>
      </c>
      <c r="D955" t="str">
        <f>"H8BQFAF00"</f>
        <v>H8BQFAF00</v>
      </c>
      <c r="E955" s="1">
        <v>34943</v>
      </c>
      <c r="F955" t="s">
        <v>5688</v>
      </c>
      <c r="G955" t="e">
        <f>INDEX(#REF!,MATCH(P955,#REF!,0),1)</f>
        <v>#REF!</v>
      </c>
      <c r="H955" t="s">
        <v>5689</v>
      </c>
      <c r="J955" t="s">
        <v>675</v>
      </c>
      <c r="K955" t="s">
        <v>676</v>
      </c>
      <c r="L955">
        <v>77074</v>
      </c>
      <c r="M955" t="s">
        <v>5690</v>
      </c>
      <c r="N955">
        <v>170</v>
      </c>
      <c r="O955" t="s">
        <v>673</v>
      </c>
      <c r="P955">
        <v>885680</v>
      </c>
      <c r="Q955" t="s">
        <v>5691</v>
      </c>
      <c r="R955" t="s">
        <v>3799</v>
      </c>
      <c r="S955" t="s">
        <v>3800</v>
      </c>
      <c r="T955" t="s">
        <v>2277</v>
      </c>
      <c r="U955" t="s">
        <v>5622</v>
      </c>
      <c r="V955" t="s">
        <v>1824</v>
      </c>
      <c r="AA955" t="s">
        <v>105</v>
      </c>
      <c r="AE955" t="s">
        <v>106</v>
      </c>
      <c r="AG955" t="s">
        <v>48</v>
      </c>
    </row>
    <row r="956" spans="1:33" x14ac:dyDescent="0.3">
      <c r="A956">
        <v>2645</v>
      </c>
      <c r="B956" t="s">
        <v>5692</v>
      </c>
      <c r="C956" t="str">
        <f>"1100002877279"</f>
        <v>1100002877279</v>
      </c>
      <c r="D956" t="str">
        <f>"8AFF9M700"</f>
        <v>8AFF9M700</v>
      </c>
      <c r="E956" s="1">
        <v>34943</v>
      </c>
      <c r="F956" t="s">
        <v>5693</v>
      </c>
      <c r="G956" t="e">
        <f>INDEX(#REF!,MATCH(P956,#REF!,0),1)</f>
        <v>#REF!</v>
      </c>
      <c r="H956" t="s">
        <v>5694</v>
      </c>
      <c r="J956" t="s">
        <v>5638</v>
      </c>
      <c r="K956" t="s">
        <v>676</v>
      </c>
      <c r="L956">
        <v>77478</v>
      </c>
      <c r="M956" t="s">
        <v>3226</v>
      </c>
      <c r="N956">
        <v>170</v>
      </c>
      <c r="O956" t="s">
        <v>673</v>
      </c>
      <c r="P956">
        <v>170</v>
      </c>
      <c r="Q956" t="s">
        <v>673</v>
      </c>
      <c r="R956" t="s">
        <v>3799</v>
      </c>
      <c r="S956" t="s">
        <v>3800</v>
      </c>
      <c r="T956" t="s">
        <v>2277</v>
      </c>
      <c r="U956" t="s">
        <v>5622</v>
      </c>
      <c r="V956" t="s">
        <v>1824</v>
      </c>
      <c r="AA956" t="s">
        <v>105</v>
      </c>
      <c r="AE956" t="s">
        <v>106</v>
      </c>
      <c r="AG956" t="s">
        <v>48</v>
      </c>
    </row>
    <row r="957" spans="1:33" x14ac:dyDescent="0.3">
      <c r="A957">
        <v>2646</v>
      </c>
      <c r="B957" t="s">
        <v>5695</v>
      </c>
      <c r="C957" t="str">
        <f>"1100005880252"</f>
        <v>1100005880252</v>
      </c>
      <c r="D957" t="str">
        <f>"0NX39NJF0"</f>
        <v>0NX39NJF0</v>
      </c>
      <c r="E957" s="1">
        <v>34943</v>
      </c>
      <c r="F957" t="s">
        <v>5696</v>
      </c>
      <c r="G957" t="e">
        <f>INDEX(#REF!,MATCH(P957,#REF!,0),1)</f>
        <v>#REF!</v>
      </c>
      <c r="H957" t="s">
        <v>5697</v>
      </c>
      <c r="J957" t="s">
        <v>675</v>
      </c>
      <c r="K957" t="s">
        <v>676</v>
      </c>
      <c r="L957">
        <v>77092</v>
      </c>
      <c r="M957" t="s">
        <v>4345</v>
      </c>
      <c r="N957">
        <v>170</v>
      </c>
      <c r="O957" t="s">
        <v>673</v>
      </c>
      <c r="P957">
        <v>170</v>
      </c>
      <c r="Q957" t="s">
        <v>673</v>
      </c>
      <c r="R957" t="s">
        <v>3799</v>
      </c>
      <c r="S957" t="s">
        <v>3800</v>
      </c>
      <c r="T957" t="s">
        <v>3141</v>
      </c>
      <c r="U957" t="s">
        <v>3142</v>
      </c>
      <c r="V957" t="s">
        <v>1824</v>
      </c>
      <c r="AA957" t="s">
        <v>105</v>
      </c>
      <c r="AE957" t="s">
        <v>106</v>
      </c>
      <c r="AG957" t="s">
        <v>48</v>
      </c>
    </row>
    <row r="958" spans="1:33" x14ac:dyDescent="0.3">
      <c r="A958">
        <v>2647</v>
      </c>
      <c r="B958" t="s">
        <v>5698</v>
      </c>
      <c r="C958" t="str">
        <f>"1100002747060"</f>
        <v>1100002747060</v>
      </c>
      <c r="D958" t="str">
        <f>"RP1THKB00"</f>
        <v>RP1THKB00</v>
      </c>
      <c r="E958" s="1">
        <v>34943</v>
      </c>
      <c r="F958" t="s">
        <v>5699</v>
      </c>
      <c r="G958" t="e">
        <f>INDEX(#REF!,MATCH(P958,#REF!,0),1)</f>
        <v>#REF!</v>
      </c>
      <c r="H958" t="s">
        <v>5700</v>
      </c>
      <c r="I958" t="s">
        <v>5664</v>
      </c>
      <c r="J958" t="s">
        <v>675</v>
      </c>
      <c r="K958" t="s">
        <v>676</v>
      </c>
      <c r="L958" t="s">
        <v>5665</v>
      </c>
      <c r="M958" t="s">
        <v>5701</v>
      </c>
      <c r="N958">
        <v>170</v>
      </c>
      <c r="O958" t="s">
        <v>673</v>
      </c>
      <c r="P958">
        <v>170</v>
      </c>
      <c r="Q958" t="s">
        <v>673</v>
      </c>
      <c r="R958" t="s">
        <v>3799</v>
      </c>
      <c r="S958" t="s">
        <v>3800</v>
      </c>
      <c r="T958" t="s">
        <v>2277</v>
      </c>
      <c r="U958" t="s">
        <v>2278</v>
      </c>
      <c r="V958" t="s">
        <v>1824</v>
      </c>
      <c r="AA958" t="s">
        <v>105</v>
      </c>
      <c r="AE958" t="s">
        <v>106</v>
      </c>
      <c r="AG958" t="s">
        <v>48</v>
      </c>
    </row>
    <row r="959" spans="1:33" x14ac:dyDescent="0.3">
      <c r="A959">
        <v>2648</v>
      </c>
      <c r="B959" t="s">
        <v>5702</v>
      </c>
      <c r="C959" t="str">
        <f>"1100005530836"</f>
        <v>1100005530836</v>
      </c>
      <c r="D959" t="str">
        <f>"TMXH5FD00"</f>
        <v>TMXH5FD00</v>
      </c>
      <c r="E959" s="1">
        <v>34943</v>
      </c>
      <c r="F959" t="s">
        <v>5703</v>
      </c>
      <c r="G959" t="e">
        <f>INDEX(#REF!,MATCH(P959,#REF!,0),1)</f>
        <v>#REF!</v>
      </c>
      <c r="H959" t="s">
        <v>5700</v>
      </c>
      <c r="I959" t="s">
        <v>5664</v>
      </c>
      <c r="J959" t="s">
        <v>675</v>
      </c>
      <c r="K959" t="s">
        <v>676</v>
      </c>
      <c r="L959" t="s">
        <v>5665</v>
      </c>
      <c r="M959" t="s">
        <v>5704</v>
      </c>
      <c r="N959">
        <v>170</v>
      </c>
      <c r="O959" t="s">
        <v>673</v>
      </c>
      <c r="P959">
        <v>170</v>
      </c>
      <c r="Q959" t="s">
        <v>673</v>
      </c>
      <c r="R959" t="s">
        <v>3799</v>
      </c>
      <c r="S959" t="s">
        <v>3800</v>
      </c>
      <c r="T959" t="s">
        <v>2277</v>
      </c>
      <c r="U959" t="s">
        <v>2278</v>
      </c>
      <c r="V959" t="s">
        <v>1824</v>
      </c>
      <c r="AA959" t="s">
        <v>105</v>
      </c>
      <c r="AE959" t="s">
        <v>106</v>
      </c>
      <c r="AG959" t="s">
        <v>48</v>
      </c>
    </row>
    <row r="960" spans="1:33" x14ac:dyDescent="0.3">
      <c r="A960">
        <v>2649</v>
      </c>
      <c r="B960" t="s">
        <v>5705</v>
      </c>
      <c r="C960" t="str">
        <f>"1100005106390"</f>
        <v>1100005106390</v>
      </c>
      <c r="D960" t="str">
        <f>"13MLYX600"</f>
        <v>13MLYX600</v>
      </c>
      <c r="E960" s="1">
        <v>34943</v>
      </c>
      <c r="F960" t="s">
        <v>5706</v>
      </c>
      <c r="G960" t="e">
        <f>INDEX(#REF!,MATCH(P960,#REF!,0),1)</f>
        <v>#REF!</v>
      </c>
      <c r="H960" t="s">
        <v>5707</v>
      </c>
      <c r="J960" t="s">
        <v>5708</v>
      </c>
      <c r="K960" t="s">
        <v>676</v>
      </c>
      <c r="L960" t="s">
        <v>5709</v>
      </c>
      <c r="M960" t="s">
        <v>5710</v>
      </c>
      <c r="N960">
        <v>170</v>
      </c>
      <c r="O960" t="s">
        <v>673</v>
      </c>
      <c r="P960">
        <v>170</v>
      </c>
      <c r="Q960" t="s">
        <v>673</v>
      </c>
      <c r="R960" t="s">
        <v>3799</v>
      </c>
      <c r="S960" t="s">
        <v>3800</v>
      </c>
      <c r="T960" t="s">
        <v>2277</v>
      </c>
      <c r="U960" t="s">
        <v>5622</v>
      </c>
      <c r="V960" t="s">
        <v>1824</v>
      </c>
      <c r="AA960" t="s">
        <v>105</v>
      </c>
      <c r="AE960" t="s">
        <v>106</v>
      </c>
      <c r="AG960" t="s">
        <v>48</v>
      </c>
    </row>
    <row r="961" spans="1:33" x14ac:dyDescent="0.3">
      <c r="A961">
        <v>2652</v>
      </c>
      <c r="B961" t="s">
        <v>5711</v>
      </c>
      <c r="C961" t="str">
        <f>""</f>
        <v/>
      </c>
      <c r="D961" t="str">
        <f>"JLWP9EC00"</f>
        <v>JLWP9EC00</v>
      </c>
      <c r="E961" s="1">
        <v>34943</v>
      </c>
      <c r="F961" t="s">
        <v>5712</v>
      </c>
      <c r="G961" t="e">
        <f>INDEX(#REF!,MATCH(P961,#REF!,0),1)</f>
        <v>#REF!</v>
      </c>
      <c r="H961" t="s">
        <v>5713</v>
      </c>
      <c r="J961" t="s">
        <v>5714</v>
      </c>
      <c r="K961" t="s">
        <v>676</v>
      </c>
      <c r="L961" t="s">
        <v>5715</v>
      </c>
      <c r="M961" t="s">
        <v>5716</v>
      </c>
      <c r="N961">
        <v>170</v>
      </c>
      <c r="O961" t="s">
        <v>673</v>
      </c>
      <c r="P961">
        <v>170</v>
      </c>
      <c r="Q961" t="s">
        <v>673</v>
      </c>
      <c r="R961" t="s">
        <v>3799</v>
      </c>
      <c r="S961" t="s">
        <v>3800</v>
      </c>
      <c r="T961" t="s">
        <v>2277</v>
      </c>
      <c r="U961" t="s">
        <v>2278</v>
      </c>
      <c r="V961" t="s">
        <v>1824</v>
      </c>
      <c r="AA961" t="s">
        <v>105</v>
      </c>
      <c r="AE961" t="s">
        <v>106</v>
      </c>
      <c r="AG961" t="s">
        <v>48</v>
      </c>
    </row>
    <row r="962" spans="1:33" x14ac:dyDescent="0.3">
      <c r="A962">
        <v>2659</v>
      </c>
      <c r="B962" t="s">
        <v>5717</v>
      </c>
      <c r="C962" t="str">
        <f>"1100006227780"</f>
        <v>1100006227780</v>
      </c>
      <c r="D962" t="str">
        <f>""</f>
        <v/>
      </c>
      <c r="E962" s="1">
        <v>40544</v>
      </c>
      <c r="F962" t="s">
        <v>5718</v>
      </c>
      <c r="G962" t="e">
        <f>INDEX(#REF!,MATCH(P962,#REF!,0),1)</f>
        <v>#REF!</v>
      </c>
      <c r="H962" t="s">
        <v>5719</v>
      </c>
      <c r="J962" t="s">
        <v>76</v>
      </c>
      <c r="K962" t="s">
        <v>77</v>
      </c>
      <c r="L962">
        <v>23462</v>
      </c>
      <c r="M962" t="s">
        <v>5720</v>
      </c>
      <c r="N962">
        <v>2659</v>
      </c>
      <c r="O962" t="s">
        <v>5718</v>
      </c>
      <c r="P962">
        <v>2659</v>
      </c>
      <c r="Q962" t="s">
        <v>5718</v>
      </c>
      <c r="R962" t="s">
        <v>5721</v>
      </c>
      <c r="S962" t="s">
        <v>5722</v>
      </c>
      <c r="T962" t="s">
        <v>4245</v>
      </c>
      <c r="U962" t="s">
        <v>4246</v>
      </c>
      <c r="V962" t="s">
        <v>2215</v>
      </c>
      <c r="AF962" t="s">
        <v>5723</v>
      </c>
    </row>
    <row r="963" spans="1:33" x14ac:dyDescent="0.3">
      <c r="A963">
        <v>2661</v>
      </c>
      <c r="B963" t="s">
        <v>5724</v>
      </c>
      <c r="C963" t="str">
        <f>"1200109784378"</f>
        <v>1200109784378</v>
      </c>
      <c r="D963" t="str">
        <f>"410030800"</f>
        <v>410030800</v>
      </c>
      <c r="E963" s="1">
        <v>41760</v>
      </c>
      <c r="F963" t="s">
        <v>5725</v>
      </c>
      <c r="G963" t="e">
        <f>INDEX(#REF!,MATCH(P963,#REF!,0),1)</f>
        <v>#REF!</v>
      </c>
      <c r="H963" t="s">
        <v>5726</v>
      </c>
      <c r="J963" t="s">
        <v>36</v>
      </c>
      <c r="K963" t="s">
        <v>37</v>
      </c>
      <c r="L963">
        <v>44308</v>
      </c>
      <c r="M963" t="s">
        <v>5727</v>
      </c>
      <c r="N963">
        <v>2661</v>
      </c>
      <c r="O963" t="s">
        <v>5725</v>
      </c>
      <c r="P963">
        <v>2661</v>
      </c>
      <c r="Q963" t="s">
        <v>5725</v>
      </c>
      <c r="R963" t="s">
        <v>286</v>
      </c>
      <c r="S963" t="s">
        <v>287</v>
      </c>
      <c r="T963" t="s">
        <v>44</v>
      </c>
      <c r="U963" t="s">
        <v>288</v>
      </c>
      <c r="X963" t="s">
        <v>289</v>
      </c>
      <c r="Y963" t="s">
        <v>104</v>
      </c>
      <c r="Z963" s="1">
        <v>42186</v>
      </c>
      <c r="AA963" t="s">
        <v>290</v>
      </c>
      <c r="AE963" t="s">
        <v>72</v>
      </c>
      <c r="AG963" t="s">
        <v>48</v>
      </c>
    </row>
    <row r="964" spans="1:33" x14ac:dyDescent="0.3">
      <c r="A964">
        <v>2663</v>
      </c>
      <c r="B964" t="s">
        <v>5728</v>
      </c>
      <c r="C964" t="str">
        <f>""</f>
        <v/>
      </c>
      <c r="D964" t="str">
        <f>"DKJA24W00"</f>
        <v>DKJA24W00</v>
      </c>
      <c r="E964" s="1">
        <v>31396</v>
      </c>
      <c r="F964" t="s">
        <v>1959</v>
      </c>
      <c r="G964" t="e">
        <f>INDEX(#REF!,MATCH(P964,#REF!,0),1)</f>
        <v>#REF!</v>
      </c>
      <c r="H964" t="s">
        <v>1957</v>
      </c>
      <c r="J964" t="s">
        <v>1293</v>
      </c>
      <c r="K964" t="s">
        <v>1109</v>
      </c>
      <c r="L964" t="str">
        <f>"06040-4131"</f>
        <v>06040-4131</v>
      </c>
      <c r="M964" t="s">
        <v>5729</v>
      </c>
      <c r="N964">
        <v>2623550</v>
      </c>
      <c r="O964" t="s">
        <v>1767</v>
      </c>
      <c r="P964">
        <v>2623550</v>
      </c>
      <c r="Q964" t="s">
        <v>1767</v>
      </c>
      <c r="R964" t="s">
        <v>1549</v>
      </c>
      <c r="S964" t="s">
        <v>1550</v>
      </c>
      <c r="T964" t="s">
        <v>44</v>
      </c>
      <c r="U964" t="s">
        <v>81</v>
      </c>
      <c r="AE964" t="s">
        <v>564</v>
      </c>
    </row>
    <row r="965" spans="1:33" x14ac:dyDescent="0.3">
      <c r="A965">
        <v>2664</v>
      </c>
      <c r="B965" t="s">
        <v>5730</v>
      </c>
      <c r="C965" t="str">
        <f>"1100005502215"</f>
        <v>1100005502215</v>
      </c>
      <c r="D965" t="str">
        <f>"150110800"</f>
        <v>150110800</v>
      </c>
      <c r="E965" s="1">
        <v>35004</v>
      </c>
      <c r="F965" t="s">
        <v>5731</v>
      </c>
      <c r="G965" t="e">
        <f>INDEX(#REF!,MATCH(P965,#REF!,0),1)</f>
        <v>#REF!</v>
      </c>
      <c r="H965" t="s">
        <v>5732</v>
      </c>
      <c r="J965" t="s">
        <v>1465</v>
      </c>
      <c r="K965" t="s">
        <v>2507</v>
      </c>
      <c r="L965" t="str">
        <f>"02906-2894"</f>
        <v>02906-2894</v>
      </c>
      <c r="M965" t="s">
        <v>5733</v>
      </c>
      <c r="N965">
        <v>30853</v>
      </c>
      <c r="O965" t="s">
        <v>2509</v>
      </c>
      <c r="P965">
        <v>30853</v>
      </c>
      <c r="Q965" t="s">
        <v>2509</v>
      </c>
      <c r="R965" t="s">
        <v>658</v>
      </c>
      <c r="S965" t="s">
        <v>659</v>
      </c>
      <c r="T965" t="s">
        <v>44</v>
      </c>
      <c r="U965" t="s">
        <v>45</v>
      </c>
      <c r="AA965" t="s">
        <v>119</v>
      </c>
      <c r="AE965" t="s">
        <v>60</v>
      </c>
      <c r="AG965" t="s">
        <v>48</v>
      </c>
    </row>
    <row r="966" spans="1:33" x14ac:dyDescent="0.3">
      <c r="A966">
        <v>2667</v>
      </c>
      <c r="B966" t="s">
        <v>5734</v>
      </c>
      <c r="C966" t="str">
        <f>""</f>
        <v/>
      </c>
      <c r="D966" t="str">
        <f>"160510D00"</f>
        <v>160510D00</v>
      </c>
      <c r="E966" s="1">
        <v>35004</v>
      </c>
      <c r="F966" t="s">
        <v>5735</v>
      </c>
      <c r="G966" t="e">
        <f>INDEX(#REF!,MATCH(P966,#REF!,0),1)</f>
        <v>#REF!</v>
      </c>
      <c r="H966" t="s">
        <v>5736</v>
      </c>
      <c r="J966" t="s">
        <v>5737</v>
      </c>
      <c r="K966" t="s">
        <v>1109</v>
      </c>
      <c r="L966" t="str">
        <f>"06066-3160"</f>
        <v>06066-3160</v>
      </c>
      <c r="M966" t="s">
        <v>5738</v>
      </c>
      <c r="N966">
        <v>2623550</v>
      </c>
      <c r="O966" t="s">
        <v>1767</v>
      </c>
      <c r="P966">
        <v>2663</v>
      </c>
      <c r="Q966" t="s">
        <v>1959</v>
      </c>
      <c r="R966" t="s">
        <v>1549</v>
      </c>
      <c r="S966" t="s">
        <v>1550</v>
      </c>
      <c r="T966" t="s">
        <v>44</v>
      </c>
      <c r="U966" t="s">
        <v>45</v>
      </c>
      <c r="AE966" t="s">
        <v>564</v>
      </c>
    </row>
    <row r="967" spans="1:33" x14ac:dyDescent="0.3">
      <c r="A967">
        <v>2669</v>
      </c>
      <c r="B967" t="s">
        <v>5739</v>
      </c>
      <c r="C967" t="str">
        <f>"1100002394523"</f>
        <v>1100002394523</v>
      </c>
      <c r="D967" t="str">
        <f>"99405VM00"</f>
        <v>99405VM00</v>
      </c>
      <c r="E967" s="1">
        <v>42583</v>
      </c>
      <c r="F967" t="s">
        <v>5740</v>
      </c>
      <c r="G967" t="e">
        <f>INDEX(#REF!,MATCH(P967,#REF!,0),1)</f>
        <v>#REF!</v>
      </c>
      <c r="H967" t="s">
        <v>5741</v>
      </c>
      <c r="J967" t="s">
        <v>3464</v>
      </c>
      <c r="K967" t="s">
        <v>2244</v>
      </c>
      <c r="L967" t="s">
        <v>5742</v>
      </c>
      <c r="M967" t="s">
        <v>5743</v>
      </c>
      <c r="N967">
        <v>1317</v>
      </c>
      <c r="O967" t="s">
        <v>3461</v>
      </c>
      <c r="P967">
        <v>1317</v>
      </c>
      <c r="Q967" t="s">
        <v>3461</v>
      </c>
      <c r="R967" t="s">
        <v>940</v>
      </c>
      <c r="S967" t="s">
        <v>941</v>
      </c>
      <c r="T967" t="s">
        <v>3674</v>
      </c>
      <c r="U967" t="s">
        <v>5744</v>
      </c>
    </row>
    <row r="968" spans="1:33" x14ac:dyDescent="0.3">
      <c r="A968">
        <v>2673</v>
      </c>
      <c r="B968" t="s">
        <v>5745</v>
      </c>
      <c r="C968" t="str">
        <f>""</f>
        <v/>
      </c>
      <c r="D968" t="str">
        <f>"920730L00"</f>
        <v>920730L00</v>
      </c>
      <c r="E968" s="1">
        <v>44348</v>
      </c>
      <c r="F968" t="s">
        <v>5746</v>
      </c>
      <c r="G968" t="e">
        <f>INDEX(#REF!,MATCH(P968,#REF!,0),1)</f>
        <v>#REF!</v>
      </c>
      <c r="H968" t="s">
        <v>5747</v>
      </c>
      <c r="J968" t="s">
        <v>5748</v>
      </c>
      <c r="K968" t="s">
        <v>1840</v>
      </c>
      <c r="L968">
        <v>97467</v>
      </c>
      <c r="M968" t="s">
        <v>3226</v>
      </c>
      <c r="N968">
        <v>2673</v>
      </c>
      <c r="O968" t="s">
        <v>5746</v>
      </c>
      <c r="P968">
        <v>2673</v>
      </c>
      <c r="Q968" t="s">
        <v>5746</v>
      </c>
      <c r="R968" t="s">
        <v>1263</v>
      </c>
      <c r="S968" t="s">
        <v>1264</v>
      </c>
      <c r="T968" t="s">
        <v>44</v>
      </c>
      <c r="U968" t="s">
        <v>45</v>
      </c>
      <c r="AA968" t="s">
        <v>328</v>
      </c>
      <c r="AB968" t="s">
        <v>211</v>
      </c>
      <c r="AC968" t="s">
        <v>5749</v>
      </c>
      <c r="AE968" t="s">
        <v>539</v>
      </c>
    </row>
    <row r="969" spans="1:33" x14ac:dyDescent="0.3">
      <c r="A969">
        <v>2678</v>
      </c>
      <c r="B969" t="s">
        <v>5750</v>
      </c>
      <c r="C969" t="str">
        <f>"1100003047640"</f>
        <v>1100003047640</v>
      </c>
      <c r="D969" t="str">
        <f>"2359NLR00"</f>
        <v>2359NLR00</v>
      </c>
      <c r="E969" s="1">
        <v>38209</v>
      </c>
      <c r="F969" t="s">
        <v>5751</v>
      </c>
      <c r="G969" t="e">
        <f>INDEX(#REF!,MATCH(P969,#REF!,0),1)</f>
        <v>#REF!</v>
      </c>
      <c r="H969" t="s">
        <v>5752</v>
      </c>
      <c r="I969" t="s">
        <v>5753</v>
      </c>
      <c r="J969" t="s">
        <v>352</v>
      </c>
      <c r="K969" t="s">
        <v>37</v>
      </c>
      <c r="L969">
        <v>44906</v>
      </c>
      <c r="M969" t="s">
        <v>5754</v>
      </c>
      <c r="N969">
        <v>2678</v>
      </c>
      <c r="O969" t="s">
        <v>5751</v>
      </c>
      <c r="P969">
        <v>2678</v>
      </c>
      <c r="Q969" t="s">
        <v>5751</v>
      </c>
      <c r="R969" t="s">
        <v>5419</v>
      </c>
      <c r="S969" t="s">
        <v>5420</v>
      </c>
      <c r="T969" t="s">
        <v>2277</v>
      </c>
      <c r="U969" t="s">
        <v>2278</v>
      </c>
      <c r="V969" t="s">
        <v>2215</v>
      </c>
      <c r="AF969" t="s">
        <v>5421</v>
      </c>
    </row>
    <row r="970" spans="1:33" x14ac:dyDescent="0.3">
      <c r="A970">
        <v>2687</v>
      </c>
      <c r="B970" t="s">
        <v>5755</v>
      </c>
      <c r="C970" t="str">
        <f>""</f>
        <v/>
      </c>
      <c r="D970" t="str">
        <f>""</f>
        <v/>
      </c>
      <c r="E970" s="1">
        <v>34488</v>
      </c>
      <c r="F970" t="s">
        <v>5756</v>
      </c>
      <c r="G970" t="e">
        <f>INDEX(#REF!,MATCH(P970,#REF!,0),1)</f>
        <v>#REF!</v>
      </c>
      <c r="H970" t="s">
        <v>5757</v>
      </c>
      <c r="J970" t="s">
        <v>5245</v>
      </c>
      <c r="K970" t="s">
        <v>283</v>
      </c>
      <c r="L970" t="s">
        <v>5758</v>
      </c>
      <c r="M970" t="s">
        <v>5759</v>
      </c>
      <c r="N970">
        <v>559</v>
      </c>
      <c r="O970" t="s">
        <v>2041</v>
      </c>
      <c r="P970">
        <v>559</v>
      </c>
      <c r="Q970" t="s">
        <v>2041</v>
      </c>
      <c r="R970" t="s">
        <v>3864</v>
      </c>
      <c r="S970" t="s">
        <v>3865</v>
      </c>
      <c r="T970" t="s">
        <v>2140</v>
      </c>
      <c r="U970" t="s">
        <v>2141</v>
      </c>
      <c r="V970" t="s">
        <v>1824</v>
      </c>
      <c r="AD970" t="s">
        <v>94</v>
      </c>
      <c r="AE970" t="s">
        <v>120</v>
      </c>
    </row>
    <row r="971" spans="1:33" x14ac:dyDescent="0.3">
      <c r="A971">
        <v>2689</v>
      </c>
      <c r="B971" t="s">
        <v>5760</v>
      </c>
      <c r="C971" t="str">
        <f>""</f>
        <v/>
      </c>
      <c r="D971" t="str">
        <f>"H6P5EOJ00"</f>
        <v>H6P5EOJ00</v>
      </c>
      <c r="E971" s="1">
        <v>34488</v>
      </c>
      <c r="F971" t="s">
        <v>5761</v>
      </c>
      <c r="G971" t="e">
        <f>INDEX(#REF!,MATCH(P971,#REF!,0),1)</f>
        <v>#REF!</v>
      </c>
      <c r="H971" t="s">
        <v>5762</v>
      </c>
      <c r="J971" t="s">
        <v>5763</v>
      </c>
      <c r="K971" t="s">
        <v>1504</v>
      </c>
      <c r="L971" t="str">
        <f>"04074-6503"</f>
        <v>04074-6503</v>
      </c>
      <c r="M971" t="s">
        <v>5764</v>
      </c>
      <c r="N971">
        <v>39568</v>
      </c>
      <c r="O971" t="s">
        <v>5765</v>
      </c>
      <c r="P971">
        <v>39568</v>
      </c>
      <c r="Q971" t="s">
        <v>5765</v>
      </c>
      <c r="R971" t="s">
        <v>2138</v>
      </c>
      <c r="S971" t="s">
        <v>2139</v>
      </c>
      <c r="T971" t="s">
        <v>3141</v>
      </c>
      <c r="U971" t="s">
        <v>3738</v>
      </c>
      <c r="V971" t="s">
        <v>1824</v>
      </c>
      <c r="AE971" t="s">
        <v>72</v>
      </c>
    </row>
    <row r="972" spans="1:33" x14ac:dyDescent="0.3">
      <c r="A972">
        <v>2693</v>
      </c>
      <c r="B972" t="s">
        <v>5766</v>
      </c>
      <c r="C972" t="str">
        <f>"1100004442284"</f>
        <v>1100004442284</v>
      </c>
      <c r="D972" t="str">
        <f>"721160HF0"</f>
        <v>721160HF0</v>
      </c>
      <c r="E972" s="1">
        <v>34488</v>
      </c>
      <c r="F972" t="s">
        <v>5767</v>
      </c>
      <c r="G972" t="e">
        <f>INDEX(#REF!,MATCH(P972,#REF!,0),1)</f>
        <v>#REF!</v>
      </c>
      <c r="H972" t="s">
        <v>957</v>
      </c>
      <c r="J972" t="s">
        <v>958</v>
      </c>
      <c r="K972" t="s">
        <v>353</v>
      </c>
      <c r="L972" t="s">
        <v>959</v>
      </c>
      <c r="M972" t="s">
        <v>5768</v>
      </c>
      <c r="N972">
        <v>73818</v>
      </c>
      <c r="O972" t="s">
        <v>671</v>
      </c>
      <c r="P972">
        <v>249</v>
      </c>
      <c r="Q972" t="s">
        <v>956</v>
      </c>
      <c r="R972" t="s">
        <v>1821</v>
      </c>
      <c r="S972" t="s">
        <v>1822</v>
      </c>
      <c r="T972" t="s">
        <v>2140</v>
      </c>
      <c r="U972" t="s">
        <v>2141</v>
      </c>
      <c r="V972" t="s">
        <v>1824</v>
      </c>
    </row>
    <row r="973" spans="1:33" x14ac:dyDescent="0.3">
      <c r="A973">
        <v>2695</v>
      </c>
      <c r="B973" t="s">
        <v>5769</v>
      </c>
      <c r="C973" t="str">
        <f>"1100005346857"</f>
        <v>1100005346857</v>
      </c>
      <c r="D973" t="str">
        <f>"610560IF0"</f>
        <v>610560IF0</v>
      </c>
      <c r="E973" s="1">
        <v>34488</v>
      </c>
      <c r="F973" t="s">
        <v>5770</v>
      </c>
      <c r="G973" t="e">
        <f>INDEX(#REF!,MATCH(P973,#REF!,0),1)</f>
        <v>#REF!</v>
      </c>
      <c r="H973" t="s">
        <v>3996</v>
      </c>
      <c r="J973" t="s">
        <v>3997</v>
      </c>
      <c r="K973" t="s">
        <v>283</v>
      </c>
      <c r="L973" t="s">
        <v>3998</v>
      </c>
      <c r="M973" t="s">
        <v>5771</v>
      </c>
      <c r="N973">
        <v>559</v>
      </c>
      <c r="O973" t="s">
        <v>2041</v>
      </c>
      <c r="P973">
        <v>559</v>
      </c>
      <c r="Q973" t="s">
        <v>2041</v>
      </c>
      <c r="R973" t="s">
        <v>3864</v>
      </c>
      <c r="S973" t="s">
        <v>3865</v>
      </c>
      <c r="T973" t="s">
        <v>2140</v>
      </c>
      <c r="U973" t="s">
        <v>2141</v>
      </c>
      <c r="V973" t="s">
        <v>1824</v>
      </c>
      <c r="AD973" t="s">
        <v>94</v>
      </c>
      <c r="AE973" t="s">
        <v>120</v>
      </c>
    </row>
    <row r="974" spans="1:33" x14ac:dyDescent="0.3">
      <c r="A974">
        <v>2699</v>
      </c>
      <c r="B974" t="s">
        <v>5772</v>
      </c>
      <c r="C974" t="str">
        <f>""</f>
        <v/>
      </c>
      <c r="D974" t="str">
        <f>"J8G1VCP00"</f>
        <v>J8G1VCP00</v>
      </c>
      <c r="E974" s="1">
        <v>34527</v>
      </c>
      <c r="F974" t="s">
        <v>5773</v>
      </c>
      <c r="G974" t="e">
        <f>INDEX(#REF!,MATCH(P974,#REF!,0),1)</f>
        <v>#REF!</v>
      </c>
      <c r="H974" t="s">
        <v>5774</v>
      </c>
      <c r="J974" t="s">
        <v>504</v>
      </c>
      <c r="K974" t="s">
        <v>353</v>
      </c>
      <c r="L974" t="s">
        <v>505</v>
      </c>
      <c r="M974" t="s">
        <v>5775</v>
      </c>
      <c r="N974">
        <v>124</v>
      </c>
      <c r="O974" t="s">
        <v>502</v>
      </c>
      <c r="P974">
        <v>124</v>
      </c>
      <c r="Q974" t="s">
        <v>502</v>
      </c>
      <c r="R974" t="s">
        <v>3159</v>
      </c>
      <c r="S974" t="s">
        <v>3160</v>
      </c>
      <c r="T974" t="s">
        <v>3141</v>
      </c>
      <c r="U974" t="s">
        <v>3738</v>
      </c>
      <c r="V974" t="s">
        <v>1824</v>
      </c>
    </row>
    <row r="975" spans="1:33" x14ac:dyDescent="0.3">
      <c r="A975">
        <v>2703</v>
      </c>
      <c r="B975" t="s">
        <v>5776</v>
      </c>
      <c r="C975" t="str">
        <f>"1100005593602"</f>
        <v>1100005593602</v>
      </c>
      <c r="D975" t="str">
        <f>"7B3AMWD00"</f>
        <v>7B3AMWD00</v>
      </c>
      <c r="E975" s="1">
        <v>43398</v>
      </c>
      <c r="F975" t="s">
        <v>5777</v>
      </c>
      <c r="G975" t="e">
        <f>INDEX(#REF!,MATCH(P975,#REF!,0),1)</f>
        <v>#REF!</v>
      </c>
      <c r="H975" t="s">
        <v>5778</v>
      </c>
      <c r="J975" t="s">
        <v>446</v>
      </c>
      <c r="K975" t="s">
        <v>99</v>
      </c>
      <c r="L975" t="s">
        <v>5779</v>
      </c>
      <c r="M975" t="s">
        <v>5780</v>
      </c>
      <c r="N975">
        <v>2623343</v>
      </c>
      <c r="O975" t="s">
        <v>1513</v>
      </c>
      <c r="P975">
        <v>35676</v>
      </c>
      <c r="Q975" t="s">
        <v>5781</v>
      </c>
      <c r="R975" t="s">
        <v>5782</v>
      </c>
      <c r="S975" t="s">
        <v>5783</v>
      </c>
      <c r="T975" t="s">
        <v>2140</v>
      </c>
      <c r="U975" t="s">
        <v>2141</v>
      </c>
      <c r="V975" t="s">
        <v>1824</v>
      </c>
      <c r="AD975" t="s">
        <v>94</v>
      </c>
      <c r="AE975" t="s">
        <v>72</v>
      </c>
    </row>
    <row r="976" spans="1:33" x14ac:dyDescent="0.3">
      <c r="A976">
        <v>2706</v>
      </c>
      <c r="B976" t="s">
        <v>5784</v>
      </c>
      <c r="C976" t="str">
        <f>""</f>
        <v/>
      </c>
      <c r="D976" t="str">
        <f>"GBNEK1D00"</f>
        <v>GBNEK1D00</v>
      </c>
      <c r="E976" s="1">
        <v>34667</v>
      </c>
      <c r="F976" t="s">
        <v>5785</v>
      </c>
      <c r="G976" t="e">
        <f>INDEX(#REF!,MATCH(P976,#REF!,0),1)</f>
        <v>#REF!</v>
      </c>
      <c r="H976" t="s">
        <v>5786</v>
      </c>
      <c r="J976" t="s">
        <v>5787</v>
      </c>
      <c r="K976" t="s">
        <v>167</v>
      </c>
      <c r="L976">
        <v>32119</v>
      </c>
      <c r="M976" t="s">
        <v>5788</v>
      </c>
      <c r="N976">
        <v>2706</v>
      </c>
      <c r="O976" t="s">
        <v>5785</v>
      </c>
      <c r="P976">
        <v>2706</v>
      </c>
      <c r="Q976" t="s">
        <v>5785</v>
      </c>
      <c r="R976" t="s">
        <v>3101</v>
      </c>
      <c r="S976" t="s">
        <v>3102</v>
      </c>
      <c r="T976" t="s">
        <v>3141</v>
      </c>
      <c r="U976" t="s">
        <v>3142</v>
      </c>
      <c r="V976" t="s">
        <v>2215</v>
      </c>
    </row>
    <row r="977" spans="1:33" x14ac:dyDescent="0.3">
      <c r="A977">
        <v>2709</v>
      </c>
      <c r="B977" t="s">
        <v>5789</v>
      </c>
      <c r="C977" t="str">
        <f>"1100003816222"</f>
        <v>1100003816222</v>
      </c>
      <c r="D977" t="str">
        <f>""</f>
        <v/>
      </c>
      <c r="E977" s="1">
        <v>34631</v>
      </c>
      <c r="F977" t="s">
        <v>5790</v>
      </c>
      <c r="G977" t="e">
        <f>INDEX(#REF!,MATCH(P977,#REF!,0),1)</f>
        <v>#REF!</v>
      </c>
      <c r="H977" t="s">
        <v>5791</v>
      </c>
      <c r="J977" t="s">
        <v>176</v>
      </c>
      <c r="K977" t="s">
        <v>177</v>
      </c>
      <c r="L977">
        <v>63136</v>
      </c>
      <c r="M977" t="s">
        <v>5792</v>
      </c>
      <c r="N977">
        <v>6104582</v>
      </c>
      <c r="O977" t="s">
        <v>180</v>
      </c>
      <c r="P977">
        <v>1142</v>
      </c>
      <c r="Q977" t="s">
        <v>3219</v>
      </c>
      <c r="R977" t="s">
        <v>3152</v>
      </c>
      <c r="S977" t="s">
        <v>3153</v>
      </c>
      <c r="T977" t="s">
        <v>2140</v>
      </c>
      <c r="U977" t="s">
        <v>2141</v>
      </c>
      <c r="V977" t="s">
        <v>1824</v>
      </c>
      <c r="AA977" t="s">
        <v>185</v>
      </c>
      <c r="AE977" t="s">
        <v>186</v>
      </c>
    </row>
    <row r="978" spans="1:33" x14ac:dyDescent="0.3">
      <c r="A978">
        <v>2710</v>
      </c>
      <c r="B978" t="s">
        <v>5793</v>
      </c>
      <c r="C978" t="str">
        <f>"1100002293093"</f>
        <v>1100002293093</v>
      </c>
      <c r="D978" t="str">
        <f>"PDCR3U200"</f>
        <v>PDCR3U200</v>
      </c>
      <c r="E978" s="1">
        <v>34631</v>
      </c>
      <c r="F978" t="s">
        <v>5794</v>
      </c>
      <c r="G978" t="e">
        <f>INDEX(#REF!,MATCH(P978,#REF!,0),1)</f>
        <v>#REF!</v>
      </c>
      <c r="H978" t="s">
        <v>5795</v>
      </c>
      <c r="J978" t="s">
        <v>4305</v>
      </c>
      <c r="K978" t="s">
        <v>177</v>
      </c>
      <c r="L978">
        <v>63031</v>
      </c>
      <c r="M978" t="s">
        <v>5796</v>
      </c>
      <c r="N978">
        <v>6104582</v>
      </c>
      <c r="O978" t="s">
        <v>180</v>
      </c>
      <c r="P978">
        <v>1793</v>
      </c>
      <c r="Q978" t="s">
        <v>4303</v>
      </c>
      <c r="R978" t="s">
        <v>3152</v>
      </c>
      <c r="S978" t="s">
        <v>3153</v>
      </c>
      <c r="T978" t="s">
        <v>3141</v>
      </c>
      <c r="U978" t="s">
        <v>3738</v>
      </c>
      <c r="V978" t="s">
        <v>1824</v>
      </c>
      <c r="AA978" t="s">
        <v>185</v>
      </c>
      <c r="AE978" t="s">
        <v>186</v>
      </c>
    </row>
    <row r="979" spans="1:33" x14ac:dyDescent="0.3">
      <c r="A979">
        <v>2711</v>
      </c>
      <c r="B979" t="s">
        <v>5797</v>
      </c>
      <c r="C979" t="str">
        <f>"1100002239053"</f>
        <v>1100002239053</v>
      </c>
      <c r="D979" t="str">
        <f>"BCI6S1400"</f>
        <v>BCI6S1400</v>
      </c>
      <c r="E979" s="1">
        <v>34666</v>
      </c>
      <c r="F979" t="s">
        <v>5798</v>
      </c>
      <c r="G979" t="e">
        <f>INDEX(#REF!,MATCH(P979,#REF!,0),1)</f>
        <v>#REF!</v>
      </c>
      <c r="H979" t="s">
        <v>2119</v>
      </c>
      <c r="J979" t="s">
        <v>2120</v>
      </c>
      <c r="K979" t="s">
        <v>342</v>
      </c>
      <c r="L979" t="s">
        <v>5799</v>
      </c>
      <c r="M979" t="s">
        <v>5800</v>
      </c>
      <c r="N979">
        <v>6104582</v>
      </c>
      <c r="O979" t="s">
        <v>180</v>
      </c>
      <c r="P979">
        <v>581</v>
      </c>
      <c r="Q979" t="s">
        <v>2118</v>
      </c>
      <c r="R979" t="s">
        <v>3152</v>
      </c>
      <c r="S979" t="s">
        <v>3153</v>
      </c>
      <c r="T979" t="s">
        <v>2214</v>
      </c>
      <c r="U979" t="s">
        <v>2214</v>
      </c>
      <c r="V979" t="s">
        <v>1824</v>
      </c>
      <c r="AA979" t="s">
        <v>185</v>
      </c>
      <c r="AE979" t="s">
        <v>186</v>
      </c>
    </row>
    <row r="980" spans="1:33" x14ac:dyDescent="0.3">
      <c r="A980">
        <v>2712</v>
      </c>
      <c r="B980" t="s">
        <v>5801</v>
      </c>
      <c r="C980" t="str">
        <f>"1100004307811"</f>
        <v>1100004307811</v>
      </c>
      <c r="D980" t="str">
        <f>"A07F2CA00"</f>
        <v>A07F2CA00</v>
      </c>
      <c r="E980" s="1">
        <v>34635</v>
      </c>
      <c r="F980" t="s">
        <v>5802</v>
      </c>
      <c r="G980" t="e">
        <f>INDEX(#REF!,MATCH(P980,#REF!,0),1)</f>
        <v>#REF!</v>
      </c>
      <c r="H980" t="s">
        <v>5791</v>
      </c>
      <c r="J980" t="s">
        <v>176</v>
      </c>
      <c r="K980" t="s">
        <v>177</v>
      </c>
      <c r="L980">
        <v>63136</v>
      </c>
      <c r="M980" t="s">
        <v>5792</v>
      </c>
      <c r="N980">
        <v>6104582</v>
      </c>
      <c r="O980" t="s">
        <v>180</v>
      </c>
      <c r="P980">
        <v>1351</v>
      </c>
      <c r="Q980" t="s">
        <v>181</v>
      </c>
      <c r="R980" t="s">
        <v>3152</v>
      </c>
      <c r="S980" t="s">
        <v>3153</v>
      </c>
      <c r="T980" t="s">
        <v>3141</v>
      </c>
      <c r="U980" t="s">
        <v>3738</v>
      </c>
      <c r="V980" t="s">
        <v>1824</v>
      </c>
      <c r="AA980" t="s">
        <v>185</v>
      </c>
      <c r="AE980" t="s">
        <v>186</v>
      </c>
    </row>
    <row r="981" spans="1:33" x14ac:dyDescent="0.3">
      <c r="A981">
        <v>2714</v>
      </c>
      <c r="B981" t="s">
        <v>5803</v>
      </c>
      <c r="C981" t="str">
        <f>"1100005446885"</f>
        <v>1100005446885</v>
      </c>
      <c r="D981" t="str">
        <f>"340700EF0"</f>
        <v>340700EF0</v>
      </c>
      <c r="E981" s="1">
        <v>34620</v>
      </c>
      <c r="F981" t="s">
        <v>5804</v>
      </c>
      <c r="G981" t="e">
        <f>INDEX(#REF!,MATCH(P981,#REF!,0),1)</f>
        <v>#REF!</v>
      </c>
      <c r="H981" t="s">
        <v>3609</v>
      </c>
      <c r="J981" t="s">
        <v>584</v>
      </c>
      <c r="K981" t="s">
        <v>77</v>
      </c>
      <c r="L981" t="s">
        <v>3610</v>
      </c>
      <c r="M981" t="s">
        <v>5805</v>
      </c>
      <c r="N981">
        <v>1372</v>
      </c>
      <c r="O981" t="s">
        <v>587</v>
      </c>
      <c r="P981">
        <v>1374</v>
      </c>
      <c r="Q981" t="s">
        <v>3608</v>
      </c>
      <c r="R981" t="s">
        <v>3751</v>
      </c>
      <c r="S981" t="s">
        <v>3752</v>
      </c>
      <c r="T981" t="s">
        <v>3141</v>
      </c>
      <c r="U981" t="s">
        <v>5806</v>
      </c>
      <c r="V981" t="s">
        <v>1824</v>
      </c>
      <c r="AA981" t="s">
        <v>119</v>
      </c>
      <c r="AC981" t="s">
        <v>590</v>
      </c>
    </row>
    <row r="982" spans="1:33" x14ac:dyDescent="0.3">
      <c r="A982">
        <v>2715</v>
      </c>
      <c r="B982" t="s">
        <v>5807</v>
      </c>
      <c r="C982" t="str">
        <f>"1100002141097"</f>
        <v>1100002141097</v>
      </c>
      <c r="D982" t="str">
        <f>"XB6K61500"</f>
        <v>XB6K61500</v>
      </c>
      <c r="E982" s="1">
        <v>34667</v>
      </c>
      <c r="F982" t="s">
        <v>5808</v>
      </c>
      <c r="G982" t="e">
        <f>INDEX(#REF!,MATCH(P982,#REF!,0),1)</f>
        <v>#REF!</v>
      </c>
      <c r="H982" t="s">
        <v>5809</v>
      </c>
      <c r="J982" t="s">
        <v>4334</v>
      </c>
      <c r="K982" t="s">
        <v>167</v>
      </c>
      <c r="L982" t="s">
        <v>5810</v>
      </c>
      <c r="M982" t="s">
        <v>5811</v>
      </c>
      <c r="N982">
        <v>407</v>
      </c>
      <c r="O982" t="s">
        <v>1495</v>
      </c>
      <c r="P982">
        <v>1696</v>
      </c>
      <c r="Q982" t="s">
        <v>4083</v>
      </c>
      <c r="R982" t="s">
        <v>3751</v>
      </c>
      <c r="S982" t="s">
        <v>3752</v>
      </c>
      <c r="T982" t="s">
        <v>3141</v>
      </c>
      <c r="U982" t="s">
        <v>5806</v>
      </c>
      <c r="V982" t="s">
        <v>1824</v>
      </c>
      <c r="AA982" t="s">
        <v>105</v>
      </c>
    </row>
    <row r="983" spans="1:33" x14ac:dyDescent="0.3">
      <c r="A983">
        <v>2716</v>
      </c>
      <c r="B983" t="s">
        <v>5812</v>
      </c>
      <c r="C983" t="str">
        <f>""</f>
        <v/>
      </c>
      <c r="D983" t="str">
        <f>"381970SF1"</f>
        <v>381970SF1</v>
      </c>
      <c r="E983" s="1">
        <v>34620</v>
      </c>
      <c r="F983" t="s">
        <v>5813</v>
      </c>
      <c r="G983" t="e">
        <f>INDEX(#REF!,MATCH(P983,#REF!,0),1)</f>
        <v>#REF!</v>
      </c>
      <c r="H983" t="s">
        <v>5814</v>
      </c>
      <c r="J983" t="s">
        <v>525</v>
      </c>
      <c r="K983" t="s">
        <v>99</v>
      </c>
      <c r="L983" t="s">
        <v>5815</v>
      </c>
      <c r="M983" t="s">
        <v>5816</v>
      </c>
      <c r="N983">
        <v>35682</v>
      </c>
      <c r="O983" t="s">
        <v>528</v>
      </c>
      <c r="P983">
        <v>134</v>
      </c>
      <c r="Q983" t="s">
        <v>523</v>
      </c>
      <c r="R983" t="s">
        <v>3751</v>
      </c>
      <c r="S983" t="s">
        <v>3752</v>
      </c>
      <c r="T983" t="s">
        <v>117</v>
      </c>
      <c r="U983" t="s">
        <v>2479</v>
      </c>
      <c r="V983" t="s">
        <v>1824</v>
      </c>
      <c r="AA983" t="s">
        <v>105</v>
      </c>
      <c r="AE983" t="s">
        <v>106</v>
      </c>
    </row>
    <row r="984" spans="1:33" x14ac:dyDescent="0.3">
      <c r="A984">
        <v>2717</v>
      </c>
      <c r="B984" t="s">
        <v>5817</v>
      </c>
      <c r="C984" t="str">
        <f>"1100004382351"</f>
        <v>1100004382351</v>
      </c>
      <c r="D984" t="str">
        <f>"3LQ57MC00"</f>
        <v>3LQ57MC00</v>
      </c>
      <c r="E984" s="1">
        <v>34620</v>
      </c>
      <c r="F984" t="s">
        <v>5818</v>
      </c>
      <c r="G984" t="e">
        <f>INDEX(#REF!,MATCH(P984,#REF!,0),1)</f>
        <v>#REF!</v>
      </c>
      <c r="H984" t="s">
        <v>1231</v>
      </c>
      <c r="J984" t="s">
        <v>1232</v>
      </c>
      <c r="K984" t="s">
        <v>577</v>
      </c>
      <c r="L984" t="s">
        <v>1233</v>
      </c>
      <c r="M984" t="s">
        <v>5819</v>
      </c>
      <c r="N984">
        <v>2717</v>
      </c>
      <c r="O984" t="s">
        <v>5818</v>
      </c>
      <c r="P984">
        <v>2717</v>
      </c>
      <c r="Q984" t="s">
        <v>5818</v>
      </c>
      <c r="R984" t="s">
        <v>4689</v>
      </c>
      <c r="S984" t="s">
        <v>4690</v>
      </c>
      <c r="T984" t="s">
        <v>2140</v>
      </c>
      <c r="U984" t="s">
        <v>2141</v>
      </c>
      <c r="V984" t="s">
        <v>2215</v>
      </c>
    </row>
    <row r="985" spans="1:33" x14ac:dyDescent="0.3">
      <c r="A985">
        <v>2719</v>
      </c>
      <c r="B985" t="s">
        <v>5820</v>
      </c>
      <c r="C985" t="str">
        <f>""</f>
        <v/>
      </c>
      <c r="D985" t="str">
        <f>"72AJ99K00"</f>
        <v>72AJ99K00</v>
      </c>
      <c r="E985" s="1">
        <v>34620</v>
      </c>
      <c r="F985" t="s">
        <v>5821</v>
      </c>
      <c r="G985" t="e">
        <f>INDEX(#REF!,MATCH(P985,#REF!,0),1)</f>
        <v>#REF!</v>
      </c>
      <c r="H985" t="s">
        <v>5822</v>
      </c>
      <c r="J985" t="s">
        <v>922</v>
      </c>
      <c r="K985" t="s">
        <v>353</v>
      </c>
      <c r="L985" t="s">
        <v>5823</v>
      </c>
      <c r="M985" t="s">
        <v>5824</v>
      </c>
      <c r="N985">
        <v>284</v>
      </c>
      <c r="O985" t="s">
        <v>925</v>
      </c>
      <c r="P985">
        <v>284</v>
      </c>
      <c r="Q985" t="s">
        <v>925</v>
      </c>
      <c r="R985" t="s">
        <v>3159</v>
      </c>
      <c r="S985" t="s">
        <v>3160</v>
      </c>
      <c r="T985" t="s">
        <v>117</v>
      </c>
      <c r="U985" t="s">
        <v>2479</v>
      </c>
      <c r="V985" t="s">
        <v>1824</v>
      </c>
      <c r="AA985" t="s">
        <v>105</v>
      </c>
      <c r="AE985" t="s">
        <v>106</v>
      </c>
    </row>
    <row r="986" spans="1:33" x14ac:dyDescent="0.3">
      <c r="A986">
        <v>2730</v>
      </c>
      <c r="B986" t="s">
        <v>5825</v>
      </c>
      <c r="C986" t="str">
        <f>""</f>
        <v/>
      </c>
      <c r="D986" t="str">
        <f>"BNYW3KF00"</f>
        <v>BNYW3KF00</v>
      </c>
      <c r="E986" s="1">
        <v>34488</v>
      </c>
      <c r="F986" t="s">
        <v>5826</v>
      </c>
      <c r="G986" t="e">
        <f>INDEX(#REF!,MATCH(P986,#REF!,0),1)</f>
        <v>#REF!</v>
      </c>
      <c r="H986" t="s">
        <v>5827</v>
      </c>
      <c r="J986" t="s">
        <v>2741</v>
      </c>
      <c r="K986" t="s">
        <v>53</v>
      </c>
      <c r="L986" t="str">
        <f>"03301-5258"</f>
        <v>03301-5258</v>
      </c>
      <c r="M986" t="s">
        <v>5828</v>
      </c>
      <c r="N986">
        <v>39568</v>
      </c>
      <c r="O986" t="s">
        <v>5765</v>
      </c>
      <c r="P986">
        <v>39568</v>
      </c>
      <c r="Q986" t="s">
        <v>5765</v>
      </c>
      <c r="R986" t="s">
        <v>2138</v>
      </c>
      <c r="S986" t="s">
        <v>2139</v>
      </c>
      <c r="T986" t="s">
        <v>3141</v>
      </c>
      <c r="U986" t="s">
        <v>3738</v>
      </c>
      <c r="V986" t="s">
        <v>1824</v>
      </c>
      <c r="AE986" t="s">
        <v>72</v>
      </c>
    </row>
    <row r="987" spans="1:33" x14ac:dyDescent="0.3">
      <c r="A987">
        <v>2771</v>
      </c>
      <c r="B987" t="s">
        <v>5829</v>
      </c>
      <c r="C987" t="str">
        <f>""</f>
        <v/>
      </c>
      <c r="D987" t="str">
        <f>"860720N00"</f>
        <v>860720N00</v>
      </c>
      <c r="E987" s="1">
        <v>42583</v>
      </c>
      <c r="F987" t="s">
        <v>5830</v>
      </c>
      <c r="G987" t="e">
        <f>INDEX(#REF!,MATCH(P987,#REF!,0),1)</f>
        <v>#REF!</v>
      </c>
      <c r="H987" t="s">
        <v>5831</v>
      </c>
      <c r="J987" t="s">
        <v>5832</v>
      </c>
      <c r="K987" t="s">
        <v>577</v>
      </c>
      <c r="L987" t="s">
        <v>5833</v>
      </c>
      <c r="M987" t="s">
        <v>5834</v>
      </c>
      <c r="N987">
        <v>2771</v>
      </c>
      <c r="O987" t="s">
        <v>5830</v>
      </c>
      <c r="P987">
        <v>2771</v>
      </c>
      <c r="Q987" t="s">
        <v>5830</v>
      </c>
      <c r="R987" t="s">
        <v>499</v>
      </c>
      <c r="S987" t="s">
        <v>500</v>
      </c>
      <c r="T987" t="s">
        <v>44</v>
      </c>
      <c r="U987" t="s">
        <v>45</v>
      </c>
      <c r="AA987" t="s">
        <v>119</v>
      </c>
      <c r="AE987" t="s">
        <v>120</v>
      </c>
    </row>
    <row r="988" spans="1:33" x14ac:dyDescent="0.3">
      <c r="A988">
        <v>2779</v>
      </c>
      <c r="B988" t="s">
        <v>5835</v>
      </c>
      <c r="C988" t="str">
        <f>""</f>
        <v/>
      </c>
      <c r="D988" t="str">
        <f>"NVIW1IF00"</f>
        <v>NVIW1IF00</v>
      </c>
      <c r="E988" s="1">
        <v>34639</v>
      </c>
      <c r="F988" t="s">
        <v>5836</v>
      </c>
      <c r="G988" t="e">
        <f>INDEX(#REF!,MATCH(P988,#REF!,0),1)</f>
        <v>#REF!</v>
      </c>
      <c r="H988" t="s">
        <v>5837</v>
      </c>
      <c r="J988" t="s">
        <v>1567</v>
      </c>
      <c r="K988" t="s">
        <v>88</v>
      </c>
      <c r="L988" t="s">
        <v>5838</v>
      </c>
      <c r="M988" t="s">
        <v>5839</v>
      </c>
      <c r="N988">
        <v>1691</v>
      </c>
      <c r="O988" t="s">
        <v>1570</v>
      </c>
      <c r="P988">
        <v>434</v>
      </c>
      <c r="Q988" t="s">
        <v>1565</v>
      </c>
      <c r="R988" t="s">
        <v>1821</v>
      </c>
      <c r="S988" t="s">
        <v>1822</v>
      </c>
      <c r="T988" t="s">
        <v>2140</v>
      </c>
      <c r="U988" t="s">
        <v>2141</v>
      </c>
      <c r="V988" t="s">
        <v>1824</v>
      </c>
      <c r="AD988" t="s">
        <v>94</v>
      </c>
      <c r="AE988" t="s">
        <v>1033</v>
      </c>
    </row>
    <row r="989" spans="1:33" x14ac:dyDescent="0.3">
      <c r="A989">
        <v>2807</v>
      </c>
      <c r="B989" t="s">
        <v>5840</v>
      </c>
      <c r="C989" t="str">
        <f>""</f>
        <v/>
      </c>
      <c r="D989" t="str">
        <f>""</f>
        <v/>
      </c>
      <c r="E989" s="1">
        <v>42583</v>
      </c>
      <c r="F989" t="s">
        <v>5841</v>
      </c>
      <c r="G989" t="e">
        <f>INDEX(#REF!,MATCH(P989,#REF!,0),1)</f>
        <v>#REF!</v>
      </c>
      <c r="H989" t="s">
        <v>5842</v>
      </c>
      <c r="J989" t="s">
        <v>5843</v>
      </c>
      <c r="K989" t="s">
        <v>283</v>
      </c>
      <c r="L989">
        <v>56232</v>
      </c>
      <c r="M989" t="s">
        <v>5844</v>
      </c>
      <c r="N989">
        <v>2807</v>
      </c>
      <c r="O989" t="s">
        <v>5841</v>
      </c>
      <c r="P989">
        <v>2807</v>
      </c>
      <c r="Q989" t="s">
        <v>5841</v>
      </c>
      <c r="R989" t="s">
        <v>4440</v>
      </c>
      <c r="S989" t="s">
        <v>4441</v>
      </c>
      <c r="T989" t="s">
        <v>44</v>
      </c>
      <c r="U989" t="s">
        <v>45</v>
      </c>
      <c r="AA989" t="s">
        <v>211</v>
      </c>
    </row>
    <row r="990" spans="1:33" x14ac:dyDescent="0.3">
      <c r="A990">
        <v>2832</v>
      </c>
      <c r="B990" t="s">
        <v>5845</v>
      </c>
      <c r="C990" t="str">
        <f>"1100005644243"</f>
        <v>1100005644243</v>
      </c>
      <c r="D990" t="str">
        <f>"450710H00"</f>
        <v>450710H00</v>
      </c>
      <c r="E990" s="1">
        <v>43009</v>
      </c>
      <c r="F990" t="s">
        <v>5846</v>
      </c>
      <c r="G990" t="e">
        <f>INDEX(#REF!,MATCH(P990,#REF!,0),1)</f>
        <v>#REF!</v>
      </c>
      <c r="H990" t="s">
        <v>5847</v>
      </c>
      <c r="J990" t="s">
        <v>5848</v>
      </c>
      <c r="K990" t="s">
        <v>208</v>
      </c>
      <c r="L990" t="s">
        <v>5849</v>
      </c>
      <c r="M990" t="s">
        <v>5850</v>
      </c>
      <c r="N990">
        <v>711504</v>
      </c>
      <c r="O990" t="s">
        <v>737</v>
      </c>
      <c r="P990">
        <v>711504</v>
      </c>
      <c r="Q990" t="s">
        <v>737</v>
      </c>
      <c r="R990" t="s">
        <v>711</v>
      </c>
      <c r="S990" t="s">
        <v>712</v>
      </c>
      <c r="T990" t="s">
        <v>44</v>
      </c>
      <c r="U990" t="s">
        <v>45</v>
      </c>
      <c r="AA990" t="s">
        <v>119</v>
      </c>
      <c r="AE990" t="s">
        <v>120</v>
      </c>
      <c r="AG990" t="s">
        <v>48</v>
      </c>
    </row>
    <row r="991" spans="1:33" x14ac:dyDescent="0.3">
      <c r="A991">
        <v>2844</v>
      </c>
      <c r="B991" t="s">
        <v>5851</v>
      </c>
      <c r="C991" t="str">
        <f>""</f>
        <v/>
      </c>
      <c r="D991" t="str">
        <f>"932940R00"</f>
        <v>932940R00</v>
      </c>
      <c r="E991" s="1">
        <v>45335</v>
      </c>
      <c r="F991" t="s">
        <v>5852</v>
      </c>
      <c r="G991" t="e">
        <f>INDEX(#REF!,MATCH(P991,#REF!,0),1)</f>
        <v>#REF!</v>
      </c>
      <c r="H991" t="s">
        <v>5853</v>
      </c>
      <c r="J991" t="s">
        <v>5854</v>
      </c>
      <c r="K991" t="s">
        <v>88</v>
      </c>
      <c r="L991" t="s">
        <v>5855</v>
      </c>
      <c r="M991" t="s">
        <v>5856</v>
      </c>
      <c r="N991">
        <v>2472681</v>
      </c>
      <c r="O991" t="s">
        <v>3237</v>
      </c>
      <c r="P991">
        <v>767226</v>
      </c>
      <c r="Q991" t="s">
        <v>5857</v>
      </c>
      <c r="R991" t="s">
        <v>3238</v>
      </c>
      <c r="S991" t="s">
        <v>3239</v>
      </c>
      <c r="T991" t="s">
        <v>44</v>
      </c>
      <c r="U991" t="s">
        <v>184</v>
      </c>
      <c r="AC991" t="s">
        <v>3240</v>
      </c>
      <c r="AD991" t="s">
        <v>94</v>
      </c>
      <c r="AG991" t="s">
        <v>48</v>
      </c>
    </row>
    <row r="992" spans="1:33" x14ac:dyDescent="0.3">
      <c r="A992">
        <v>2845</v>
      </c>
      <c r="B992" t="s">
        <v>5858</v>
      </c>
      <c r="C992" t="str">
        <f>""</f>
        <v/>
      </c>
      <c r="D992" t="str">
        <f>"660480O00"</f>
        <v>660480O00</v>
      </c>
      <c r="E992" s="1">
        <v>42199</v>
      </c>
      <c r="F992" t="s">
        <v>5859</v>
      </c>
      <c r="G992" t="e">
        <f>INDEX(#REF!,MATCH(P992,#REF!,0),1)</f>
        <v>#REF!</v>
      </c>
      <c r="H992" t="s">
        <v>5860</v>
      </c>
      <c r="J992" t="s">
        <v>5861</v>
      </c>
      <c r="K992" t="s">
        <v>727</v>
      </c>
      <c r="L992" t="s">
        <v>5862</v>
      </c>
      <c r="M992" t="s">
        <v>3226</v>
      </c>
      <c r="N992">
        <v>3420970</v>
      </c>
      <c r="O992" t="s">
        <v>1181</v>
      </c>
      <c r="P992">
        <v>3420970</v>
      </c>
      <c r="Q992" t="s">
        <v>1181</v>
      </c>
      <c r="R992" t="s">
        <v>245</v>
      </c>
      <c r="S992" t="s">
        <v>246</v>
      </c>
      <c r="T992" t="s">
        <v>44</v>
      </c>
      <c r="U992" t="s">
        <v>1823</v>
      </c>
    </row>
    <row r="993" spans="1:33" x14ac:dyDescent="0.3">
      <c r="A993">
        <v>2853</v>
      </c>
      <c r="B993" t="s">
        <v>5863</v>
      </c>
      <c r="C993" t="str">
        <f>"1100004418456"</f>
        <v>1100004418456</v>
      </c>
      <c r="D993" t="str">
        <f>"4100207F2"</f>
        <v>4100207F2</v>
      </c>
      <c r="E993" s="1">
        <v>34731</v>
      </c>
      <c r="F993" t="s">
        <v>5864</v>
      </c>
      <c r="G993" t="e">
        <f>INDEX(#REF!,MATCH(P993,#REF!,0),1)</f>
        <v>#REF!</v>
      </c>
      <c r="H993" t="s">
        <v>35</v>
      </c>
      <c r="I993" t="s">
        <v>5865</v>
      </c>
      <c r="J993" t="s">
        <v>36</v>
      </c>
      <c r="K993" t="s">
        <v>37</v>
      </c>
      <c r="L993" t="s">
        <v>38</v>
      </c>
      <c r="M993" t="s">
        <v>5866</v>
      </c>
      <c r="N993">
        <v>770471</v>
      </c>
      <c r="O993" t="s">
        <v>40</v>
      </c>
      <c r="P993">
        <v>4</v>
      </c>
      <c r="Q993" t="s">
        <v>34</v>
      </c>
      <c r="R993" t="s">
        <v>3159</v>
      </c>
      <c r="S993" t="s">
        <v>3160</v>
      </c>
      <c r="T993" t="s">
        <v>2140</v>
      </c>
      <c r="U993" t="s">
        <v>2141</v>
      </c>
      <c r="V993" t="s">
        <v>1824</v>
      </c>
      <c r="Y993" t="s">
        <v>46</v>
      </c>
      <c r="Z993" s="1">
        <v>41913</v>
      </c>
      <c r="AE993" t="s">
        <v>47</v>
      </c>
      <c r="AG993" t="s">
        <v>48</v>
      </c>
    </row>
    <row r="994" spans="1:33" x14ac:dyDescent="0.3">
      <c r="A994">
        <v>2858</v>
      </c>
      <c r="B994" t="s">
        <v>5867</v>
      </c>
      <c r="C994" t="str">
        <f>""</f>
        <v/>
      </c>
      <c r="D994" t="str">
        <f>"F3L4DDX00"</f>
        <v>F3L4DDX00</v>
      </c>
      <c r="E994" s="1">
        <v>34779</v>
      </c>
      <c r="F994" t="s">
        <v>5868</v>
      </c>
      <c r="G994" t="e">
        <f>INDEX(#REF!,MATCH(P994,#REF!,0),1)</f>
        <v>#REF!</v>
      </c>
      <c r="H994" t="s">
        <v>5869</v>
      </c>
      <c r="J994" t="s">
        <v>5870</v>
      </c>
      <c r="K994" t="s">
        <v>167</v>
      </c>
      <c r="L994" t="s">
        <v>5871</v>
      </c>
      <c r="M994" t="s">
        <v>5872</v>
      </c>
      <c r="N994">
        <v>253</v>
      </c>
      <c r="O994" t="s">
        <v>973</v>
      </c>
      <c r="P994">
        <v>253</v>
      </c>
      <c r="Q994" t="s">
        <v>973</v>
      </c>
      <c r="R994" t="s">
        <v>3751</v>
      </c>
      <c r="S994" t="s">
        <v>3752</v>
      </c>
      <c r="T994" t="s">
        <v>2277</v>
      </c>
      <c r="U994" t="s">
        <v>2278</v>
      </c>
      <c r="V994" t="s">
        <v>1824</v>
      </c>
      <c r="AA994" t="s">
        <v>93</v>
      </c>
      <c r="AB994" t="s">
        <v>105</v>
      </c>
    </row>
    <row r="995" spans="1:33" x14ac:dyDescent="0.3">
      <c r="A995">
        <v>2863</v>
      </c>
      <c r="B995" t="s">
        <v>5873</v>
      </c>
      <c r="C995" t="str">
        <f>"1100004812728"</f>
        <v>1100004812728</v>
      </c>
      <c r="D995" t="str">
        <f>"631650LF1"</f>
        <v>631650LF1</v>
      </c>
      <c r="E995" s="1">
        <v>34778</v>
      </c>
      <c r="F995" t="s">
        <v>5874</v>
      </c>
      <c r="G995" t="e">
        <f>INDEX(#REF!,MATCH(P995,#REF!,0),1)</f>
        <v>#REF!</v>
      </c>
      <c r="H995" t="s">
        <v>5875</v>
      </c>
      <c r="J995" t="s">
        <v>176</v>
      </c>
      <c r="K995" t="s">
        <v>177</v>
      </c>
      <c r="L995">
        <v>63131</v>
      </c>
      <c r="M995" t="s">
        <v>5876</v>
      </c>
      <c r="N995">
        <v>6104582</v>
      </c>
      <c r="O995" t="s">
        <v>180</v>
      </c>
      <c r="P995">
        <v>1702</v>
      </c>
      <c r="Q995" t="s">
        <v>4093</v>
      </c>
      <c r="R995" t="s">
        <v>3152</v>
      </c>
      <c r="S995" t="s">
        <v>3153</v>
      </c>
      <c r="T995" t="s">
        <v>2140</v>
      </c>
      <c r="U995" t="s">
        <v>2141</v>
      </c>
      <c r="V995" t="s">
        <v>1824</v>
      </c>
      <c r="AA995" t="s">
        <v>185</v>
      </c>
      <c r="AE995" t="s">
        <v>186</v>
      </c>
    </row>
    <row r="996" spans="1:33" x14ac:dyDescent="0.3">
      <c r="A996">
        <v>2865</v>
      </c>
      <c r="B996" t="s">
        <v>5877</v>
      </c>
      <c r="C996" t="str">
        <f>"1100003677748"</f>
        <v>1100003677748</v>
      </c>
      <c r="D996" t="str">
        <f>"EJ3R09000"</f>
        <v>EJ3R09000</v>
      </c>
      <c r="E996" s="1">
        <v>35247</v>
      </c>
      <c r="F996" t="s">
        <v>5878</v>
      </c>
      <c r="G996" t="e">
        <f>INDEX(#REF!,MATCH(P996,#REF!,0),1)</f>
        <v>#REF!</v>
      </c>
      <c r="H996" t="s">
        <v>5879</v>
      </c>
      <c r="J996" t="s">
        <v>5880</v>
      </c>
      <c r="K996" t="s">
        <v>167</v>
      </c>
      <c r="L996" t="s">
        <v>5881</v>
      </c>
      <c r="M996" t="s">
        <v>4330</v>
      </c>
      <c r="N996">
        <v>74360</v>
      </c>
      <c r="O996" t="s">
        <v>5882</v>
      </c>
      <c r="P996">
        <v>74360</v>
      </c>
      <c r="Q996" t="s">
        <v>5882</v>
      </c>
      <c r="R996" t="s">
        <v>5883</v>
      </c>
      <c r="S996" t="s">
        <v>5884</v>
      </c>
      <c r="T996" t="s">
        <v>4245</v>
      </c>
      <c r="U996" t="s">
        <v>5885</v>
      </c>
      <c r="V996" t="s">
        <v>2215</v>
      </c>
      <c r="AF996" t="s">
        <v>5886</v>
      </c>
    </row>
    <row r="997" spans="1:33" x14ac:dyDescent="0.3">
      <c r="A997">
        <v>2866</v>
      </c>
      <c r="B997" t="s">
        <v>5887</v>
      </c>
      <c r="C997" t="str">
        <f>"1100004157607"</f>
        <v>1100004157607</v>
      </c>
      <c r="D997" t="str">
        <f>"BBR1YHT00"</f>
        <v>BBR1YHT00</v>
      </c>
      <c r="E997" s="1">
        <v>34715</v>
      </c>
      <c r="F997" t="s">
        <v>5888</v>
      </c>
      <c r="G997" t="e">
        <f>INDEX(#REF!,MATCH(P997,#REF!,0),1)</f>
        <v>#REF!</v>
      </c>
      <c r="H997" t="s">
        <v>5889</v>
      </c>
      <c r="J997" t="s">
        <v>5890</v>
      </c>
      <c r="K997" t="s">
        <v>167</v>
      </c>
      <c r="L997">
        <v>32132</v>
      </c>
      <c r="M997" t="s">
        <v>4330</v>
      </c>
      <c r="N997">
        <v>407</v>
      </c>
      <c r="O997" t="s">
        <v>1495</v>
      </c>
      <c r="P997">
        <v>407</v>
      </c>
      <c r="Q997" t="s">
        <v>1495</v>
      </c>
      <c r="R997" t="s">
        <v>3751</v>
      </c>
      <c r="S997" t="s">
        <v>3752</v>
      </c>
      <c r="T997" t="s">
        <v>2140</v>
      </c>
      <c r="U997" t="s">
        <v>2141</v>
      </c>
      <c r="V997" t="s">
        <v>1824</v>
      </c>
      <c r="AA997" t="s">
        <v>105</v>
      </c>
    </row>
    <row r="998" spans="1:33" x14ac:dyDescent="0.3">
      <c r="A998">
        <v>2867</v>
      </c>
      <c r="B998" t="s">
        <v>5891</v>
      </c>
      <c r="C998" t="str">
        <f>"1100003190407"</f>
        <v>1100003190407</v>
      </c>
      <c r="D998" t="str">
        <f>"5A5G6HN00"</f>
        <v>5A5G6HN00</v>
      </c>
      <c r="E998" s="1">
        <v>44151</v>
      </c>
      <c r="F998" t="s">
        <v>5892</v>
      </c>
      <c r="G998" t="e">
        <f>INDEX(#REF!,MATCH(P998,#REF!,0),1)</f>
        <v>#REF!</v>
      </c>
      <c r="H998" t="s">
        <v>5893</v>
      </c>
      <c r="J998" t="s">
        <v>5894</v>
      </c>
      <c r="K998" t="s">
        <v>167</v>
      </c>
      <c r="L998" t="s">
        <v>5895</v>
      </c>
      <c r="M998" t="s">
        <v>5896</v>
      </c>
      <c r="N998">
        <v>74360</v>
      </c>
      <c r="O998" t="s">
        <v>5882</v>
      </c>
      <c r="P998">
        <v>2865</v>
      </c>
      <c r="Q998" t="s">
        <v>5878</v>
      </c>
      <c r="R998" t="s">
        <v>5883</v>
      </c>
      <c r="S998" t="s">
        <v>5884</v>
      </c>
      <c r="T998" t="s">
        <v>4245</v>
      </c>
      <c r="U998" t="s">
        <v>5885</v>
      </c>
      <c r="V998" t="s">
        <v>2215</v>
      </c>
      <c r="AF998" t="s">
        <v>5886</v>
      </c>
    </row>
    <row r="999" spans="1:33" x14ac:dyDescent="0.3">
      <c r="A999">
        <v>2868</v>
      </c>
      <c r="B999" t="s">
        <v>5897</v>
      </c>
      <c r="C999" t="str">
        <f>"1100004618412"</f>
        <v>1100004618412</v>
      </c>
      <c r="D999" t="str">
        <f>"64MYMVB00"</f>
        <v>64MYMVB00</v>
      </c>
      <c r="E999" s="1">
        <v>44151</v>
      </c>
      <c r="F999" t="s">
        <v>5898</v>
      </c>
      <c r="G999" t="e">
        <f>INDEX(#REF!,MATCH(P999,#REF!,0),1)</f>
        <v>#REF!</v>
      </c>
      <c r="H999" t="s">
        <v>5899</v>
      </c>
      <c r="J999" t="s">
        <v>3516</v>
      </c>
      <c r="K999" t="s">
        <v>167</v>
      </c>
      <c r="L999">
        <v>32763</v>
      </c>
      <c r="M999" t="s">
        <v>5896</v>
      </c>
      <c r="N999">
        <v>74360</v>
      </c>
      <c r="O999" t="s">
        <v>5882</v>
      </c>
      <c r="P999">
        <v>2865</v>
      </c>
      <c r="Q999" t="s">
        <v>5878</v>
      </c>
      <c r="R999" t="s">
        <v>5883</v>
      </c>
      <c r="S999" t="s">
        <v>5884</v>
      </c>
      <c r="T999" t="s">
        <v>4245</v>
      </c>
      <c r="U999" t="s">
        <v>5885</v>
      </c>
      <c r="V999" t="s">
        <v>2215</v>
      </c>
      <c r="AF999" t="s">
        <v>5886</v>
      </c>
    </row>
    <row r="1000" spans="1:33" x14ac:dyDescent="0.3">
      <c r="A1000">
        <v>2869</v>
      </c>
      <c r="B1000" t="s">
        <v>5900</v>
      </c>
      <c r="C1000" t="str">
        <f>""</f>
        <v/>
      </c>
      <c r="D1000" t="str">
        <f>"NQX0D3Q00"</f>
        <v>NQX0D3Q00</v>
      </c>
      <c r="E1000" s="1">
        <v>34715</v>
      </c>
      <c r="F1000" t="s">
        <v>5901</v>
      </c>
      <c r="G1000" t="e">
        <f>INDEX(#REF!,MATCH(P1000,#REF!,0),1)</f>
        <v>#REF!</v>
      </c>
      <c r="H1000" t="s">
        <v>5902</v>
      </c>
      <c r="J1000" t="s">
        <v>1497</v>
      </c>
      <c r="K1000" t="s">
        <v>167</v>
      </c>
      <c r="L1000">
        <v>32114</v>
      </c>
      <c r="M1000" t="s">
        <v>4330</v>
      </c>
      <c r="N1000">
        <v>407</v>
      </c>
      <c r="O1000" t="s">
        <v>1495</v>
      </c>
      <c r="P1000">
        <v>407</v>
      </c>
      <c r="Q1000" t="s">
        <v>1495</v>
      </c>
      <c r="R1000" t="s">
        <v>3751</v>
      </c>
      <c r="S1000" t="s">
        <v>3752</v>
      </c>
      <c r="T1000" t="s">
        <v>2140</v>
      </c>
      <c r="U1000" t="s">
        <v>2141</v>
      </c>
      <c r="V1000" t="s">
        <v>1824</v>
      </c>
      <c r="AA1000" t="s">
        <v>105</v>
      </c>
    </row>
    <row r="1001" spans="1:33" x14ac:dyDescent="0.3">
      <c r="A1001">
        <v>2870</v>
      </c>
      <c r="B1001" t="s">
        <v>5903</v>
      </c>
      <c r="C1001" t="str">
        <f>"1100003689970"</f>
        <v>1100003689970</v>
      </c>
      <c r="D1001" t="str">
        <f>"3AA7KJX00"</f>
        <v>3AA7KJX00</v>
      </c>
      <c r="E1001" s="1">
        <v>34709</v>
      </c>
      <c r="F1001" t="s">
        <v>5904</v>
      </c>
      <c r="G1001" t="e">
        <f>INDEX(#REF!,MATCH(P1001,#REF!,0),1)</f>
        <v>#REF!</v>
      </c>
      <c r="H1001" t="s">
        <v>5905</v>
      </c>
      <c r="J1001" t="s">
        <v>1026</v>
      </c>
      <c r="K1001" t="s">
        <v>577</v>
      </c>
      <c r="L1001" t="s">
        <v>5906</v>
      </c>
      <c r="M1001" t="s">
        <v>3226</v>
      </c>
      <c r="N1001">
        <v>264</v>
      </c>
      <c r="O1001" t="s">
        <v>1024</v>
      </c>
      <c r="P1001">
        <v>264</v>
      </c>
      <c r="Q1001" t="s">
        <v>1024</v>
      </c>
      <c r="R1001" t="s">
        <v>4681</v>
      </c>
      <c r="S1001" t="s">
        <v>4682</v>
      </c>
      <c r="T1001" t="s">
        <v>2277</v>
      </c>
      <c r="U1001" t="s">
        <v>2278</v>
      </c>
      <c r="V1001" t="s">
        <v>1824</v>
      </c>
      <c r="Y1001" t="s">
        <v>46</v>
      </c>
      <c r="Z1001" s="1">
        <v>45474</v>
      </c>
    </row>
    <row r="1002" spans="1:33" x14ac:dyDescent="0.3">
      <c r="A1002">
        <v>2884</v>
      </c>
      <c r="B1002" t="s">
        <v>5907</v>
      </c>
      <c r="C1002" t="str">
        <f>"1100004947819"</f>
        <v>1100004947819</v>
      </c>
      <c r="D1002" t="str">
        <f>"KI8UEWE00"</f>
        <v>KI8UEWE00</v>
      </c>
      <c r="E1002" s="1">
        <v>34744</v>
      </c>
      <c r="F1002" t="s">
        <v>5908</v>
      </c>
      <c r="G1002" t="e">
        <f>INDEX(#REF!,MATCH(P1002,#REF!,0),1)</f>
        <v>#REF!</v>
      </c>
      <c r="H1002" t="s">
        <v>5909</v>
      </c>
      <c r="J1002" t="s">
        <v>781</v>
      </c>
      <c r="K1002" t="s">
        <v>353</v>
      </c>
      <c r="L1002" t="s">
        <v>5910</v>
      </c>
      <c r="M1002" t="s">
        <v>5911</v>
      </c>
      <c r="N1002">
        <v>73818</v>
      </c>
      <c r="O1002" t="s">
        <v>671</v>
      </c>
      <c r="P1002">
        <v>196</v>
      </c>
      <c r="Q1002" t="s">
        <v>779</v>
      </c>
      <c r="R1002" t="s">
        <v>1821</v>
      </c>
      <c r="S1002" t="s">
        <v>1822</v>
      </c>
      <c r="T1002" t="s">
        <v>2140</v>
      </c>
      <c r="U1002" t="s">
        <v>2141</v>
      </c>
      <c r="V1002" t="s">
        <v>1824</v>
      </c>
    </row>
    <row r="1003" spans="1:33" x14ac:dyDescent="0.3">
      <c r="A1003">
        <v>2888</v>
      </c>
      <c r="B1003" t="s">
        <v>5912</v>
      </c>
      <c r="C1003" t="str">
        <f>"1100005764439"</f>
        <v>1100005764439</v>
      </c>
      <c r="D1003" t="str">
        <f>"JKMT23N00"</f>
        <v>JKMT23N00</v>
      </c>
      <c r="E1003" s="1">
        <v>34869</v>
      </c>
      <c r="F1003" t="s">
        <v>5913</v>
      </c>
      <c r="G1003" t="e">
        <f>INDEX(#REF!,MATCH(P1003,#REF!,0),1)</f>
        <v>#REF!</v>
      </c>
      <c r="H1003" t="s">
        <v>5914</v>
      </c>
      <c r="I1003" t="s">
        <v>5915</v>
      </c>
      <c r="J1003" t="s">
        <v>5916</v>
      </c>
      <c r="K1003" t="s">
        <v>353</v>
      </c>
      <c r="L1003" t="s">
        <v>5917</v>
      </c>
      <c r="M1003" t="s">
        <v>5918</v>
      </c>
      <c r="N1003">
        <v>2623348</v>
      </c>
      <c r="O1003" t="s">
        <v>773</v>
      </c>
      <c r="P1003">
        <v>1133</v>
      </c>
      <c r="Q1003" t="s">
        <v>3203</v>
      </c>
      <c r="R1003" t="s">
        <v>3372</v>
      </c>
      <c r="S1003" t="s">
        <v>3373</v>
      </c>
      <c r="T1003" t="s">
        <v>2277</v>
      </c>
      <c r="U1003" t="s">
        <v>5651</v>
      </c>
      <c r="V1003" t="s">
        <v>1824</v>
      </c>
      <c r="AA1003" t="s">
        <v>93</v>
      </c>
      <c r="AE1003" t="s">
        <v>220</v>
      </c>
      <c r="AG1003" t="s">
        <v>48</v>
      </c>
    </row>
    <row r="1004" spans="1:33" x14ac:dyDescent="0.3">
      <c r="A1004">
        <v>2897</v>
      </c>
      <c r="B1004" t="s">
        <v>5919</v>
      </c>
      <c r="C1004" t="str">
        <f>""</f>
        <v/>
      </c>
      <c r="D1004" t="str">
        <f>"TN378DB00"</f>
        <v>TN378DB00</v>
      </c>
      <c r="E1004" s="1">
        <v>34688</v>
      </c>
      <c r="F1004" t="s">
        <v>5920</v>
      </c>
      <c r="G1004" t="e">
        <f>INDEX(#REF!,MATCH(P1004,#REF!,0),1)</f>
        <v>#REF!</v>
      </c>
      <c r="H1004" t="s">
        <v>5921</v>
      </c>
      <c r="J1004" t="s">
        <v>1453</v>
      </c>
      <c r="K1004" t="s">
        <v>1454</v>
      </c>
      <c r="L1004" t="s">
        <v>5922</v>
      </c>
      <c r="M1004" t="s">
        <v>5923</v>
      </c>
      <c r="N1004">
        <v>717069</v>
      </c>
      <c r="O1004" t="s">
        <v>1457</v>
      </c>
      <c r="P1004">
        <v>717069</v>
      </c>
      <c r="Q1004" t="s">
        <v>1457</v>
      </c>
      <c r="R1004" t="s">
        <v>5924</v>
      </c>
      <c r="S1004" t="s">
        <v>5925</v>
      </c>
      <c r="T1004" t="s">
        <v>2140</v>
      </c>
      <c r="U1004" t="s">
        <v>2141</v>
      </c>
      <c r="V1004" t="s">
        <v>1824</v>
      </c>
      <c r="AA1004" t="s">
        <v>1032</v>
      </c>
      <c r="AD1004" t="s">
        <v>94</v>
      </c>
      <c r="AE1004" t="s">
        <v>1033</v>
      </c>
      <c r="AG1004" t="s">
        <v>48</v>
      </c>
    </row>
    <row r="1005" spans="1:33" x14ac:dyDescent="0.3">
      <c r="A1005">
        <v>2898</v>
      </c>
      <c r="B1005" t="s">
        <v>5926</v>
      </c>
      <c r="C1005" t="str">
        <f>""</f>
        <v/>
      </c>
      <c r="D1005" t="str">
        <f>"PKGQRW200"</f>
        <v>PKGQRW200</v>
      </c>
      <c r="E1005" s="1">
        <v>34688</v>
      </c>
      <c r="F1005" t="s">
        <v>5927</v>
      </c>
      <c r="G1005" t="e">
        <f>INDEX(#REF!,MATCH(P1005,#REF!,0),1)</f>
        <v>#REF!</v>
      </c>
      <c r="H1005" t="s">
        <v>5928</v>
      </c>
      <c r="J1005" t="s">
        <v>1453</v>
      </c>
      <c r="K1005" t="s">
        <v>1454</v>
      </c>
      <c r="L1005">
        <v>96813</v>
      </c>
      <c r="M1005" t="s">
        <v>5923</v>
      </c>
      <c r="N1005">
        <v>717069</v>
      </c>
      <c r="O1005" t="s">
        <v>1457</v>
      </c>
      <c r="P1005">
        <v>717069</v>
      </c>
      <c r="Q1005" t="s">
        <v>1457</v>
      </c>
      <c r="R1005" t="s">
        <v>5924</v>
      </c>
      <c r="S1005" t="s">
        <v>5925</v>
      </c>
      <c r="T1005" t="s">
        <v>2140</v>
      </c>
      <c r="U1005" t="s">
        <v>2141</v>
      </c>
      <c r="V1005" t="s">
        <v>1824</v>
      </c>
      <c r="AA1005" t="s">
        <v>1032</v>
      </c>
      <c r="AD1005" t="s">
        <v>94</v>
      </c>
      <c r="AE1005" t="s">
        <v>1033</v>
      </c>
      <c r="AG1005" t="s">
        <v>48</v>
      </c>
    </row>
    <row r="1006" spans="1:33" x14ac:dyDescent="0.3">
      <c r="A1006">
        <v>2902</v>
      </c>
      <c r="B1006" t="s">
        <v>5929</v>
      </c>
      <c r="C1006" t="str">
        <f>""</f>
        <v/>
      </c>
      <c r="D1006" t="str">
        <f>"392820OF1"</f>
        <v>392820OF1</v>
      </c>
      <c r="E1006" s="1">
        <v>34779</v>
      </c>
      <c r="F1006" t="s">
        <v>5930</v>
      </c>
      <c r="G1006" t="e">
        <f>INDEX(#REF!,MATCH(P1006,#REF!,0),1)</f>
        <v>#REF!</v>
      </c>
      <c r="H1006" t="s">
        <v>5931</v>
      </c>
      <c r="J1006" t="s">
        <v>975</v>
      </c>
      <c r="K1006" t="s">
        <v>167</v>
      </c>
      <c r="L1006" t="s">
        <v>5932</v>
      </c>
      <c r="M1006" t="s">
        <v>5933</v>
      </c>
      <c r="N1006">
        <v>253</v>
      </c>
      <c r="O1006" t="s">
        <v>973</v>
      </c>
      <c r="P1006">
        <v>253</v>
      </c>
      <c r="Q1006" t="s">
        <v>973</v>
      </c>
      <c r="R1006" t="s">
        <v>3751</v>
      </c>
      <c r="S1006" t="s">
        <v>3752</v>
      </c>
      <c r="T1006" t="s">
        <v>3141</v>
      </c>
      <c r="U1006" t="s">
        <v>3142</v>
      </c>
      <c r="V1006" t="s">
        <v>1824</v>
      </c>
      <c r="AA1006" t="s">
        <v>93</v>
      </c>
      <c r="AB1006" t="s">
        <v>105</v>
      </c>
    </row>
    <row r="1007" spans="1:33" x14ac:dyDescent="0.3">
      <c r="A1007">
        <v>2914</v>
      </c>
      <c r="B1007" t="s">
        <v>5934</v>
      </c>
      <c r="C1007" t="str">
        <f>"1100004946522"</f>
        <v>1100004946522</v>
      </c>
      <c r="D1007" t="str">
        <f>"SN0Q51BF0"</f>
        <v>SN0Q51BF0</v>
      </c>
      <c r="E1007" s="1">
        <v>35003</v>
      </c>
      <c r="F1007" t="s">
        <v>5935</v>
      </c>
      <c r="G1007" t="e">
        <f>INDEX(#REF!,MATCH(P1007,#REF!,0),1)</f>
        <v>#REF!</v>
      </c>
      <c r="H1007" t="s">
        <v>5936</v>
      </c>
      <c r="J1007" t="s">
        <v>1026</v>
      </c>
      <c r="K1007" t="s">
        <v>577</v>
      </c>
      <c r="L1007">
        <v>85631</v>
      </c>
      <c r="M1007" t="s">
        <v>5937</v>
      </c>
      <c r="N1007">
        <v>264</v>
      </c>
      <c r="O1007" t="s">
        <v>1024</v>
      </c>
      <c r="P1007">
        <v>1274</v>
      </c>
      <c r="Q1007" t="s">
        <v>3381</v>
      </c>
      <c r="R1007" t="s">
        <v>4681</v>
      </c>
      <c r="S1007" t="s">
        <v>4682</v>
      </c>
      <c r="T1007" t="s">
        <v>2140</v>
      </c>
      <c r="U1007" t="s">
        <v>2141</v>
      </c>
      <c r="V1007" t="s">
        <v>1824</v>
      </c>
      <c r="Y1007" t="s">
        <v>46</v>
      </c>
      <c r="Z1007" s="1">
        <v>45474</v>
      </c>
    </row>
    <row r="1008" spans="1:33" x14ac:dyDescent="0.3">
      <c r="A1008">
        <v>2915</v>
      </c>
      <c r="B1008" t="s">
        <v>5938</v>
      </c>
      <c r="C1008" t="str">
        <f>"1100003473654"</f>
        <v>1100003473654</v>
      </c>
      <c r="D1008" t="str">
        <f>"LKD40G200"</f>
        <v>LKD40G200</v>
      </c>
      <c r="E1008" s="1">
        <v>35003</v>
      </c>
      <c r="F1008" t="s">
        <v>5939</v>
      </c>
      <c r="G1008" t="e">
        <f>INDEX(#REF!,MATCH(P1008,#REF!,0),1)</f>
        <v>#REF!</v>
      </c>
      <c r="H1008" t="s">
        <v>5940</v>
      </c>
      <c r="J1008" t="s">
        <v>1026</v>
      </c>
      <c r="K1008" t="s">
        <v>577</v>
      </c>
      <c r="L1008" t="s">
        <v>5941</v>
      </c>
      <c r="M1008" t="s">
        <v>5942</v>
      </c>
      <c r="N1008">
        <v>264</v>
      </c>
      <c r="O1008" t="s">
        <v>1024</v>
      </c>
      <c r="P1008">
        <v>1274</v>
      </c>
      <c r="Q1008" t="s">
        <v>3381</v>
      </c>
      <c r="R1008" t="s">
        <v>4681</v>
      </c>
      <c r="S1008" t="s">
        <v>4682</v>
      </c>
      <c r="T1008" t="s">
        <v>2140</v>
      </c>
      <c r="U1008" t="s">
        <v>2141</v>
      </c>
      <c r="V1008" t="s">
        <v>1824</v>
      </c>
      <c r="Y1008" t="s">
        <v>46</v>
      </c>
      <c r="Z1008" s="1">
        <v>45474</v>
      </c>
      <c r="AA1008" t="s">
        <v>1032</v>
      </c>
    </row>
    <row r="1009" spans="1:33" x14ac:dyDescent="0.3">
      <c r="A1009">
        <v>2918</v>
      </c>
      <c r="B1009" t="s">
        <v>5943</v>
      </c>
      <c r="C1009" t="str">
        <f>"1100003415685"</f>
        <v>1100003415685</v>
      </c>
      <c r="D1009" t="str">
        <f>"8B8V1XK00"</f>
        <v>8B8V1XK00</v>
      </c>
      <c r="E1009" s="1">
        <v>34908</v>
      </c>
      <c r="F1009" t="s">
        <v>5944</v>
      </c>
      <c r="G1009" t="e">
        <f>INDEX(#REF!,MATCH(P1009,#REF!,0),1)</f>
        <v>#REF!</v>
      </c>
      <c r="H1009" t="s">
        <v>5945</v>
      </c>
      <c r="J1009" t="s">
        <v>775</v>
      </c>
      <c r="K1009" t="s">
        <v>353</v>
      </c>
      <c r="L1009" t="s">
        <v>5946</v>
      </c>
      <c r="M1009" t="s">
        <v>5947</v>
      </c>
      <c r="N1009">
        <v>2623348</v>
      </c>
      <c r="O1009" t="s">
        <v>773</v>
      </c>
      <c r="P1009">
        <v>1133</v>
      </c>
      <c r="Q1009" t="s">
        <v>3203</v>
      </c>
      <c r="R1009" t="s">
        <v>3372</v>
      </c>
      <c r="S1009" t="s">
        <v>3373</v>
      </c>
      <c r="T1009" t="s">
        <v>2277</v>
      </c>
      <c r="U1009" t="s">
        <v>2278</v>
      </c>
      <c r="V1009" t="s">
        <v>1824</v>
      </c>
      <c r="AA1009" t="s">
        <v>93</v>
      </c>
      <c r="AE1009" t="s">
        <v>220</v>
      </c>
      <c r="AG1009" t="s">
        <v>48</v>
      </c>
    </row>
    <row r="1010" spans="1:33" x14ac:dyDescent="0.3">
      <c r="A1010">
        <v>2921</v>
      </c>
      <c r="B1010" t="s">
        <v>5948</v>
      </c>
      <c r="C1010" t="str">
        <f>"1100004800619"</f>
        <v>1100004800619</v>
      </c>
      <c r="D1010" t="str">
        <f>"KLJJC7Q00"</f>
        <v>KLJJC7Q00</v>
      </c>
      <c r="E1010" s="1">
        <v>34908</v>
      </c>
      <c r="F1010" t="s">
        <v>5949</v>
      </c>
      <c r="G1010" t="e">
        <f>INDEX(#REF!,MATCH(P1010,#REF!,0),1)</f>
        <v>#REF!</v>
      </c>
      <c r="H1010" t="s">
        <v>5950</v>
      </c>
      <c r="J1010" t="s">
        <v>5951</v>
      </c>
      <c r="K1010" t="s">
        <v>353</v>
      </c>
      <c r="L1010">
        <v>70072</v>
      </c>
      <c r="M1010" t="s">
        <v>5918</v>
      </c>
      <c r="N1010">
        <v>2623348</v>
      </c>
      <c r="O1010" t="s">
        <v>773</v>
      </c>
      <c r="P1010">
        <v>1133</v>
      </c>
      <c r="Q1010" t="s">
        <v>3203</v>
      </c>
      <c r="R1010" t="s">
        <v>3372</v>
      </c>
      <c r="S1010" t="s">
        <v>3373</v>
      </c>
      <c r="T1010" t="s">
        <v>2277</v>
      </c>
      <c r="U1010" t="s">
        <v>5651</v>
      </c>
      <c r="V1010" t="s">
        <v>1824</v>
      </c>
      <c r="AA1010" t="s">
        <v>93</v>
      </c>
      <c r="AE1010" t="s">
        <v>220</v>
      </c>
      <c r="AG1010" t="s">
        <v>48</v>
      </c>
    </row>
    <row r="1011" spans="1:33" x14ac:dyDescent="0.3">
      <c r="A1011">
        <v>2922</v>
      </c>
      <c r="B1011" t="s">
        <v>5952</v>
      </c>
      <c r="C1011" t="str">
        <f>"1100003329791"</f>
        <v>1100003329791</v>
      </c>
      <c r="D1011" t="str">
        <f>"3AHGLWR00"</f>
        <v>3AHGLWR00</v>
      </c>
      <c r="E1011" s="1">
        <v>34908</v>
      </c>
      <c r="F1011" t="s">
        <v>5953</v>
      </c>
      <c r="G1011" t="e">
        <f>INDEX(#REF!,MATCH(P1011,#REF!,0),1)</f>
        <v>#REF!</v>
      </c>
      <c r="H1011" t="s">
        <v>5954</v>
      </c>
      <c r="J1011" t="s">
        <v>5955</v>
      </c>
      <c r="K1011" t="s">
        <v>353</v>
      </c>
      <c r="L1011" t="s">
        <v>5956</v>
      </c>
      <c r="M1011" t="s">
        <v>5918</v>
      </c>
      <c r="N1011">
        <v>2623348</v>
      </c>
      <c r="O1011" t="s">
        <v>773</v>
      </c>
      <c r="P1011">
        <v>1133</v>
      </c>
      <c r="Q1011" t="s">
        <v>3203</v>
      </c>
      <c r="R1011" t="s">
        <v>3372</v>
      </c>
      <c r="S1011" t="s">
        <v>3373</v>
      </c>
      <c r="T1011" t="s">
        <v>2277</v>
      </c>
      <c r="U1011" t="s">
        <v>2278</v>
      </c>
      <c r="V1011" t="s">
        <v>1824</v>
      </c>
      <c r="AA1011" t="s">
        <v>93</v>
      </c>
      <c r="AE1011" t="s">
        <v>220</v>
      </c>
      <c r="AG1011" t="s">
        <v>48</v>
      </c>
    </row>
    <row r="1012" spans="1:33" x14ac:dyDescent="0.3">
      <c r="A1012">
        <v>2924</v>
      </c>
      <c r="B1012" t="s">
        <v>5957</v>
      </c>
      <c r="C1012" t="str">
        <f>""</f>
        <v/>
      </c>
      <c r="D1012" t="str">
        <f>"TK667JF00"</f>
        <v>TK667JF00</v>
      </c>
      <c r="E1012" s="1">
        <v>34908</v>
      </c>
      <c r="F1012" t="s">
        <v>5958</v>
      </c>
      <c r="G1012" t="e">
        <f>INDEX(#REF!,MATCH(P1012,#REF!,0),1)</f>
        <v>#REF!</v>
      </c>
      <c r="H1012" t="s">
        <v>5959</v>
      </c>
      <c r="J1012" t="s">
        <v>775</v>
      </c>
      <c r="K1012" t="s">
        <v>353</v>
      </c>
      <c r="L1012">
        <v>70127</v>
      </c>
      <c r="M1012" t="s">
        <v>5918</v>
      </c>
      <c r="N1012">
        <v>2623348</v>
      </c>
      <c r="O1012" t="s">
        <v>773</v>
      </c>
      <c r="P1012">
        <v>1133</v>
      </c>
      <c r="Q1012" t="s">
        <v>3203</v>
      </c>
      <c r="R1012" t="s">
        <v>3372</v>
      </c>
      <c r="S1012" t="s">
        <v>3373</v>
      </c>
      <c r="T1012" t="s">
        <v>2277</v>
      </c>
      <c r="U1012" t="s">
        <v>2278</v>
      </c>
      <c r="V1012" t="s">
        <v>1824</v>
      </c>
      <c r="AA1012" t="s">
        <v>93</v>
      </c>
      <c r="AE1012" t="s">
        <v>220</v>
      </c>
      <c r="AG1012" t="s">
        <v>48</v>
      </c>
    </row>
    <row r="1013" spans="1:33" x14ac:dyDescent="0.3">
      <c r="A1013">
        <v>2950</v>
      </c>
      <c r="B1013">
        <v>2226</v>
      </c>
      <c r="C1013" t="str">
        <f>""</f>
        <v/>
      </c>
      <c r="D1013" t="str">
        <f>"933560Q00"</f>
        <v>933560Q00</v>
      </c>
      <c r="E1013" s="1">
        <v>44378</v>
      </c>
      <c r="F1013" t="s">
        <v>5960</v>
      </c>
      <c r="G1013" t="e">
        <f>INDEX(#REF!,MATCH(P1013,#REF!,0),1)</f>
        <v>#REF!</v>
      </c>
      <c r="H1013" t="s">
        <v>5961</v>
      </c>
      <c r="J1013" t="s">
        <v>5962</v>
      </c>
      <c r="K1013" t="s">
        <v>88</v>
      </c>
      <c r="L1013" t="s">
        <v>5963</v>
      </c>
      <c r="M1013" t="s">
        <v>5964</v>
      </c>
      <c r="N1013">
        <v>2950</v>
      </c>
      <c r="O1013" t="s">
        <v>5960</v>
      </c>
      <c r="P1013">
        <v>2950</v>
      </c>
      <c r="Q1013" t="s">
        <v>5960</v>
      </c>
      <c r="R1013" t="s">
        <v>4661</v>
      </c>
      <c r="S1013" t="s">
        <v>4662</v>
      </c>
      <c r="T1013" t="s">
        <v>44</v>
      </c>
      <c r="U1013" t="s">
        <v>45</v>
      </c>
    </row>
    <row r="1014" spans="1:33" x14ac:dyDescent="0.3">
      <c r="A1014">
        <v>2979</v>
      </c>
      <c r="B1014" t="s">
        <v>5965</v>
      </c>
      <c r="C1014" t="str">
        <f>""</f>
        <v/>
      </c>
      <c r="D1014" t="str">
        <f>"93XYJH700"</f>
        <v>93XYJH700</v>
      </c>
      <c r="E1014" s="1">
        <v>34920</v>
      </c>
      <c r="F1014" t="s">
        <v>5966</v>
      </c>
      <c r="G1014" t="e">
        <f>INDEX(#REF!,MATCH(P1014,#REF!,0),1)</f>
        <v>#REF!</v>
      </c>
      <c r="H1014" t="s">
        <v>5967</v>
      </c>
      <c r="J1014" t="s">
        <v>922</v>
      </c>
      <c r="K1014" t="s">
        <v>353</v>
      </c>
      <c r="L1014" t="s">
        <v>5968</v>
      </c>
      <c r="M1014" t="s">
        <v>5969</v>
      </c>
      <c r="N1014">
        <v>284</v>
      </c>
      <c r="O1014" t="s">
        <v>925</v>
      </c>
      <c r="P1014">
        <v>284</v>
      </c>
      <c r="Q1014" t="s">
        <v>925</v>
      </c>
      <c r="R1014" t="s">
        <v>3159</v>
      </c>
      <c r="S1014" t="s">
        <v>3160</v>
      </c>
      <c r="T1014" t="s">
        <v>2277</v>
      </c>
      <c r="U1014" t="s">
        <v>2278</v>
      </c>
      <c r="V1014" t="s">
        <v>1824</v>
      </c>
      <c r="AA1014" t="s">
        <v>105</v>
      </c>
      <c r="AE1014" t="s">
        <v>106</v>
      </c>
    </row>
    <row r="1015" spans="1:33" x14ac:dyDescent="0.3">
      <c r="A1015">
        <v>2980</v>
      </c>
      <c r="B1015" t="s">
        <v>5970</v>
      </c>
      <c r="C1015" t="str">
        <f>""</f>
        <v/>
      </c>
      <c r="D1015" t="str">
        <f>"GA3Y9BB00"</f>
        <v>GA3Y9BB00</v>
      </c>
      <c r="E1015" s="1">
        <v>34920</v>
      </c>
      <c r="F1015" t="s">
        <v>5971</v>
      </c>
      <c r="G1015" t="e">
        <f>INDEX(#REF!,MATCH(P1015,#REF!,0),1)</f>
        <v>#REF!</v>
      </c>
      <c r="H1015" t="s">
        <v>5972</v>
      </c>
      <c r="J1015" t="s">
        <v>922</v>
      </c>
      <c r="K1015" t="s">
        <v>353</v>
      </c>
      <c r="L1015" t="s">
        <v>5973</v>
      </c>
      <c r="M1015" t="s">
        <v>3226</v>
      </c>
      <c r="N1015">
        <v>284</v>
      </c>
      <c r="O1015" t="s">
        <v>925</v>
      </c>
      <c r="P1015">
        <v>284</v>
      </c>
      <c r="Q1015" t="s">
        <v>925</v>
      </c>
      <c r="R1015" t="s">
        <v>3159</v>
      </c>
      <c r="S1015" t="s">
        <v>3160</v>
      </c>
      <c r="T1015" t="s">
        <v>2277</v>
      </c>
      <c r="U1015" t="s">
        <v>5497</v>
      </c>
      <c r="V1015" t="s">
        <v>1824</v>
      </c>
      <c r="AA1015" t="s">
        <v>105</v>
      </c>
      <c r="AE1015" t="s">
        <v>106</v>
      </c>
    </row>
    <row r="1016" spans="1:33" x14ac:dyDescent="0.3">
      <c r="A1016">
        <v>2981</v>
      </c>
      <c r="B1016" t="s">
        <v>5974</v>
      </c>
      <c r="C1016" t="str">
        <f>""</f>
        <v/>
      </c>
      <c r="D1016" t="str">
        <f>"PENE26CF0"</f>
        <v>PENE26CF0</v>
      </c>
      <c r="E1016" s="1">
        <v>34920</v>
      </c>
      <c r="F1016" t="s">
        <v>5975</v>
      </c>
      <c r="G1016" t="e">
        <f>INDEX(#REF!,MATCH(P1016,#REF!,0),1)</f>
        <v>#REF!</v>
      </c>
      <c r="H1016" t="s">
        <v>5976</v>
      </c>
      <c r="J1016" t="s">
        <v>922</v>
      </c>
      <c r="K1016" t="s">
        <v>353</v>
      </c>
      <c r="L1016" t="s">
        <v>5977</v>
      </c>
      <c r="M1016" t="s">
        <v>5978</v>
      </c>
      <c r="N1016">
        <v>284</v>
      </c>
      <c r="O1016" t="s">
        <v>925</v>
      </c>
      <c r="P1016">
        <v>284</v>
      </c>
      <c r="Q1016" t="s">
        <v>925</v>
      </c>
      <c r="R1016" t="s">
        <v>3159</v>
      </c>
      <c r="S1016" t="s">
        <v>3160</v>
      </c>
      <c r="T1016" t="s">
        <v>2277</v>
      </c>
      <c r="U1016" t="s">
        <v>5497</v>
      </c>
      <c r="V1016" t="s">
        <v>1824</v>
      </c>
      <c r="AA1016" t="s">
        <v>105</v>
      </c>
      <c r="AE1016" t="s">
        <v>106</v>
      </c>
    </row>
    <row r="1017" spans="1:33" x14ac:dyDescent="0.3">
      <c r="A1017">
        <v>2982</v>
      </c>
      <c r="B1017" t="s">
        <v>5979</v>
      </c>
      <c r="C1017" t="str">
        <f>""</f>
        <v/>
      </c>
      <c r="D1017" t="str">
        <f>"K889JYQ00"</f>
        <v>K889JYQ00</v>
      </c>
      <c r="E1017" s="1">
        <v>34920</v>
      </c>
      <c r="F1017" t="s">
        <v>5980</v>
      </c>
      <c r="G1017" t="e">
        <f>INDEX(#REF!,MATCH(P1017,#REF!,0),1)</f>
        <v>#REF!</v>
      </c>
      <c r="H1017" t="s">
        <v>5981</v>
      </c>
      <c r="J1017" t="s">
        <v>922</v>
      </c>
      <c r="K1017" t="s">
        <v>353</v>
      </c>
      <c r="L1017">
        <v>71103</v>
      </c>
      <c r="M1017" t="s">
        <v>3226</v>
      </c>
      <c r="N1017">
        <v>284</v>
      </c>
      <c r="O1017" t="s">
        <v>925</v>
      </c>
      <c r="P1017">
        <v>284</v>
      </c>
      <c r="Q1017" t="s">
        <v>925</v>
      </c>
      <c r="R1017" t="s">
        <v>3159</v>
      </c>
      <c r="S1017" t="s">
        <v>3160</v>
      </c>
      <c r="T1017" t="s">
        <v>2277</v>
      </c>
      <c r="U1017" t="s">
        <v>5497</v>
      </c>
      <c r="V1017" t="s">
        <v>1824</v>
      </c>
      <c r="AA1017" t="s">
        <v>105</v>
      </c>
      <c r="AE1017" t="s">
        <v>106</v>
      </c>
    </row>
    <row r="1018" spans="1:33" x14ac:dyDescent="0.3">
      <c r="A1018">
        <v>2983</v>
      </c>
      <c r="B1018" t="s">
        <v>5982</v>
      </c>
      <c r="C1018" t="str">
        <f>""</f>
        <v/>
      </c>
      <c r="D1018" t="str">
        <f>"TKL29KT00"</f>
        <v>TKL29KT00</v>
      </c>
      <c r="E1018" s="1">
        <v>34920</v>
      </c>
      <c r="F1018" t="s">
        <v>5983</v>
      </c>
      <c r="G1018" t="e">
        <f>INDEX(#REF!,MATCH(P1018,#REF!,0),1)</f>
        <v>#REF!</v>
      </c>
      <c r="H1018" t="s">
        <v>5984</v>
      </c>
      <c r="J1018" t="s">
        <v>922</v>
      </c>
      <c r="K1018" t="s">
        <v>353</v>
      </c>
      <c r="L1018" t="s">
        <v>5985</v>
      </c>
      <c r="M1018" t="s">
        <v>5986</v>
      </c>
      <c r="N1018">
        <v>284</v>
      </c>
      <c r="O1018" t="s">
        <v>925</v>
      </c>
      <c r="P1018">
        <v>284</v>
      </c>
      <c r="Q1018" t="s">
        <v>925</v>
      </c>
      <c r="R1018" t="s">
        <v>3159</v>
      </c>
      <c r="S1018" t="s">
        <v>3160</v>
      </c>
      <c r="T1018" t="s">
        <v>2277</v>
      </c>
      <c r="U1018" t="s">
        <v>2278</v>
      </c>
      <c r="V1018" t="s">
        <v>1824</v>
      </c>
      <c r="AA1018" t="s">
        <v>105</v>
      </c>
      <c r="AE1018" t="s">
        <v>106</v>
      </c>
    </row>
    <row r="1019" spans="1:33" x14ac:dyDescent="0.3">
      <c r="A1019">
        <v>2984</v>
      </c>
      <c r="B1019" t="s">
        <v>5987</v>
      </c>
      <c r="C1019" t="str">
        <f>""</f>
        <v/>
      </c>
      <c r="D1019" t="str">
        <f>"7HJL1C500"</f>
        <v>7HJL1C500</v>
      </c>
      <c r="E1019" s="1">
        <v>34920</v>
      </c>
      <c r="F1019" t="s">
        <v>5988</v>
      </c>
      <c r="G1019" t="e">
        <f>INDEX(#REF!,MATCH(P1019,#REF!,0),1)</f>
        <v>#REF!</v>
      </c>
      <c r="H1019" t="s">
        <v>5989</v>
      </c>
      <c r="J1019" t="s">
        <v>922</v>
      </c>
      <c r="K1019" t="s">
        <v>353</v>
      </c>
      <c r="L1019" t="s">
        <v>5990</v>
      </c>
      <c r="M1019" t="s">
        <v>5991</v>
      </c>
      <c r="N1019">
        <v>284</v>
      </c>
      <c r="O1019" t="s">
        <v>925</v>
      </c>
      <c r="P1019">
        <v>284</v>
      </c>
      <c r="Q1019" t="s">
        <v>925</v>
      </c>
      <c r="R1019" t="s">
        <v>3159</v>
      </c>
      <c r="S1019" t="s">
        <v>3160</v>
      </c>
      <c r="T1019" t="s">
        <v>2277</v>
      </c>
      <c r="U1019" t="s">
        <v>2278</v>
      </c>
      <c r="V1019" t="s">
        <v>1824</v>
      </c>
      <c r="AA1019" t="s">
        <v>105</v>
      </c>
      <c r="AE1019" t="s">
        <v>106</v>
      </c>
    </row>
    <row r="1020" spans="1:33" x14ac:dyDescent="0.3">
      <c r="A1020">
        <v>2986</v>
      </c>
      <c r="B1020" t="s">
        <v>5992</v>
      </c>
      <c r="C1020" t="str">
        <f>""</f>
        <v/>
      </c>
      <c r="D1020" t="str">
        <f>""</f>
        <v/>
      </c>
      <c r="E1020" s="1">
        <v>34920</v>
      </c>
      <c r="F1020" t="s">
        <v>5993</v>
      </c>
      <c r="G1020" t="e">
        <f>INDEX(#REF!,MATCH(P1020,#REF!,0),1)</f>
        <v>#REF!</v>
      </c>
      <c r="H1020" t="s">
        <v>5994</v>
      </c>
      <c r="J1020" t="s">
        <v>922</v>
      </c>
      <c r="K1020" t="s">
        <v>353</v>
      </c>
      <c r="L1020" t="s">
        <v>5995</v>
      </c>
      <c r="M1020" t="s">
        <v>5996</v>
      </c>
      <c r="N1020">
        <v>284</v>
      </c>
      <c r="O1020" t="s">
        <v>925</v>
      </c>
      <c r="P1020">
        <v>284</v>
      </c>
      <c r="Q1020" t="s">
        <v>925</v>
      </c>
      <c r="R1020" t="s">
        <v>3159</v>
      </c>
      <c r="S1020" t="s">
        <v>3160</v>
      </c>
      <c r="T1020" t="s">
        <v>2277</v>
      </c>
      <c r="U1020" t="s">
        <v>5997</v>
      </c>
      <c r="V1020" t="s">
        <v>1824</v>
      </c>
      <c r="AA1020" t="s">
        <v>105</v>
      </c>
      <c r="AE1020" t="s">
        <v>106</v>
      </c>
    </row>
    <row r="1021" spans="1:33" x14ac:dyDescent="0.3">
      <c r="A1021">
        <v>2987</v>
      </c>
      <c r="B1021" t="s">
        <v>5998</v>
      </c>
      <c r="C1021" t="str">
        <f>""</f>
        <v/>
      </c>
      <c r="D1021" t="str">
        <f>"8P7NRBT00"</f>
        <v>8P7NRBT00</v>
      </c>
      <c r="E1021" s="1">
        <v>34920</v>
      </c>
      <c r="F1021" t="s">
        <v>5999</v>
      </c>
      <c r="G1021" t="e">
        <f>INDEX(#REF!,MATCH(P1021,#REF!,0),1)</f>
        <v>#REF!</v>
      </c>
      <c r="H1021" t="s">
        <v>6000</v>
      </c>
      <c r="J1021" t="s">
        <v>6001</v>
      </c>
      <c r="K1021" t="s">
        <v>353</v>
      </c>
      <c r="L1021">
        <v>71111</v>
      </c>
      <c r="M1021" t="s">
        <v>6002</v>
      </c>
      <c r="N1021">
        <v>284</v>
      </c>
      <c r="O1021" t="s">
        <v>925</v>
      </c>
      <c r="P1021">
        <v>284</v>
      </c>
      <c r="Q1021" t="s">
        <v>925</v>
      </c>
      <c r="R1021" t="s">
        <v>3159</v>
      </c>
      <c r="S1021" t="s">
        <v>3160</v>
      </c>
      <c r="T1021" t="s">
        <v>2277</v>
      </c>
      <c r="U1021" t="s">
        <v>5497</v>
      </c>
      <c r="V1021" t="s">
        <v>1824</v>
      </c>
      <c r="AA1021" t="s">
        <v>105</v>
      </c>
      <c r="AE1021" t="s">
        <v>106</v>
      </c>
    </row>
    <row r="1022" spans="1:33" x14ac:dyDescent="0.3">
      <c r="A1022">
        <v>2988</v>
      </c>
      <c r="B1022" t="s">
        <v>6003</v>
      </c>
      <c r="C1022" t="str">
        <f>""</f>
        <v/>
      </c>
      <c r="D1022" t="str">
        <f>"MDNAMBTF0"</f>
        <v>MDNAMBTF0</v>
      </c>
      <c r="E1022" s="1">
        <v>34920</v>
      </c>
      <c r="F1022" t="s">
        <v>6004</v>
      </c>
      <c r="G1022" t="e">
        <f>INDEX(#REF!,MATCH(P1022,#REF!,0),1)</f>
        <v>#REF!</v>
      </c>
      <c r="H1022" t="s">
        <v>6005</v>
      </c>
      <c r="J1022" t="s">
        <v>922</v>
      </c>
      <c r="K1022" t="s">
        <v>353</v>
      </c>
      <c r="L1022">
        <v>71105</v>
      </c>
      <c r="M1022" t="s">
        <v>3226</v>
      </c>
      <c r="N1022">
        <v>284</v>
      </c>
      <c r="O1022" t="s">
        <v>925</v>
      </c>
      <c r="P1022">
        <v>284</v>
      </c>
      <c r="Q1022" t="s">
        <v>925</v>
      </c>
      <c r="R1022" t="s">
        <v>3159</v>
      </c>
      <c r="S1022" t="s">
        <v>3160</v>
      </c>
      <c r="T1022" t="s">
        <v>2277</v>
      </c>
      <c r="U1022" t="s">
        <v>5622</v>
      </c>
      <c r="V1022" t="s">
        <v>1824</v>
      </c>
      <c r="AA1022" t="s">
        <v>105</v>
      </c>
      <c r="AE1022" t="s">
        <v>106</v>
      </c>
    </row>
    <row r="1023" spans="1:33" x14ac:dyDescent="0.3">
      <c r="A1023">
        <v>2989</v>
      </c>
      <c r="B1023" t="s">
        <v>6006</v>
      </c>
      <c r="C1023" t="str">
        <f>""</f>
        <v/>
      </c>
      <c r="D1023" t="str">
        <f>"J4N38K500"</f>
        <v>J4N38K500</v>
      </c>
      <c r="E1023" s="1">
        <v>34920</v>
      </c>
      <c r="F1023" t="s">
        <v>6007</v>
      </c>
      <c r="G1023" t="e">
        <f>INDEX(#REF!,MATCH(P1023,#REF!,0),1)</f>
        <v>#REF!</v>
      </c>
      <c r="H1023" t="s">
        <v>6008</v>
      </c>
      <c r="J1023" t="s">
        <v>922</v>
      </c>
      <c r="K1023" t="s">
        <v>353</v>
      </c>
      <c r="L1023" t="s">
        <v>6009</v>
      </c>
      <c r="M1023" t="s">
        <v>6010</v>
      </c>
      <c r="N1023">
        <v>284</v>
      </c>
      <c r="O1023" t="s">
        <v>925</v>
      </c>
      <c r="P1023">
        <v>284</v>
      </c>
      <c r="Q1023" t="s">
        <v>925</v>
      </c>
      <c r="R1023" t="s">
        <v>3159</v>
      </c>
      <c r="S1023" t="s">
        <v>3160</v>
      </c>
      <c r="T1023" t="s">
        <v>2277</v>
      </c>
      <c r="U1023" t="s">
        <v>5497</v>
      </c>
      <c r="V1023" t="s">
        <v>1824</v>
      </c>
      <c r="AA1023" t="s">
        <v>105</v>
      </c>
      <c r="AE1023" t="s">
        <v>106</v>
      </c>
    </row>
    <row r="1024" spans="1:33" x14ac:dyDescent="0.3">
      <c r="A1024">
        <v>2990</v>
      </c>
      <c r="B1024" t="s">
        <v>6011</v>
      </c>
      <c r="C1024" t="str">
        <f>""</f>
        <v/>
      </c>
      <c r="D1024" t="str">
        <f>"MD245T3F0"</f>
        <v>MD245T3F0</v>
      </c>
      <c r="E1024" s="1">
        <v>34920</v>
      </c>
      <c r="F1024" t="s">
        <v>6012</v>
      </c>
      <c r="G1024" t="e">
        <f>INDEX(#REF!,MATCH(P1024,#REF!,0),1)</f>
        <v>#REF!</v>
      </c>
      <c r="H1024" t="s">
        <v>6013</v>
      </c>
      <c r="J1024" t="s">
        <v>922</v>
      </c>
      <c r="K1024" t="s">
        <v>353</v>
      </c>
      <c r="L1024" t="s">
        <v>6014</v>
      </c>
      <c r="M1024" t="s">
        <v>6015</v>
      </c>
      <c r="N1024">
        <v>284</v>
      </c>
      <c r="O1024" t="s">
        <v>925</v>
      </c>
      <c r="P1024">
        <v>284</v>
      </c>
      <c r="Q1024" t="s">
        <v>925</v>
      </c>
      <c r="R1024" t="s">
        <v>3159</v>
      </c>
      <c r="S1024" t="s">
        <v>3160</v>
      </c>
      <c r="T1024" t="s">
        <v>2277</v>
      </c>
      <c r="U1024" t="s">
        <v>5622</v>
      </c>
      <c r="V1024" t="s">
        <v>1824</v>
      </c>
      <c r="AA1024" t="s">
        <v>105</v>
      </c>
      <c r="AE1024" t="s">
        <v>106</v>
      </c>
    </row>
    <row r="1025" spans="1:33" x14ac:dyDescent="0.3">
      <c r="A1025">
        <v>2991</v>
      </c>
      <c r="B1025" t="s">
        <v>6016</v>
      </c>
      <c r="C1025" t="str">
        <f>""</f>
        <v/>
      </c>
      <c r="D1025" t="str">
        <f>"345VLJB00"</f>
        <v>345VLJB00</v>
      </c>
      <c r="E1025" s="1">
        <v>34920</v>
      </c>
      <c r="F1025" t="s">
        <v>6017</v>
      </c>
      <c r="G1025" t="e">
        <f>INDEX(#REF!,MATCH(P1025,#REF!,0),1)</f>
        <v>#REF!</v>
      </c>
      <c r="H1025" t="s">
        <v>6018</v>
      </c>
      <c r="J1025" t="s">
        <v>922</v>
      </c>
      <c r="K1025" t="s">
        <v>353</v>
      </c>
      <c r="L1025" t="s">
        <v>6009</v>
      </c>
      <c r="M1025" t="s">
        <v>6019</v>
      </c>
      <c r="N1025">
        <v>284</v>
      </c>
      <c r="O1025" t="s">
        <v>925</v>
      </c>
      <c r="P1025">
        <v>284</v>
      </c>
      <c r="Q1025" t="s">
        <v>925</v>
      </c>
      <c r="R1025" t="s">
        <v>3159</v>
      </c>
      <c r="S1025" t="s">
        <v>3160</v>
      </c>
      <c r="T1025" t="s">
        <v>2277</v>
      </c>
      <c r="U1025" t="s">
        <v>5497</v>
      </c>
      <c r="V1025" t="s">
        <v>1824</v>
      </c>
      <c r="AA1025" t="s">
        <v>105</v>
      </c>
      <c r="AE1025" t="s">
        <v>106</v>
      </c>
    </row>
    <row r="1026" spans="1:33" x14ac:dyDescent="0.3">
      <c r="A1026">
        <v>2992</v>
      </c>
      <c r="B1026" t="s">
        <v>6020</v>
      </c>
      <c r="C1026" t="str">
        <f>""</f>
        <v/>
      </c>
      <c r="D1026" t="str">
        <f>"PDMD7CKF0"</f>
        <v>PDMD7CKF0</v>
      </c>
      <c r="E1026" s="1">
        <v>34920</v>
      </c>
      <c r="F1026" t="s">
        <v>6021</v>
      </c>
      <c r="G1026" t="e">
        <f>INDEX(#REF!,MATCH(P1026,#REF!,0),1)</f>
        <v>#REF!</v>
      </c>
      <c r="H1026" t="s">
        <v>5976</v>
      </c>
      <c r="J1026" t="s">
        <v>922</v>
      </c>
      <c r="K1026" t="s">
        <v>353</v>
      </c>
      <c r="L1026" t="s">
        <v>5977</v>
      </c>
      <c r="M1026" t="s">
        <v>3226</v>
      </c>
      <c r="N1026">
        <v>284</v>
      </c>
      <c r="O1026" t="s">
        <v>925</v>
      </c>
      <c r="P1026">
        <v>284</v>
      </c>
      <c r="Q1026" t="s">
        <v>925</v>
      </c>
      <c r="R1026" t="s">
        <v>3159</v>
      </c>
      <c r="S1026" t="s">
        <v>3160</v>
      </c>
      <c r="T1026" t="s">
        <v>2277</v>
      </c>
      <c r="U1026" t="s">
        <v>5497</v>
      </c>
      <c r="V1026" t="s">
        <v>1824</v>
      </c>
      <c r="AA1026" t="s">
        <v>105</v>
      </c>
      <c r="AE1026" t="s">
        <v>106</v>
      </c>
    </row>
    <row r="1027" spans="1:33" x14ac:dyDescent="0.3">
      <c r="A1027">
        <v>2993</v>
      </c>
      <c r="B1027" t="s">
        <v>6022</v>
      </c>
      <c r="C1027" t="str">
        <f>""</f>
        <v/>
      </c>
      <c r="D1027" t="str">
        <f>"80VGDA600"</f>
        <v>80VGDA600</v>
      </c>
      <c r="E1027" s="1">
        <v>34920</v>
      </c>
      <c r="F1027" t="s">
        <v>6023</v>
      </c>
      <c r="G1027" t="e">
        <f>INDEX(#REF!,MATCH(P1027,#REF!,0),1)</f>
        <v>#REF!</v>
      </c>
      <c r="H1027" t="s">
        <v>6024</v>
      </c>
      <c r="J1027" t="s">
        <v>922</v>
      </c>
      <c r="K1027" t="s">
        <v>353</v>
      </c>
      <c r="L1027" t="s">
        <v>3887</v>
      </c>
      <c r="M1027" t="s">
        <v>6025</v>
      </c>
      <c r="N1027">
        <v>284</v>
      </c>
      <c r="O1027" t="s">
        <v>925</v>
      </c>
      <c r="P1027">
        <v>284</v>
      </c>
      <c r="Q1027" t="s">
        <v>925</v>
      </c>
      <c r="R1027" t="s">
        <v>3159</v>
      </c>
      <c r="S1027" t="s">
        <v>3160</v>
      </c>
      <c r="T1027" t="s">
        <v>2277</v>
      </c>
      <c r="U1027" t="s">
        <v>5622</v>
      </c>
      <c r="V1027" t="s">
        <v>1824</v>
      </c>
      <c r="AA1027" t="s">
        <v>105</v>
      </c>
      <c r="AE1027" t="s">
        <v>106</v>
      </c>
    </row>
    <row r="1028" spans="1:33" x14ac:dyDescent="0.3">
      <c r="A1028">
        <v>2994</v>
      </c>
      <c r="B1028" t="s">
        <v>6026</v>
      </c>
      <c r="C1028" t="str">
        <f>""</f>
        <v/>
      </c>
      <c r="D1028" t="str">
        <f>"27W9HQL00"</f>
        <v>27W9HQL00</v>
      </c>
      <c r="E1028" s="1">
        <v>34920</v>
      </c>
      <c r="F1028" t="s">
        <v>6027</v>
      </c>
      <c r="G1028" t="e">
        <f>INDEX(#REF!,MATCH(P1028,#REF!,0),1)</f>
        <v>#REF!</v>
      </c>
      <c r="H1028" t="s">
        <v>6028</v>
      </c>
      <c r="J1028" t="s">
        <v>922</v>
      </c>
      <c r="K1028" t="s">
        <v>353</v>
      </c>
      <c r="L1028" t="s">
        <v>6029</v>
      </c>
      <c r="M1028" t="s">
        <v>6030</v>
      </c>
      <c r="N1028">
        <v>284</v>
      </c>
      <c r="O1028" t="s">
        <v>925</v>
      </c>
      <c r="P1028">
        <v>284</v>
      </c>
      <c r="Q1028" t="s">
        <v>925</v>
      </c>
      <c r="R1028" t="s">
        <v>3159</v>
      </c>
      <c r="S1028" t="s">
        <v>3160</v>
      </c>
      <c r="T1028" t="s">
        <v>2277</v>
      </c>
      <c r="U1028" t="s">
        <v>4419</v>
      </c>
      <c r="V1028" t="s">
        <v>1824</v>
      </c>
      <c r="AA1028" t="s">
        <v>105</v>
      </c>
      <c r="AE1028" t="s">
        <v>106</v>
      </c>
    </row>
    <row r="1029" spans="1:33" x14ac:dyDescent="0.3">
      <c r="A1029">
        <v>2995</v>
      </c>
      <c r="B1029" t="s">
        <v>6031</v>
      </c>
      <c r="C1029" t="str">
        <f>""</f>
        <v/>
      </c>
      <c r="D1029" t="str">
        <f>""</f>
        <v/>
      </c>
      <c r="E1029" s="1">
        <v>34920</v>
      </c>
      <c r="F1029" t="s">
        <v>6032</v>
      </c>
      <c r="G1029" t="e">
        <f>INDEX(#REF!,MATCH(P1029,#REF!,0),1)</f>
        <v>#REF!</v>
      </c>
      <c r="H1029" t="s">
        <v>6033</v>
      </c>
      <c r="J1029" t="s">
        <v>922</v>
      </c>
      <c r="K1029" t="s">
        <v>353</v>
      </c>
      <c r="L1029" t="s">
        <v>3887</v>
      </c>
      <c r="M1029" t="s">
        <v>3226</v>
      </c>
      <c r="N1029">
        <v>284</v>
      </c>
      <c r="O1029" t="s">
        <v>925</v>
      </c>
      <c r="P1029">
        <v>284</v>
      </c>
      <c r="Q1029" t="s">
        <v>925</v>
      </c>
      <c r="R1029" t="s">
        <v>3159</v>
      </c>
      <c r="S1029" t="s">
        <v>3160</v>
      </c>
      <c r="T1029" t="s">
        <v>2277</v>
      </c>
      <c r="U1029" t="s">
        <v>2278</v>
      </c>
      <c r="V1029" t="s">
        <v>1824</v>
      </c>
      <c r="AA1029" t="s">
        <v>105</v>
      </c>
      <c r="AE1029" t="s">
        <v>106</v>
      </c>
    </row>
    <row r="1030" spans="1:33" x14ac:dyDescent="0.3">
      <c r="A1030">
        <v>2996</v>
      </c>
      <c r="B1030" t="s">
        <v>6034</v>
      </c>
      <c r="C1030" t="str">
        <f>""</f>
        <v/>
      </c>
      <c r="D1030" t="str">
        <f>"GC9YBT300"</f>
        <v>GC9YBT300</v>
      </c>
      <c r="E1030" s="1">
        <v>34920</v>
      </c>
      <c r="F1030" t="s">
        <v>6035</v>
      </c>
      <c r="G1030" t="e">
        <f>INDEX(#REF!,MATCH(P1030,#REF!,0),1)</f>
        <v>#REF!</v>
      </c>
      <c r="H1030" t="s">
        <v>6036</v>
      </c>
      <c r="J1030" t="s">
        <v>6001</v>
      </c>
      <c r="K1030" t="s">
        <v>353</v>
      </c>
      <c r="L1030" t="s">
        <v>6037</v>
      </c>
      <c r="M1030" t="s">
        <v>6038</v>
      </c>
      <c r="N1030">
        <v>284</v>
      </c>
      <c r="O1030" t="s">
        <v>925</v>
      </c>
      <c r="P1030">
        <v>284</v>
      </c>
      <c r="Q1030" t="s">
        <v>925</v>
      </c>
      <c r="R1030" t="s">
        <v>3159</v>
      </c>
      <c r="S1030" t="s">
        <v>3160</v>
      </c>
      <c r="T1030" t="s">
        <v>2277</v>
      </c>
      <c r="U1030" t="s">
        <v>5497</v>
      </c>
      <c r="V1030" t="s">
        <v>1824</v>
      </c>
      <c r="AA1030" t="s">
        <v>105</v>
      </c>
      <c r="AE1030" t="s">
        <v>106</v>
      </c>
    </row>
    <row r="1031" spans="1:33" x14ac:dyDescent="0.3">
      <c r="A1031">
        <v>2997</v>
      </c>
      <c r="B1031" t="s">
        <v>6039</v>
      </c>
      <c r="C1031" t="str">
        <f>""</f>
        <v/>
      </c>
      <c r="D1031" t="str">
        <f>"231700D00"</f>
        <v>231700D00</v>
      </c>
      <c r="E1031" s="1">
        <v>41091</v>
      </c>
      <c r="F1031" t="s">
        <v>6040</v>
      </c>
      <c r="G1031" t="e">
        <f>INDEX(#REF!,MATCH(P1031,#REF!,0),1)</f>
        <v>#REF!</v>
      </c>
      <c r="H1031" t="s">
        <v>6041</v>
      </c>
      <c r="J1031" t="s">
        <v>786</v>
      </c>
      <c r="K1031" t="s">
        <v>65</v>
      </c>
      <c r="L1031" t="s">
        <v>6042</v>
      </c>
      <c r="M1031" t="s">
        <v>6043</v>
      </c>
      <c r="N1031">
        <v>2997</v>
      </c>
      <c r="O1031" t="s">
        <v>6040</v>
      </c>
      <c r="P1031">
        <v>2997</v>
      </c>
      <c r="Q1031" t="s">
        <v>6040</v>
      </c>
      <c r="R1031" t="s">
        <v>2806</v>
      </c>
      <c r="S1031" t="s">
        <v>2807</v>
      </c>
      <c r="T1031" t="s">
        <v>44</v>
      </c>
      <c r="U1031" t="s">
        <v>288</v>
      </c>
      <c r="X1031" t="s">
        <v>289</v>
      </c>
      <c r="AA1031" t="s">
        <v>290</v>
      </c>
      <c r="AD1031" t="s">
        <v>94</v>
      </c>
      <c r="AG1031" t="s">
        <v>48</v>
      </c>
    </row>
    <row r="1032" spans="1:33" x14ac:dyDescent="0.3">
      <c r="A1032">
        <v>2998</v>
      </c>
      <c r="B1032" t="s">
        <v>6044</v>
      </c>
      <c r="C1032" t="str">
        <f>""</f>
        <v/>
      </c>
      <c r="D1032" t="str">
        <f>""</f>
        <v/>
      </c>
      <c r="E1032" s="1">
        <v>36039</v>
      </c>
      <c r="F1032" t="s">
        <v>6045</v>
      </c>
      <c r="G1032" t="e">
        <f>INDEX(#REF!,MATCH(P1032,#REF!,0),1)</f>
        <v>#REF!</v>
      </c>
      <c r="H1032" t="s">
        <v>6046</v>
      </c>
      <c r="J1032" t="s">
        <v>6047</v>
      </c>
      <c r="K1032" t="s">
        <v>208</v>
      </c>
      <c r="L1032" t="s">
        <v>6048</v>
      </c>
      <c r="M1032" t="s">
        <v>6049</v>
      </c>
      <c r="N1032">
        <v>4214155</v>
      </c>
      <c r="O1032" t="s">
        <v>2198</v>
      </c>
      <c r="P1032">
        <v>2245</v>
      </c>
      <c r="Q1032" t="s">
        <v>5014</v>
      </c>
      <c r="R1032" t="s">
        <v>2550</v>
      </c>
      <c r="S1032" t="s">
        <v>2551</v>
      </c>
      <c r="T1032" t="s">
        <v>2277</v>
      </c>
      <c r="U1032" t="s">
        <v>5622</v>
      </c>
      <c r="V1032" t="s">
        <v>1824</v>
      </c>
      <c r="AA1032" t="s">
        <v>119</v>
      </c>
      <c r="AE1032" t="s">
        <v>120</v>
      </c>
    </row>
    <row r="1033" spans="1:33" x14ac:dyDescent="0.3">
      <c r="A1033">
        <v>2999</v>
      </c>
      <c r="B1033" t="s">
        <v>6050</v>
      </c>
      <c r="C1033" t="str">
        <f>""</f>
        <v/>
      </c>
      <c r="D1033" t="str">
        <f>"610930JF1"</f>
        <v>610930JF1</v>
      </c>
      <c r="E1033" s="1">
        <v>34973</v>
      </c>
      <c r="F1033" t="s">
        <v>6051</v>
      </c>
      <c r="G1033" t="e">
        <f>INDEX(#REF!,MATCH(P1033,#REF!,0),1)</f>
        <v>#REF!</v>
      </c>
      <c r="H1033" t="s">
        <v>6052</v>
      </c>
      <c r="J1033" t="s">
        <v>282</v>
      </c>
      <c r="K1033" t="s">
        <v>283</v>
      </c>
      <c r="L1033">
        <v>55407</v>
      </c>
      <c r="M1033" t="s">
        <v>6053</v>
      </c>
      <c r="N1033">
        <v>559</v>
      </c>
      <c r="O1033" t="s">
        <v>2041</v>
      </c>
      <c r="P1033">
        <v>1258</v>
      </c>
      <c r="Q1033" t="s">
        <v>3329</v>
      </c>
      <c r="R1033" t="s">
        <v>3864</v>
      </c>
      <c r="S1033" t="s">
        <v>3865</v>
      </c>
      <c r="T1033" t="s">
        <v>2140</v>
      </c>
      <c r="U1033" t="s">
        <v>2141</v>
      </c>
      <c r="V1033" t="s">
        <v>1824</v>
      </c>
      <c r="AD1033" t="s">
        <v>94</v>
      </c>
      <c r="AE1033" t="s">
        <v>120</v>
      </c>
    </row>
    <row r="1034" spans="1:33" x14ac:dyDescent="0.3">
      <c r="A1034">
        <v>3003</v>
      </c>
      <c r="B1034" t="s">
        <v>6054</v>
      </c>
      <c r="C1034" t="str">
        <f>""</f>
        <v/>
      </c>
      <c r="D1034" t="str">
        <f>"W6B0BG400"</f>
        <v>W6B0BG400</v>
      </c>
      <c r="E1034" s="1">
        <v>36039</v>
      </c>
      <c r="F1034" t="s">
        <v>6055</v>
      </c>
      <c r="G1034" t="e">
        <f>INDEX(#REF!,MATCH(P1034,#REF!,0),1)</f>
        <v>#REF!</v>
      </c>
      <c r="H1034" t="s">
        <v>6056</v>
      </c>
      <c r="J1034" t="s">
        <v>6057</v>
      </c>
      <c r="K1034" t="s">
        <v>208</v>
      </c>
      <c r="L1034">
        <v>54107</v>
      </c>
      <c r="M1034" t="s">
        <v>6058</v>
      </c>
      <c r="N1034">
        <v>4214155</v>
      </c>
      <c r="O1034" t="s">
        <v>2198</v>
      </c>
      <c r="P1034">
        <v>2245</v>
      </c>
      <c r="Q1034" t="s">
        <v>5014</v>
      </c>
      <c r="R1034" t="s">
        <v>2550</v>
      </c>
      <c r="S1034" t="s">
        <v>2551</v>
      </c>
      <c r="T1034" t="s">
        <v>2277</v>
      </c>
      <c r="U1034" t="s">
        <v>5622</v>
      </c>
      <c r="V1034" t="s">
        <v>1824</v>
      </c>
      <c r="AA1034" t="s">
        <v>119</v>
      </c>
      <c r="AE1034" t="s">
        <v>120</v>
      </c>
    </row>
    <row r="1035" spans="1:33" x14ac:dyDescent="0.3">
      <c r="A1035">
        <v>3004</v>
      </c>
      <c r="B1035" t="s">
        <v>6059</v>
      </c>
      <c r="C1035" t="str">
        <f>""</f>
        <v/>
      </c>
      <c r="D1035" t="str">
        <f>"B70RF7V00"</f>
        <v>B70RF7V00</v>
      </c>
      <c r="E1035" s="1">
        <v>36039</v>
      </c>
      <c r="F1035" t="s">
        <v>6060</v>
      </c>
      <c r="G1035" t="e">
        <f>INDEX(#REF!,MATCH(P1035,#REF!,0),1)</f>
        <v>#REF!</v>
      </c>
      <c r="H1035" t="s">
        <v>6061</v>
      </c>
      <c r="J1035" t="s">
        <v>6062</v>
      </c>
      <c r="K1035" t="s">
        <v>208</v>
      </c>
      <c r="L1035" t="s">
        <v>6063</v>
      </c>
      <c r="M1035" t="s">
        <v>6064</v>
      </c>
      <c r="N1035">
        <v>4214155</v>
      </c>
      <c r="O1035" t="s">
        <v>2198</v>
      </c>
      <c r="P1035">
        <v>2245</v>
      </c>
      <c r="Q1035" t="s">
        <v>5014</v>
      </c>
      <c r="R1035" t="s">
        <v>2550</v>
      </c>
      <c r="S1035" t="s">
        <v>2551</v>
      </c>
      <c r="T1035" t="s">
        <v>2277</v>
      </c>
      <c r="U1035" t="s">
        <v>5622</v>
      </c>
      <c r="V1035" t="s">
        <v>1824</v>
      </c>
      <c r="AA1035" t="s">
        <v>119</v>
      </c>
      <c r="AE1035" t="s">
        <v>120</v>
      </c>
    </row>
    <row r="1036" spans="1:33" x14ac:dyDescent="0.3">
      <c r="A1036">
        <v>3006</v>
      </c>
      <c r="B1036" t="s">
        <v>6065</v>
      </c>
      <c r="C1036" t="str">
        <f>""</f>
        <v/>
      </c>
      <c r="D1036" t="str">
        <f>"HJC3PPT00"</f>
        <v>HJC3PPT00</v>
      </c>
      <c r="E1036" s="1">
        <v>36039</v>
      </c>
      <c r="F1036" t="s">
        <v>6066</v>
      </c>
      <c r="G1036" t="e">
        <f>INDEX(#REF!,MATCH(P1036,#REF!,0),1)</f>
        <v>#REF!</v>
      </c>
      <c r="H1036" t="s">
        <v>6067</v>
      </c>
      <c r="J1036" t="s">
        <v>6068</v>
      </c>
      <c r="K1036" t="s">
        <v>261</v>
      </c>
      <c r="L1036" t="s">
        <v>6069</v>
      </c>
      <c r="M1036" t="s">
        <v>6070</v>
      </c>
      <c r="N1036">
        <v>4214155</v>
      </c>
      <c r="O1036" t="s">
        <v>2198</v>
      </c>
      <c r="P1036">
        <v>2245</v>
      </c>
      <c r="Q1036" t="s">
        <v>5014</v>
      </c>
      <c r="R1036" t="s">
        <v>2550</v>
      </c>
      <c r="S1036" t="s">
        <v>2551</v>
      </c>
      <c r="T1036" t="s">
        <v>2277</v>
      </c>
      <c r="U1036" t="s">
        <v>2278</v>
      </c>
      <c r="V1036" t="s">
        <v>1824</v>
      </c>
      <c r="AA1036" t="s">
        <v>119</v>
      </c>
      <c r="AE1036" t="s">
        <v>120</v>
      </c>
    </row>
    <row r="1037" spans="1:33" x14ac:dyDescent="0.3">
      <c r="A1037">
        <v>3007</v>
      </c>
      <c r="B1037" t="s">
        <v>6071</v>
      </c>
      <c r="C1037" t="str">
        <f>""</f>
        <v/>
      </c>
      <c r="D1037" t="str">
        <f>"5H8M6F100"</f>
        <v>5H8M6F100</v>
      </c>
      <c r="E1037" s="1">
        <v>36039</v>
      </c>
      <c r="F1037" t="s">
        <v>6072</v>
      </c>
      <c r="G1037" t="e">
        <f>INDEX(#REF!,MATCH(P1037,#REF!,0),1)</f>
        <v>#REF!</v>
      </c>
      <c r="H1037" t="s">
        <v>6073</v>
      </c>
      <c r="J1037" t="s">
        <v>6074</v>
      </c>
      <c r="K1037" t="s">
        <v>208</v>
      </c>
      <c r="L1037" t="s">
        <v>6075</v>
      </c>
      <c r="M1037" t="s">
        <v>6076</v>
      </c>
      <c r="N1037">
        <v>4214155</v>
      </c>
      <c r="O1037" t="s">
        <v>2198</v>
      </c>
      <c r="P1037">
        <v>2245</v>
      </c>
      <c r="Q1037" t="s">
        <v>5014</v>
      </c>
      <c r="R1037" t="s">
        <v>2550</v>
      </c>
      <c r="S1037" t="s">
        <v>2551</v>
      </c>
      <c r="T1037" t="s">
        <v>2277</v>
      </c>
      <c r="U1037" t="s">
        <v>5622</v>
      </c>
      <c r="V1037" t="s">
        <v>1824</v>
      </c>
      <c r="AA1037" t="s">
        <v>119</v>
      </c>
      <c r="AE1037" t="s">
        <v>120</v>
      </c>
    </row>
    <row r="1038" spans="1:33" x14ac:dyDescent="0.3">
      <c r="A1038">
        <v>3009</v>
      </c>
      <c r="B1038" t="s">
        <v>6077</v>
      </c>
      <c r="C1038" t="str">
        <f>""</f>
        <v/>
      </c>
      <c r="D1038" t="str">
        <f>"7NL709V00"</f>
        <v>7NL709V00</v>
      </c>
      <c r="E1038" s="1">
        <v>36039</v>
      </c>
      <c r="F1038" t="s">
        <v>6078</v>
      </c>
      <c r="G1038" t="e">
        <f>INDEX(#REF!,MATCH(P1038,#REF!,0),1)</f>
        <v>#REF!</v>
      </c>
      <c r="H1038" t="s">
        <v>6079</v>
      </c>
      <c r="J1038" t="s">
        <v>5016</v>
      </c>
      <c r="K1038" t="s">
        <v>208</v>
      </c>
      <c r="L1038" t="s">
        <v>6080</v>
      </c>
      <c r="M1038" t="s">
        <v>6081</v>
      </c>
      <c r="N1038">
        <v>4214155</v>
      </c>
      <c r="O1038" t="s">
        <v>2198</v>
      </c>
      <c r="P1038">
        <v>2245</v>
      </c>
      <c r="Q1038" t="s">
        <v>5014</v>
      </c>
      <c r="R1038" t="s">
        <v>2550</v>
      </c>
      <c r="S1038" t="s">
        <v>2551</v>
      </c>
      <c r="T1038" t="s">
        <v>2277</v>
      </c>
      <c r="U1038" t="s">
        <v>5622</v>
      </c>
      <c r="V1038" t="s">
        <v>1824</v>
      </c>
      <c r="AA1038" t="s">
        <v>119</v>
      </c>
      <c r="AE1038" t="s">
        <v>120</v>
      </c>
    </row>
    <row r="1039" spans="1:33" x14ac:dyDescent="0.3">
      <c r="A1039">
        <v>3015</v>
      </c>
      <c r="B1039" t="s">
        <v>6082</v>
      </c>
      <c r="C1039" t="str">
        <f>""</f>
        <v/>
      </c>
      <c r="D1039" t="str">
        <f>"T3Q9NN500"</f>
        <v>T3Q9NN500</v>
      </c>
      <c r="E1039" s="1">
        <v>36039</v>
      </c>
      <c r="F1039" t="s">
        <v>6083</v>
      </c>
      <c r="G1039" t="e">
        <f>INDEX(#REF!,MATCH(P1039,#REF!,0),1)</f>
        <v>#REF!</v>
      </c>
      <c r="H1039" t="s">
        <v>6084</v>
      </c>
      <c r="J1039" t="s">
        <v>6085</v>
      </c>
      <c r="K1039" t="s">
        <v>208</v>
      </c>
      <c r="L1039" t="s">
        <v>6086</v>
      </c>
      <c r="M1039" t="s">
        <v>6087</v>
      </c>
      <c r="N1039">
        <v>4214155</v>
      </c>
      <c r="O1039" t="s">
        <v>2198</v>
      </c>
      <c r="P1039">
        <v>2245</v>
      </c>
      <c r="Q1039" t="s">
        <v>5014</v>
      </c>
      <c r="R1039" t="s">
        <v>2550</v>
      </c>
      <c r="S1039" t="s">
        <v>2551</v>
      </c>
      <c r="T1039" t="s">
        <v>2277</v>
      </c>
      <c r="U1039" t="s">
        <v>5622</v>
      </c>
      <c r="V1039" t="s">
        <v>1824</v>
      </c>
      <c r="AA1039" t="s">
        <v>119</v>
      </c>
      <c r="AE1039" t="s">
        <v>120</v>
      </c>
    </row>
    <row r="1040" spans="1:33" x14ac:dyDescent="0.3">
      <c r="A1040">
        <v>3019</v>
      </c>
      <c r="B1040" t="s">
        <v>6088</v>
      </c>
      <c r="C1040" t="str">
        <f>"1100004881922"</f>
        <v>1100004881922</v>
      </c>
      <c r="D1040" t="str">
        <f>"6YX6NVP00"</f>
        <v>6YX6NVP00</v>
      </c>
      <c r="E1040" s="1">
        <v>34865</v>
      </c>
      <c r="F1040" t="s">
        <v>6089</v>
      </c>
      <c r="G1040" t="e">
        <f>INDEX(#REF!,MATCH(P1040,#REF!,0),1)</f>
        <v>#REF!</v>
      </c>
      <c r="H1040" t="s">
        <v>6090</v>
      </c>
      <c r="J1040" t="s">
        <v>1043</v>
      </c>
      <c r="K1040" t="s">
        <v>307</v>
      </c>
      <c r="L1040" t="s">
        <v>6091</v>
      </c>
      <c r="M1040" t="s">
        <v>6092</v>
      </c>
      <c r="N1040">
        <v>85754</v>
      </c>
      <c r="O1040" t="s">
        <v>6093</v>
      </c>
      <c r="P1040">
        <v>85754</v>
      </c>
      <c r="Q1040" t="s">
        <v>6093</v>
      </c>
      <c r="R1040" t="s">
        <v>2212</v>
      </c>
      <c r="S1040" t="s">
        <v>2213</v>
      </c>
      <c r="T1040" t="s">
        <v>2140</v>
      </c>
      <c r="U1040" t="s">
        <v>2141</v>
      </c>
      <c r="V1040" t="s">
        <v>2215</v>
      </c>
    </row>
    <row r="1041" spans="1:33" x14ac:dyDescent="0.3">
      <c r="A1041">
        <v>3021</v>
      </c>
      <c r="B1041" t="s">
        <v>6094</v>
      </c>
      <c r="C1041" t="str">
        <f>""</f>
        <v/>
      </c>
      <c r="D1041" t="str">
        <f>"9I5SOAM00"</f>
        <v>9I5SOAM00</v>
      </c>
      <c r="E1041" s="1">
        <v>42583</v>
      </c>
      <c r="F1041" t="s">
        <v>6095</v>
      </c>
      <c r="G1041" t="e">
        <f>INDEX(#REF!,MATCH(P1041,#REF!,0),1)</f>
        <v>#REF!</v>
      </c>
      <c r="H1041" t="s">
        <v>6096</v>
      </c>
      <c r="J1041" t="s">
        <v>201</v>
      </c>
      <c r="K1041" t="s">
        <v>167</v>
      </c>
      <c r="L1041">
        <v>32401</v>
      </c>
      <c r="M1041" t="s">
        <v>6097</v>
      </c>
      <c r="N1041">
        <v>40</v>
      </c>
      <c r="O1041" t="s">
        <v>199</v>
      </c>
      <c r="P1041">
        <v>40</v>
      </c>
      <c r="Q1041" t="s">
        <v>199</v>
      </c>
      <c r="R1041" t="s">
        <v>129</v>
      </c>
      <c r="S1041" t="s">
        <v>130</v>
      </c>
      <c r="T1041" t="s">
        <v>2140</v>
      </c>
      <c r="U1041" t="s">
        <v>2141</v>
      </c>
    </row>
    <row r="1042" spans="1:33" x14ac:dyDescent="0.3">
      <c r="A1042">
        <v>3026</v>
      </c>
      <c r="B1042" t="s">
        <v>6098</v>
      </c>
      <c r="C1042" t="str">
        <f>"1100003420597"</f>
        <v>1100003420597</v>
      </c>
      <c r="D1042" t="str">
        <f>"86F2CEL00"</f>
        <v>86F2CEL00</v>
      </c>
      <c r="E1042" s="1">
        <v>42678</v>
      </c>
      <c r="F1042" t="s">
        <v>6099</v>
      </c>
      <c r="G1042" t="e">
        <f>INDEX(#REF!,MATCH(P1042,#REF!,0),1)</f>
        <v>#REF!</v>
      </c>
      <c r="H1042" t="s">
        <v>6100</v>
      </c>
      <c r="J1042" t="s">
        <v>2298</v>
      </c>
      <c r="K1042" t="s">
        <v>2244</v>
      </c>
      <c r="L1042">
        <v>14620</v>
      </c>
      <c r="M1042" t="s">
        <v>6101</v>
      </c>
      <c r="N1042">
        <v>37277</v>
      </c>
      <c r="O1042" t="s">
        <v>2301</v>
      </c>
      <c r="P1042">
        <v>618</v>
      </c>
      <c r="Q1042" t="s">
        <v>2296</v>
      </c>
      <c r="R1042" t="s">
        <v>1821</v>
      </c>
      <c r="S1042" t="s">
        <v>1822</v>
      </c>
      <c r="T1042" t="s">
        <v>2140</v>
      </c>
      <c r="U1042" t="s">
        <v>2141</v>
      </c>
      <c r="V1042" t="s">
        <v>1824</v>
      </c>
      <c r="AA1042" t="s">
        <v>119</v>
      </c>
      <c r="AE1042" t="s">
        <v>60</v>
      </c>
    </row>
    <row r="1043" spans="1:33" x14ac:dyDescent="0.3">
      <c r="A1043">
        <v>3029</v>
      </c>
      <c r="B1043" t="s">
        <v>6102</v>
      </c>
      <c r="C1043" t="str">
        <f>"1100002585761"</f>
        <v>1100002585761</v>
      </c>
      <c r="D1043" t="str">
        <f>"2IKP0E700"</f>
        <v>2IKP0E700</v>
      </c>
      <c r="E1043" s="1">
        <v>34920</v>
      </c>
      <c r="F1043" t="s">
        <v>6103</v>
      </c>
      <c r="G1043" t="e">
        <f>INDEX(#REF!,MATCH(P1043,#REF!,0),1)</f>
        <v>#REF!</v>
      </c>
      <c r="H1043" t="s">
        <v>6104</v>
      </c>
      <c r="J1043" t="s">
        <v>781</v>
      </c>
      <c r="K1043" t="s">
        <v>353</v>
      </c>
      <c r="L1043">
        <v>70809</v>
      </c>
      <c r="M1043" t="s">
        <v>6105</v>
      </c>
      <c r="N1043">
        <v>73818</v>
      </c>
      <c r="O1043" t="s">
        <v>671</v>
      </c>
      <c r="P1043">
        <v>196</v>
      </c>
      <c r="Q1043" t="s">
        <v>779</v>
      </c>
      <c r="R1043" t="s">
        <v>1821</v>
      </c>
      <c r="S1043" t="s">
        <v>1822</v>
      </c>
      <c r="T1043" t="s">
        <v>117</v>
      </c>
      <c r="U1043" t="s">
        <v>2479</v>
      </c>
      <c r="V1043" t="s">
        <v>1824</v>
      </c>
    </row>
    <row r="1044" spans="1:33" x14ac:dyDescent="0.3">
      <c r="A1044">
        <v>3030</v>
      </c>
      <c r="B1044" t="s">
        <v>6106</v>
      </c>
      <c r="C1044" t="str">
        <f>""</f>
        <v/>
      </c>
      <c r="D1044" t="str">
        <f>"R1MFXND00"</f>
        <v>R1MFXND00</v>
      </c>
      <c r="E1044" s="1">
        <v>34883</v>
      </c>
      <c r="F1044" t="s">
        <v>6107</v>
      </c>
      <c r="G1044" t="e">
        <f>INDEX(#REF!,MATCH(P1044,#REF!,0),1)</f>
        <v>#REF!</v>
      </c>
      <c r="H1044" t="s">
        <v>6108</v>
      </c>
      <c r="J1044" t="s">
        <v>1375</v>
      </c>
      <c r="K1044" t="s">
        <v>763</v>
      </c>
      <c r="L1044" t="s">
        <v>6109</v>
      </c>
      <c r="M1044" t="s">
        <v>6110</v>
      </c>
      <c r="N1044">
        <v>367</v>
      </c>
      <c r="O1044" t="s">
        <v>1373</v>
      </c>
      <c r="P1044">
        <v>367</v>
      </c>
      <c r="Q1044" t="s">
        <v>1373</v>
      </c>
      <c r="R1044" t="s">
        <v>1821</v>
      </c>
      <c r="S1044" t="s">
        <v>1822</v>
      </c>
      <c r="T1044" t="s">
        <v>3141</v>
      </c>
      <c r="U1044" t="s">
        <v>5806</v>
      </c>
      <c r="V1044" t="s">
        <v>1824</v>
      </c>
      <c r="AA1044" t="s">
        <v>119</v>
      </c>
    </row>
    <row r="1045" spans="1:33" x14ac:dyDescent="0.3">
      <c r="A1045">
        <v>3034</v>
      </c>
      <c r="B1045" t="s">
        <v>6111</v>
      </c>
      <c r="C1045" t="str">
        <f>"1100096820878"</f>
        <v>1100096820878</v>
      </c>
      <c r="D1045" t="str">
        <f>"FFG34L200"</f>
        <v>FFG34L200</v>
      </c>
      <c r="E1045" s="1">
        <v>34838</v>
      </c>
      <c r="F1045" t="s">
        <v>6112</v>
      </c>
      <c r="G1045" t="e">
        <f>INDEX(#REF!,MATCH(P1045,#REF!,0),1)</f>
        <v>#REF!</v>
      </c>
      <c r="H1045" t="s">
        <v>2384</v>
      </c>
      <c r="J1045" t="s">
        <v>2385</v>
      </c>
      <c r="K1045" t="s">
        <v>77</v>
      </c>
      <c r="L1045" t="s">
        <v>6113</v>
      </c>
      <c r="M1045" t="s">
        <v>6114</v>
      </c>
      <c r="N1045">
        <v>9</v>
      </c>
      <c r="O1045" t="s">
        <v>74</v>
      </c>
      <c r="P1045">
        <v>640</v>
      </c>
      <c r="Q1045" t="s">
        <v>2383</v>
      </c>
      <c r="R1045" t="s">
        <v>79</v>
      </c>
      <c r="S1045" t="s">
        <v>80</v>
      </c>
      <c r="T1045" t="s">
        <v>44</v>
      </c>
      <c r="U1045" t="s">
        <v>6115</v>
      </c>
      <c r="AA1045" t="s">
        <v>82</v>
      </c>
      <c r="AE1045" t="s">
        <v>83</v>
      </c>
      <c r="AG1045" t="s">
        <v>48</v>
      </c>
    </row>
    <row r="1046" spans="1:33" x14ac:dyDescent="0.3">
      <c r="A1046">
        <v>3038</v>
      </c>
      <c r="B1046" t="s">
        <v>6116</v>
      </c>
      <c r="C1046" t="str">
        <f>"1100003850028"</f>
        <v>1100003850028</v>
      </c>
      <c r="D1046" t="str">
        <f>"E90G3JP00"</f>
        <v>E90G3JP00</v>
      </c>
      <c r="E1046" s="1">
        <v>34973</v>
      </c>
      <c r="F1046" t="s">
        <v>6117</v>
      </c>
      <c r="G1046" t="e">
        <f>INDEX(#REF!,MATCH(P1046,#REF!,0),1)</f>
        <v>#REF!</v>
      </c>
      <c r="H1046" t="s">
        <v>6118</v>
      </c>
      <c r="J1046" t="s">
        <v>6119</v>
      </c>
      <c r="K1046" t="s">
        <v>283</v>
      </c>
      <c r="L1046" t="s">
        <v>6120</v>
      </c>
      <c r="M1046" t="s">
        <v>6121</v>
      </c>
      <c r="N1046">
        <v>559</v>
      </c>
      <c r="O1046" t="s">
        <v>2041</v>
      </c>
      <c r="P1046">
        <v>1258</v>
      </c>
      <c r="Q1046" t="s">
        <v>3329</v>
      </c>
      <c r="R1046" t="s">
        <v>3864</v>
      </c>
      <c r="S1046" t="s">
        <v>3865</v>
      </c>
      <c r="T1046" t="s">
        <v>2140</v>
      </c>
      <c r="U1046" t="s">
        <v>2141</v>
      </c>
      <c r="V1046" t="s">
        <v>1824</v>
      </c>
      <c r="AD1046" t="s">
        <v>94</v>
      </c>
      <c r="AE1046" t="s">
        <v>120</v>
      </c>
    </row>
    <row r="1047" spans="1:33" x14ac:dyDescent="0.3">
      <c r="A1047">
        <v>3040</v>
      </c>
      <c r="B1047" t="s">
        <v>6122</v>
      </c>
      <c r="C1047" t="str">
        <f>"1100002030100"</f>
        <v>1100002030100</v>
      </c>
      <c r="D1047" t="str">
        <f>"370310E00"</f>
        <v>370310E00</v>
      </c>
      <c r="E1047" s="1">
        <v>44378</v>
      </c>
      <c r="F1047" t="s">
        <v>6123</v>
      </c>
      <c r="G1047" t="e">
        <f>INDEX(#REF!,MATCH(P1047,#REF!,0),1)</f>
        <v>#REF!</v>
      </c>
      <c r="H1047" t="s">
        <v>6124</v>
      </c>
      <c r="J1047" t="s">
        <v>1526</v>
      </c>
      <c r="K1047" t="s">
        <v>2368</v>
      </c>
      <c r="L1047" t="s">
        <v>6125</v>
      </c>
      <c r="M1047" t="s">
        <v>6126</v>
      </c>
      <c r="N1047">
        <v>36570</v>
      </c>
      <c r="O1047" t="s">
        <v>6127</v>
      </c>
      <c r="P1047">
        <v>36570</v>
      </c>
      <c r="Q1047" t="s">
        <v>6127</v>
      </c>
      <c r="R1047" t="s">
        <v>79</v>
      </c>
      <c r="S1047" t="s">
        <v>80</v>
      </c>
      <c r="T1047" t="s">
        <v>44</v>
      </c>
      <c r="U1047" t="s">
        <v>45</v>
      </c>
      <c r="AA1047" t="s">
        <v>119</v>
      </c>
      <c r="AE1047" t="s">
        <v>120</v>
      </c>
      <c r="AG1047" t="s">
        <v>48</v>
      </c>
    </row>
    <row r="1048" spans="1:33" x14ac:dyDescent="0.3">
      <c r="A1048">
        <v>3047</v>
      </c>
      <c r="B1048" t="s">
        <v>6128</v>
      </c>
      <c r="C1048" t="str">
        <f>""</f>
        <v/>
      </c>
      <c r="D1048" t="str">
        <f>"0L393BB00"</f>
        <v>0L393BB00</v>
      </c>
      <c r="E1048" s="1">
        <v>35004</v>
      </c>
      <c r="F1048" t="s">
        <v>6129</v>
      </c>
      <c r="G1048" t="e">
        <f>INDEX(#REF!,MATCH(P1048,#REF!,0),1)</f>
        <v>#REF!</v>
      </c>
      <c r="H1048" t="s">
        <v>6130</v>
      </c>
      <c r="J1048" t="s">
        <v>6131</v>
      </c>
      <c r="K1048" t="s">
        <v>167</v>
      </c>
      <c r="L1048" t="s">
        <v>6132</v>
      </c>
      <c r="M1048" t="s">
        <v>6133</v>
      </c>
      <c r="N1048">
        <v>770471</v>
      </c>
      <c r="O1048" t="s">
        <v>40</v>
      </c>
      <c r="P1048">
        <v>1146</v>
      </c>
      <c r="Q1048" t="s">
        <v>1814</v>
      </c>
      <c r="R1048" t="s">
        <v>3159</v>
      </c>
      <c r="S1048" t="s">
        <v>3160</v>
      </c>
      <c r="T1048" t="s">
        <v>2277</v>
      </c>
      <c r="U1048" t="s">
        <v>5622</v>
      </c>
      <c r="V1048" t="s">
        <v>1824</v>
      </c>
      <c r="Y1048" t="s">
        <v>46</v>
      </c>
      <c r="Z1048" s="1">
        <v>43466</v>
      </c>
      <c r="AG1048" t="s">
        <v>48</v>
      </c>
    </row>
    <row r="1049" spans="1:33" x14ac:dyDescent="0.3">
      <c r="A1049">
        <v>3048</v>
      </c>
      <c r="B1049" t="s">
        <v>6134</v>
      </c>
      <c r="C1049" t="str">
        <f>""</f>
        <v/>
      </c>
      <c r="D1049" t="str">
        <f>"BXS1UA500"</f>
        <v>BXS1UA500</v>
      </c>
      <c r="E1049" s="1">
        <v>35004</v>
      </c>
      <c r="F1049" t="s">
        <v>6135</v>
      </c>
      <c r="G1049" t="e">
        <f>INDEX(#REF!,MATCH(P1049,#REF!,0),1)</f>
        <v>#REF!</v>
      </c>
      <c r="H1049" t="s">
        <v>6136</v>
      </c>
      <c r="J1049" t="s">
        <v>6137</v>
      </c>
      <c r="K1049" t="s">
        <v>167</v>
      </c>
      <c r="L1049" t="s">
        <v>6138</v>
      </c>
      <c r="M1049" t="s">
        <v>6139</v>
      </c>
      <c r="N1049">
        <v>770471</v>
      </c>
      <c r="O1049" t="s">
        <v>40</v>
      </c>
      <c r="P1049">
        <v>1146</v>
      </c>
      <c r="Q1049" t="s">
        <v>1814</v>
      </c>
      <c r="R1049" t="s">
        <v>3159</v>
      </c>
      <c r="S1049" t="s">
        <v>3160</v>
      </c>
      <c r="T1049" t="s">
        <v>2277</v>
      </c>
      <c r="U1049" t="s">
        <v>5622</v>
      </c>
      <c r="V1049" t="s">
        <v>1824</v>
      </c>
      <c r="Y1049" t="s">
        <v>46</v>
      </c>
      <c r="Z1049" s="1">
        <v>43466</v>
      </c>
      <c r="AG1049" t="s">
        <v>48</v>
      </c>
    </row>
    <row r="1050" spans="1:33" x14ac:dyDescent="0.3">
      <c r="A1050">
        <v>3052</v>
      </c>
      <c r="B1050" t="s">
        <v>6140</v>
      </c>
      <c r="C1050" t="str">
        <f>""</f>
        <v/>
      </c>
      <c r="D1050" t="str">
        <f>""</f>
        <v/>
      </c>
      <c r="E1050" s="1">
        <v>35004</v>
      </c>
      <c r="F1050" t="s">
        <v>6141</v>
      </c>
      <c r="G1050" t="e">
        <f>INDEX(#REF!,MATCH(P1050,#REF!,0),1)</f>
        <v>#REF!</v>
      </c>
      <c r="H1050" t="s">
        <v>6142</v>
      </c>
      <c r="J1050" t="s">
        <v>6131</v>
      </c>
      <c r="K1050" t="s">
        <v>167</v>
      </c>
      <c r="L1050" t="s">
        <v>6143</v>
      </c>
      <c r="M1050" t="s">
        <v>6144</v>
      </c>
      <c r="N1050">
        <v>770471</v>
      </c>
      <c r="O1050" t="s">
        <v>40</v>
      </c>
      <c r="P1050">
        <v>1146</v>
      </c>
      <c r="Q1050" t="s">
        <v>1814</v>
      </c>
      <c r="R1050" t="s">
        <v>3159</v>
      </c>
      <c r="S1050" t="s">
        <v>3160</v>
      </c>
      <c r="T1050" t="s">
        <v>2277</v>
      </c>
      <c r="U1050" t="s">
        <v>2278</v>
      </c>
      <c r="V1050" t="s">
        <v>1824</v>
      </c>
      <c r="Y1050" t="s">
        <v>46</v>
      </c>
      <c r="Z1050" s="1">
        <v>43466</v>
      </c>
      <c r="AG1050" t="s">
        <v>48</v>
      </c>
    </row>
    <row r="1051" spans="1:33" x14ac:dyDescent="0.3">
      <c r="A1051">
        <v>3054</v>
      </c>
      <c r="B1051" t="s">
        <v>6145</v>
      </c>
      <c r="C1051" t="str">
        <f>""</f>
        <v/>
      </c>
      <c r="D1051" t="str">
        <f>"FW5D6DC00"</f>
        <v>FW5D6DC00</v>
      </c>
      <c r="E1051" s="1">
        <v>35004</v>
      </c>
      <c r="F1051" t="s">
        <v>6146</v>
      </c>
      <c r="G1051" t="e">
        <f>INDEX(#REF!,MATCH(P1051,#REF!,0),1)</f>
        <v>#REF!</v>
      </c>
      <c r="H1051" t="s">
        <v>6147</v>
      </c>
      <c r="J1051" t="s">
        <v>6148</v>
      </c>
      <c r="K1051" t="s">
        <v>167</v>
      </c>
      <c r="L1051">
        <v>34990</v>
      </c>
      <c r="M1051" t="s">
        <v>6149</v>
      </c>
      <c r="N1051">
        <v>770471</v>
      </c>
      <c r="O1051" t="s">
        <v>40</v>
      </c>
      <c r="P1051">
        <v>1146</v>
      </c>
      <c r="Q1051" t="s">
        <v>1814</v>
      </c>
      <c r="R1051" t="s">
        <v>3159</v>
      </c>
      <c r="S1051" t="s">
        <v>3160</v>
      </c>
      <c r="T1051" t="s">
        <v>2277</v>
      </c>
      <c r="U1051" t="s">
        <v>2278</v>
      </c>
      <c r="V1051" t="s">
        <v>1824</v>
      </c>
      <c r="Y1051" t="s">
        <v>46</v>
      </c>
      <c r="Z1051" s="1">
        <v>43466</v>
      </c>
      <c r="AG1051" t="s">
        <v>48</v>
      </c>
    </row>
    <row r="1052" spans="1:33" x14ac:dyDescent="0.3">
      <c r="A1052">
        <v>3055</v>
      </c>
      <c r="B1052" t="s">
        <v>6150</v>
      </c>
      <c r="C1052" t="str">
        <f>""</f>
        <v/>
      </c>
      <c r="D1052" t="str">
        <f>"JMC2PNV00"</f>
        <v>JMC2PNV00</v>
      </c>
      <c r="E1052" s="1">
        <v>35004</v>
      </c>
      <c r="F1052" t="s">
        <v>6151</v>
      </c>
      <c r="G1052" t="e">
        <f>INDEX(#REF!,MATCH(P1052,#REF!,0),1)</f>
        <v>#REF!</v>
      </c>
      <c r="H1052" t="s">
        <v>6147</v>
      </c>
      <c r="J1052" t="s">
        <v>6148</v>
      </c>
      <c r="K1052" t="s">
        <v>167</v>
      </c>
      <c r="L1052">
        <v>34990</v>
      </c>
      <c r="M1052" t="s">
        <v>6152</v>
      </c>
      <c r="N1052">
        <v>770471</v>
      </c>
      <c r="O1052" t="s">
        <v>40</v>
      </c>
      <c r="P1052">
        <v>1146</v>
      </c>
      <c r="Q1052" t="s">
        <v>1814</v>
      </c>
      <c r="R1052" t="s">
        <v>3159</v>
      </c>
      <c r="S1052" t="s">
        <v>3160</v>
      </c>
      <c r="T1052" t="s">
        <v>2277</v>
      </c>
      <c r="U1052" t="s">
        <v>5622</v>
      </c>
      <c r="V1052" t="s">
        <v>1824</v>
      </c>
      <c r="Y1052" t="s">
        <v>46</v>
      </c>
      <c r="Z1052" s="1">
        <v>43466</v>
      </c>
      <c r="AG1052" t="s">
        <v>48</v>
      </c>
    </row>
    <row r="1053" spans="1:33" x14ac:dyDescent="0.3">
      <c r="A1053">
        <v>3056</v>
      </c>
      <c r="B1053" t="s">
        <v>6153</v>
      </c>
      <c r="C1053" t="str">
        <f>""</f>
        <v/>
      </c>
      <c r="D1053" t="str">
        <f>"LPC25TM00"</f>
        <v>LPC25TM00</v>
      </c>
      <c r="E1053" s="1">
        <v>35004</v>
      </c>
      <c r="F1053" t="s">
        <v>6154</v>
      </c>
      <c r="G1053" t="e">
        <f>INDEX(#REF!,MATCH(P1053,#REF!,0),1)</f>
        <v>#REF!</v>
      </c>
      <c r="H1053" t="s">
        <v>6155</v>
      </c>
      <c r="J1053" t="s">
        <v>1811</v>
      </c>
      <c r="K1053" t="s">
        <v>167</v>
      </c>
      <c r="L1053" t="s">
        <v>6156</v>
      </c>
      <c r="M1053" t="s">
        <v>6157</v>
      </c>
      <c r="N1053">
        <v>770471</v>
      </c>
      <c r="O1053" t="s">
        <v>40</v>
      </c>
      <c r="P1053">
        <v>1146</v>
      </c>
      <c r="Q1053" t="s">
        <v>1814</v>
      </c>
      <c r="R1053" t="s">
        <v>3159</v>
      </c>
      <c r="S1053" t="s">
        <v>3160</v>
      </c>
      <c r="T1053" t="s">
        <v>2277</v>
      </c>
      <c r="U1053" t="s">
        <v>5622</v>
      </c>
      <c r="V1053" t="s">
        <v>1824</v>
      </c>
      <c r="Y1053" t="s">
        <v>46</v>
      </c>
      <c r="Z1053" s="1">
        <v>43466</v>
      </c>
      <c r="AG1053" t="s">
        <v>48</v>
      </c>
    </row>
    <row r="1054" spans="1:33" x14ac:dyDescent="0.3">
      <c r="A1054">
        <v>3057</v>
      </c>
      <c r="B1054" t="s">
        <v>6158</v>
      </c>
      <c r="C1054" t="str">
        <f>""</f>
        <v/>
      </c>
      <c r="D1054" t="str">
        <f>"K4QMLF000"</f>
        <v>K4QMLF000</v>
      </c>
      <c r="E1054" s="1">
        <v>35004</v>
      </c>
      <c r="F1054" t="s">
        <v>6159</v>
      </c>
      <c r="G1054" t="e">
        <f>INDEX(#REF!,MATCH(P1054,#REF!,0),1)</f>
        <v>#REF!</v>
      </c>
      <c r="H1054" t="s">
        <v>6160</v>
      </c>
      <c r="J1054" t="s">
        <v>1811</v>
      </c>
      <c r="K1054" t="s">
        <v>167</v>
      </c>
      <c r="L1054">
        <v>34997</v>
      </c>
      <c r="M1054" t="s">
        <v>6161</v>
      </c>
      <c r="N1054">
        <v>770471</v>
      </c>
      <c r="O1054" t="s">
        <v>40</v>
      </c>
      <c r="P1054">
        <v>1146</v>
      </c>
      <c r="Q1054" t="s">
        <v>1814</v>
      </c>
      <c r="R1054" t="s">
        <v>3159</v>
      </c>
      <c r="S1054" t="s">
        <v>3160</v>
      </c>
      <c r="T1054" t="s">
        <v>2277</v>
      </c>
      <c r="U1054" t="s">
        <v>5651</v>
      </c>
      <c r="V1054" t="s">
        <v>1824</v>
      </c>
      <c r="Y1054" t="s">
        <v>46</v>
      </c>
      <c r="Z1054" s="1">
        <v>43466</v>
      </c>
      <c r="AG1054" t="s">
        <v>48</v>
      </c>
    </row>
    <row r="1055" spans="1:33" x14ac:dyDescent="0.3">
      <c r="A1055">
        <v>3061</v>
      </c>
      <c r="B1055" t="s">
        <v>6162</v>
      </c>
      <c r="C1055" t="str">
        <f>""</f>
        <v/>
      </c>
      <c r="D1055" t="str">
        <f>"FQXCFC500"</f>
        <v>FQXCFC500</v>
      </c>
      <c r="E1055" s="1">
        <v>35033</v>
      </c>
      <c r="F1055" t="s">
        <v>6163</v>
      </c>
      <c r="G1055" t="e">
        <f>INDEX(#REF!,MATCH(P1055,#REF!,0),1)</f>
        <v>#REF!</v>
      </c>
      <c r="H1055" t="s">
        <v>3493</v>
      </c>
      <c r="J1055" t="s">
        <v>3494</v>
      </c>
      <c r="K1055" t="s">
        <v>167</v>
      </c>
      <c r="L1055" t="s">
        <v>6164</v>
      </c>
      <c r="M1055" t="s">
        <v>6165</v>
      </c>
      <c r="N1055">
        <v>37497</v>
      </c>
      <c r="O1055" t="s">
        <v>128</v>
      </c>
      <c r="P1055">
        <v>1324</v>
      </c>
      <c r="Q1055" t="s">
        <v>3492</v>
      </c>
      <c r="R1055" t="s">
        <v>129</v>
      </c>
      <c r="S1055" t="s">
        <v>130</v>
      </c>
      <c r="T1055" t="s">
        <v>2140</v>
      </c>
      <c r="U1055" t="s">
        <v>2141</v>
      </c>
    </row>
    <row r="1056" spans="1:33" x14ac:dyDescent="0.3">
      <c r="A1056">
        <v>3065</v>
      </c>
      <c r="B1056" t="s">
        <v>6166</v>
      </c>
      <c r="C1056" t="str">
        <f>""</f>
        <v/>
      </c>
      <c r="D1056" t="str">
        <f>"451140F00"</f>
        <v>451140F00</v>
      </c>
      <c r="E1056" s="1">
        <v>36039</v>
      </c>
      <c r="F1056" t="s">
        <v>6167</v>
      </c>
      <c r="G1056" t="e">
        <f>INDEX(#REF!,MATCH(P1056,#REF!,0),1)</f>
        <v>#REF!</v>
      </c>
      <c r="H1056" t="s">
        <v>6168</v>
      </c>
      <c r="J1056" t="s">
        <v>6169</v>
      </c>
      <c r="K1056" t="s">
        <v>208</v>
      </c>
      <c r="L1056" t="s">
        <v>6170</v>
      </c>
      <c r="M1056" t="s">
        <v>6171</v>
      </c>
      <c r="N1056">
        <v>4214155</v>
      </c>
      <c r="O1056" t="s">
        <v>2198</v>
      </c>
      <c r="P1056">
        <v>2245</v>
      </c>
      <c r="Q1056" t="s">
        <v>5014</v>
      </c>
      <c r="R1056" t="s">
        <v>2550</v>
      </c>
      <c r="S1056" t="s">
        <v>2551</v>
      </c>
      <c r="T1056" t="s">
        <v>2277</v>
      </c>
      <c r="U1056" t="s">
        <v>5622</v>
      </c>
      <c r="V1056" t="s">
        <v>1824</v>
      </c>
      <c r="AA1056" t="s">
        <v>119</v>
      </c>
      <c r="AE1056" t="s">
        <v>120</v>
      </c>
    </row>
    <row r="1057" spans="1:33" x14ac:dyDescent="0.3">
      <c r="A1057">
        <v>3067</v>
      </c>
      <c r="B1057" t="s">
        <v>6172</v>
      </c>
      <c r="C1057" t="str">
        <f>""</f>
        <v/>
      </c>
      <c r="D1057" t="str">
        <f>"CU6RGSB00"</f>
        <v>CU6RGSB00</v>
      </c>
      <c r="E1057" s="1">
        <v>36039</v>
      </c>
      <c r="F1057" t="s">
        <v>6173</v>
      </c>
      <c r="G1057" t="e">
        <f>INDEX(#REF!,MATCH(P1057,#REF!,0),1)</f>
        <v>#REF!</v>
      </c>
      <c r="H1057" t="s">
        <v>6174</v>
      </c>
      <c r="J1057" t="s">
        <v>6175</v>
      </c>
      <c r="K1057" t="s">
        <v>208</v>
      </c>
      <c r="L1057" t="s">
        <v>6176</v>
      </c>
      <c r="M1057" t="s">
        <v>6177</v>
      </c>
      <c r="N1057">
        <v>4214155</v>
      </c>
      <c r="O1057" t="s">
        <v>2198</v>
      </c>
      <c r="P1057">
        <v>2245</v>
      </c>
      <c r="Q1057" t="s">
        <v>5014</v>
      </c>
      <c r="R1057" t="s">
        <v>2550</v>
      </c>
      <c r="S1057" t="s">
        <v>2551</v>
      </c>
      <c r="T1057" t="s">
        <v>2277</v>
      </c>
      <c r="U1057" t="s">
        <v>5622</v>
      </c>
      <c r="V1057" t="s">
        <v>1824</v>
      </c>
      <c r="AA1057" t="s">
        <v>119</v>
      </c>
      <c r="AE1057" t="s">
        <v>120</v>
      </c>
    </row>
    <row r="1058" spans="1:33" x14ac:dyDescent="0.3">
      <c r="A1058">
        <v>3069</v>
      </c>
      <c r="B1058" t="s">
        <v>6178</v>
      </c>
      <c r="C1058" t="str">
        <f>""</f>
        <v/>
      </c>
      <c r="D1058" t="str">
        <f>"7GF6DF000"</f>
        <v>7GF6DF000</v>
      </c>
      <c r="E1058" s="1">
        <v>36039</v>
      </c>
      <c r="F1058" t="s">
        <v>6179</v>
      </c>
      <c r="G1058" t="e">
        <f>INDEX(#REF!,MATCH(P1058,#REF!,0),1)</f>
        <v>#REF!</v>
      </c>
      <c r="H1058" t="s">
        <v>6180</v>
      </c>
      <c r="J1058" t="s">
        <v>5016</v>
      </c>
      <c r="K1058" t="s">
        <v>208</v>
      </c>
      <c r="L1058">
        <v>54313</v>
      </c>
      <c r="M1058" t="s">
        <v>6181</v>
      </c>
      <c r="N1058">
        <v>4214155</v>
      </c>
      <c r="O1058" t="s">
        <v>2198</v>
      </c>
      <c r="P1058">
        <v>2245</v>
      </c>
      <c r="Q1058" t="s">
        <v>5014</v>
      </c>
      <c r="R1058" t="s">
        <v>2550</v>
      </c>
      <c r="S1058" t="s">
        <v>2551</v>
      </c>
      <c r="T1058" t="s">
        <v>2277</v>
      </c>
      <c r="U1058" t="s">
        <v>5622</v>
      </c>
      <c r="V1058" t="s">
        <v>1824</v>
      </c>
      <c r="AA1058" t="s">
        <v>119</v>
      </c>
      <c r="AE1058" t="s">
        <v>120</v>
      </c>
    </row>
    <row r="1059" spans="1:33" x14ac:dyDescent="0.3">
      <c r="A1059">
        <v>3071</v>
      </c>
      <c r="B1059" t="s">
        <v>6182</v>
      </c>
      <c r="C1059" t="str">
        <f>"1100097072801"</f>
        <v>1100097072801</v>
      </c>
      <c r="D1059" t="str">
        <f>"14PQVGV00"</f>
        <v>14PQVGV00</v>
      </c>
      <c r="E1059" s="1">
        <v>35016</v>
      </c>
      <c r="F1059" t="s">
        <v>6183</v>
      </c>
      <c r="G1059" t="e">
        <f>INDEX(#REF!,MATCH(P1059,#REF!,0),1)</f>
        <v>#REF!</v>
      </c>
      <c r="H1059" t="s">
        <v>6184</v>
      </c>
      <c r="J1059" t="s">
        <v>6185</v>
      </c>
      <c r="K1059" t="s">
        <v>2004</v>
      </c>
      <c r="L1059" t="str">
        <f>"01810-1509"</f>
        <v>01810-1509</v>
      </c>
      <c r="M1059" t="s">
        <v>6186</v>
      </c>
      <c r="N1059">
        <v>3071</v>
      </c>
      <c r="O1059" t="s">
        <v>6183</v>
      </c>
      <c r="P1059">
        <v>3071</v>
      </c>
      <c r="Q1059" t="s">
        <v>6183</v>
      </c>
      <c r="R1059" t="s">
        <v>6187</v>
      </c>
      <c r="S1059" t="s">
        <v>6188</v>
      </c>
      <c r="T1059" t="s">
        <v>117</v>
      </c>
      <c r="U1059" t="s">
        <v>2479</v>
      </c>
      <c r="V1059" t="s">
        <v>2215</v>
      </c>
    </row>
    <row r="1060" spans="1:33" x14ac:dyDescent="0.3">
      <c r="A1060">
        <v>3078</v>
      </c>
      <c r="B1060" t="s">
        <v>6189</v>
      </c>
      <c r="C1060" t="str">
        <f>"1100004999474"</f>
        <v>1100004999474</v>
      </c>
      <c r="D1060" t="str">
        <f>"140150B00"</f>
        <v>140150B00</v>
      </c>
      <c r="E1060" s="1">
        <v>42583</v>
      </c>
      <c r="F1060" t="s">
        <v>6190</v>
      </c>
      <c r="G1060" t="e">
        <f>INDEX(#REF!,MATCH(P1060,#REF!,0),1)</f>
        <v>#REF!</v>
      </c>
      <c r="H1060" t="s">
        <v>6191</v>
      </c>
      <c r="J1060" t="s">
        <v>6192</v>
      </c>
      <c r="K1060" t="s">
        <v>2004</v>
      </c>
      <c r="L1060" t="str">
        <f>"02124"</f>
        <v>02124</v>
      </c>
      <c r="M1060" t="s">
        <v>6193</v>
      </c>
      <c r="N1060">
        <v>2623351</v>
      </c>
      <c r="O1060" t="s">
        <v>2006</v>
      </c>
      <c r="P1060">
        <v>2623351</v>
      </c>
      <c r="Q1060" t="s">
        <v>2006</v>
      </c>
      <c r="R1060" t="s">
        <v>245</v>
      </c>
      <c r="S1060" t="s">
        <v>246</v>
      </c>
      <c r="T1060" t="s">
        <v>44</v>
      </c>
      <c r="U1060" t="s">
        <v>45</v>
      </c>
    </row>
    <row r="1061" spans="1:33" x14ac:dyDescent="0.3">
      <c r="A1061">
        <v>3081</v>
      </c>
      <c r="B1061" t="s">
        <v>6194</v>
      </c>
      <c r="C1061" t="str">
        <f>"1100004630582"</f>
        <v>1100004630582</v>
      </c>
      <c r="D1061" t="str">
        <f>"530100900"</f>
        <v>530100900</v>
      </c>
      <c r="E1061" s="1">
        <v>35065</v>
      </c>
      <c r="F1061" t="s">
        <v>6195</v>
      </c>
      <c r="G1061" t="e">
        <f>INDEX(#REF!,MATCH(P1061,#REF!,0),1)</f>
        <v>#REF!</v>
      </c>
      <c r="H1061" t="s">
        <v>6196</v>
      </c>
      <c r="J1061" t="s">
        <v>2100</v>
      </c>
      <c r="K1061" t="s">
        <v>125</v>
      </c>
      <c r="L1061" t="s">
        <v>6197</v>
      </c>
      <c r="M1061" t="s">
        <v>6198</v>
      </c>
      <c r="N1061">
        <v>1667</v>
      </c>
      <c r="O1061" t="s">
        <v>1791</v>
      </c>
      <c r="P1061">
        <v>488</v>
      </c>
      <c r="Q1061" t="s">
        <v>1786</v>
      </c>
      <c r="R1061" t="s">
        <v>102</v>
      </c>
      <c r="S1061" t="s">
        <v>103</v>
      </c>
      <c r="T1061" t="s">
        <v>44</v>
      </c>
      <c r="U1061" t="s">
        <v>45</v>
      </c>
      <c r="AA1061" t="s">
        <v>105</v>
      </c>
      <c r="AE1061" t="s">
        <v>106</v>
      </c>
    </row>
    <row r="1062" spans="1:33" x14ac:dyDescent="0.3">
      <c r="A1062">
        <v>3085</v>
      </c>
      <c r="B1062" t="s">
        <v>6199</v>
      </c>
      <c r="C1062" t="str">
        <f>"1100004960344"</f>
        <v>1100004960344</v>
      </c>
      <c r="D1062" t="str">
        <f>"FAG064F00"</f>
        <v>FAG064F00</v>
      </c>
      <c r="E1062" s="1">
        <v>42826</v>
      </c>
      <c r="F1062" t="s">
        <v>6200</v>
      </c>
      <c r="G1062" t="e">
        <f>INDEX(#REF!,MATCH(P1062,#REF!,0),1)</f>
        <v>#REF!</v>
      </c>
      <c r="H1062" t="s">
        <v>2297</v>
      </c>
      <c r="J1062" t="s">
        <v>2298</v>
      </c>
      <c r="K1062" t="s">
        <v>2244</v>
      </c>
      <c r="L1062" t="s">
        <v>6201</v>
      </c>
      <c r="M1062" t="s">
        <v>2300</v>
      </c>
      <c r="N1062">
        <v>37277</v>
      </c>
      <c r="O1062" t="s">
        <v>2301</v>
      </c>
      <c r="P1062">
        <v>618</v>
      </c>
      <c r="Q1062" t="s">
        <v>2296</v>
      </c>
      <c r="R1062" t="s">
        <v>562</v>
      </c>
      <c r="S1062" t="s">
        <v>563</v>
      </c>
      <c r="T1062" t="s">
        <v>44</v>
      </c>
      <c r="U1062" t="s">
        <v>81</v>
      </c>
      <c r="AA1062" t="s">
        <v>119</v>
      </c>
      <c r="AE1062" t="s">
        <v>60</v>
      </c>
    </row>
    <row r="1063" spans="1:33" x14ac:dyDescent="0.3">
      <c r="A1063">
        <v>3087</v>
      </c>
      <c r="B1063" t="s">
        <v>6202</v>
      </c>
      <c r="C1063" t="str">
        <f>"1100094759583"</f>
        <v>1100094759583</v>
      </c>
      <c r="D1063" t="str">
        <f>"EPJPR3500"</f>
        <v>EPJPR3500</v>
      </c>
      <c r="E1063" s="1">
        <v>31721</v>
      </c>
      <c r="F1063" t="s">
        <v>491</v>
      </c>
      <c r="G1063" t="e">
        <f>INDEX(#REF!,MATCH(P1063,#REF!,0),1)</f>
        <v>#REF!</v>
      </c>
      <c r="H1063" t="s">
        <v>6203</v>
      </c>
      <c r="J1063" t="s">
        <v>2581</v>
      </c>
      <c r="K1063" t="s">
        <v>307</v>
      </c>
      <c r="L1063" t="s">
        <v>6204</v>
      </c>
      <c r="M1063" t="s">
        <v>2583</v>
      </c>
      <c r="N1063">
        <v>3087</v>
      </c>
      <c r="O1063" t="s">
        <v>491</v>
      </c>
      <c r="P1063">
        <v>3087</v>
      </c>
      <c r="Q1063" t="s">
        <v>491</v>
      </c>
      <c r="R1063" t="s">
        <v>335</v>
      </c>
      <c r="S1063" t="s">
        <v>336</v>
      </c>
      <c r="T1063" t="s">
        <v>44</v>
      </c>
      <c r="U1063" t="s">
        <v>81</v>
      </c>
      <c r="AA1063" t="s">
        <v>328</v>
      </c>
      <c r="AE1063" t="s">
        <v>269</v>
      </c>
    </row>
    <row r="1064" spans="1:33" x14ac:dyDescent="0.3">
      <c r="A1064">
        <v>3088</v>
      </c>
      <c r="B1064" t="s">
        <v>6205</v>
      </c>
      <c r="C1064" t="str">
        <f>""</f>
        <v/>
      </c>
      <c r="D1064" t="str">
        <f>"BAC34W000"</f>
        <v>BAC34W000</v>
      </c>
      <c r="E1064" s="1">
        <v>31320</v>
      </c>
      <c r="F1064" t="s">
        <v>6206</v>
      </c>
      <c r="G1064" t="e">
        <f>INDEX(#REF!,MATCH(P1064,#REF!,0),1)</f>
        <v>#REF!</v>
      </c>
      <c r="H1064" t="s">
        <v>1803</v>
      </c>
      <c r="J1064" t="s">
        <v>1804</v>
      </c>
      <c r="K1064" t="s">
        <v>167</v>
      </c>
      <c r="L1064">
        <v>33435</v>
      </c>
      <c r="M1064" t="s">
        <v>1806</v>
      </c>
      <c r="N1064">
        <v>821245</v>
      </c>
      <c r="O1064" t="s">
        <v>1807</v>
      </c>
      <c r="P1064">
        <v>821245</v>
      </c>
      <c r="Q1064" t="s">
        <v>1807</v>
      </c>
      <c r="R1064" t="s">
        <v>266</v>
      </c>
      <c r="S1064" t="s">
        <v>267</v>
      </c>
      <c r="T1064" t="s">
        <v>44</v>
      </c>
      <c r="U1064" t="s">
        <v>81</v>
      </c>
      <c r="AG1064" t="s">
        <v>48</v>
      </c>
    </row>
    <row r="1065" spans="1:33" x14ac:dyDescent="0.3">
      <c r="A1065">
        <v>3089</v>
      </c>
      <c r="B1065" t="s">
        <v>6207</v>
      </c>
      <c r="C1065" t="str">
        <f>"1100005170124"</f>
        <v>1100005170124</v>
      </c>
      <c r="D1065" t="str">
        <f>"430570J00"</f>
        <v>430570J00</v>
      </c>
      <c r="E1065" s="1">
        <v>44470</v>
      </c>
      <c r="F1065" t="s">
        <v>6208</v>
      </c>
      <c r="G1065" t="e">
        <f>INDEX(#REF!,MATCH(P1065,#REF!,0),1)</f>
        <v>#REF!</v>
      </c>
      <c r="H1065" t="s">
        <v>6209</v>
      </c>
      <c r="J1065" t="s">
        <v>1926</v>
      </c>
      <c r="K1065" t="s">
        <v>342</v>
      </c>
      <c r="L1065" t="s">
        <v>6210</v>
      </c>
      <c r="M1065" t="s">
        <v>6211</v>
      </c>
      <c r="N1065">
        <v>2624461</v>
      </c>
      <c r="O1065" t="s">
        <v>598</v>
      </c>
      <c r="P1065">
        <v>2624461</v>
      </c>
      <c r="Q1065" t="s">
        <v>598</v>
      </c>
      <c r="R1065" t="s">
        <v>492</v>
      </c>
      <c r="S1065" t="s">
        <v>493</v>
      </c>
      <c r="T1065" t="s">
        <v>44</v>
      </c>
      <c r="U1065" t="s">
        <v>45</v>
      </c>
    </row>
    <row r="1066" spans="1:33" x14ac:dyDescent="0.3">
      <c r="A1066">
        <v>3090</v>
      </c>
      <c r="B1066" t="s">
        <v>6212</v>
      </c>
      <c r="C1066" t="str">
        <f>"1100004749758"</f>
        <v>1100004749758</v>
      </c>
      <c r="D1066" t="str">
        <f>"432660L00"</f>
        <v>432660L00</v>
      </c>
      <c r="E1066" s="1">
        <v>35065</v>
      </c>
      <c r="F1066" t="s">
        <v>6213</v>
      </c>
      <c r="G1066" t="e">
        <f>INDEX(#REF!,MATCH(P1066,#REF!,0),1)</f>
        <v>#REF!</v>
      </c>
      <c r="H1066" t="s">
        <v>6214</v>
      </c>
      <c r="J1066" t="s">
        <v>6215</v>
      </c>
      <c r="K1066" t="s">
        <v>342</v>
      </c>
      <c r="L1066" t="s">
        <v>6216</v>
      </c>
      <c r="M1066" t="s">
        <v>6217</v>
      </c>
      <c r="N1066">
        <v>332</v>
      </c>
      <c r="O1066" t="s">
        <v>345</v>
      </c>
      <c r="P1066">
        <v>332</v>
      </c>
      <c r="Q1066" t="s">
        <v>345</v>
      </c>
      <c r="R1066" t="s">
        <v>346</v>
      </c>
      <c r="S1066" t="s">
        <v>347</v>
      </c>
      <c r="T1066" t="s">
        <v>44</v>
      </c>
      <c r="U1066" t="s">
        <v>45</v>
      </c>
      <c r="AA1066" t="s">
        <v>119</v>
      </c>
      <c r="AE1066" t="s">
        <v>348</v>
      </c>
      <c r="AG1066" t="s">
        <v>48</v>
      </c>
    </row>
    <row r="1067" spans="1:33" x14ac:dyDescent="0.3">
      <c r="A1067">
        <v>3091</v>
      </c>
      <c r="B1067" t="s">
        <v>6218</v>
      </c>
      <c r="C1067" t="str">
        <f>""</f>
        <v/>
      </c>
      <c r="D1067" t="str">
        <f>"361040E00"</f>
        <v>361040E00</v>
      </c>
      <c r="E1067" s="1">
        <v>42583</v>
      </c>
      <c r="F1067" t="s">
        <v>6219</v>
      </c>
      <c r="G1067" t="e">
        <f>INDEX(#REF!,MATCH(P1067,#REF!,0),1)</f>
        <v>#REF!</v>
      </c>
      <c r="H1067" t="s">
        <v>6220</v>
      </c>
      <c r="J1067" t="s">
        <v>958</v>
      </c>
      <c r="K1067" t="s">
        <v>384</v>
      </c>
      <c r="L1067">
        <v>28112</v>
      </c>
      <c r="M1067" t="s">
        <v>6221</v>
      </c>
      <c r="N1067">
        <v>5949</v>
      </c>
      <c r="O1067" t="s">
        <v>2330</v>
      </c>
      <c r="P1067">
        <v>5949</v>
      </c>
      <c r="Q1067" t="s">
        <v>2330</v>
      </c>
      <c r="R1067" t="s">
        <v>2331</v>
      </c>
      <c r="S1067" t="s">
        <v>2332</v>
      </c>
      <c r="T1067" t="s">
        <v>44</v>
      </c>
      <c r="U1067" t="s">
        <v>45</v>
      </c>
      <c r="AC1067" t="s">
        <v>2333</v>
      </c>
    </row>
    <row r="1068" spans="1:33" x14ac:dyDescent="0.3">
      <c r="A1068">
        <v>3093</v>
      </c>
      <c r="B1068" t="s">
        <v>6222</v>
      </c>
      <c r="C1068" t="str">
        <f>"1100005420151"</f>
        <v>1100005420151</v>
      </c>
      <c r="D1068" t="str">
        <f>"160410C00"</f>
        <v>160410C00</v>
      </c>
      <c r="E1068" s="1">
        <v>41463</v>
      </c>
      <c r="F1068" t="s">
        <v>6223</v>
      </c>
      <c r="G1068" t="e">
        <f>INDEX(#REF!,MATCH(P1068,#REF!,0),1)</f>
        <v>#REF!</v>
      </c>
      <c r="H1068" t="s">
        <v>6224</v>
      </c>
      <c r="J1068" t="s">
        <v>6225</v>
      </c>
      <c r="K1068" t="s">
        <v>1109</v>
      </c>
      <c r="L1068" t="str">
        <f>"06106-3322"</f>
        <v>06106-3322</v>
      </c>
      <c r="M1068" t="s">
        <v>6226</v>
      </c>
      <c r="N1068">
        <v>3093</v>
      </c>
      <c r="O1068" t="s">
        <v>6223</v>
      </c>
      <c r="P1068">
        <v>3093</v>
      </c>
      <c r="Q1068" t="s">
        <v>6223</v>
      </c>
      <c r="R1068" t="s">
        <v>3133</v>
      </c>
      <c r="S1068" t="s">
        <v>3134</v>
      </c>
      <c r="T1068" t="s">
        <v>44</v>
      </c>
      <c r="U1068" t="s">
        <v>288</v>
      </c>
      <c r="X1068" t="s">
        <v>289</v>
      </c>
      <c r="AA1068" t="s">
        <v>290</v>
      </c>
      <c r="AD1068" t="s">
        <v>94</v>
      </c>
      <c r="AG1068" t="s">
        <v>48</v>
      </c>
    </row>
    <row r="1069" spans="1:33" x14ac:dyDescent="0.3">
      <c r="A1069">
        <v>3094</v>
      </c>
      <c r="B1069" t="s">
        <v>6227</v>
      </c>
      <c r="C1069" t="str">
        <f>""</f>
        <v/>
      </c>
      <c r="D1069" t="str">
        <f>"350420E00"</f>
        <v>350420E00</v>
      </c>
      <c r="E1069" s="1">
        <v>35065</v>
      </c>
      <c r="F1069" t="s">
        <v>6228</v>
      </c>
      <c r="G1069" t="e">
        <f>INDEX(#REF!,MATCH(P1069,#REF!,0),1)</f>
        <v>#REF!</v>
      </c>
      <c r="H1069" t="s">
        <v>6229</v>
      </c>
      <c r="J1069" t="s">
        <v>607</v>
      </c>
      <c r="K1069" t="s">
        <v>235</v>
      </c>
      <c r="L1069" t="s">
        <v>6230</v>
      </c>
      <c r="M1069" t="s">
        <v>6231</v>
      </c>
      <c r="N1069">
        <v>3094</v>
      </c>
      <c r="O1069" t="s">
        <v>6228</v>
      </c>
      <c r="P1069">
        <v>3094</v>
      </c>
      <c r="Q1069" t="s">
        <v>6228</v>
      </c>
      <c r="R1069" t="s">
        <v>237</v>
      </c>
      <c r="S1069" t="s">
        <v>238</v>
      </c>
      <c r="T1069" t="s">
        <v>44</v>
      </c>
      <c r="U1069" t="s">
        <v>45</v>
      </c>
      <c r="AA1069" t="s">
        <v>211</v>
      </c>
      <c r="AC1069" t="s">
        <v>547</v>
      </c>
    </row>
    <row r="1070" spans="1:33" x14ac:dyDescent="0.3">
      <c r="A1070">
        <v>3097</v>
      </c>
      <c r="B1070" t="s">
        <v>6232</v>
      </c>
      <c r="C1070" t="str">
        <f>"1100002523121"</f>
        <v>1100002523121</v>
      </c>
      <c r="D1070" t="str">
        <f>"D47YN8H00"</f>
        <v>D47YN8H00</v>
      </c>
      <c r="E1070" s="1">
        <v>35065</v>
      </c>
      <c r="F1070" t="s">
        <v>6233</v>
      </c>
      <c r="G1070" t="e">
        <f>INDEX(#REF!,MATCH(P1070,#REF!,0),1)</f>
        <v>#REF!</v>
      </c>
      <c r="H1070" t="s">
        <v>6234</v>
      </c>
      <c r="J1070" t="s">
        <v>5468</v>
      </c>
      <c r="K1070" t="s">
        <v>307</v>
      </c>
      <c r="L1070" t="s">
        <v>6235</v>
      </c>
      <c r="M1070" t="s">
        <v>6236</v>
      </c>
      <c r="N1070">
        <v>3087</v>
      </c>
      <c r="O1070" t="s">
        <v>491</v>
      </c>
      <c r="P1070">
        <v>3087</v>
      </c>
      <c r="Q1070" t="s">
        <v>491</v>
      </c>
      <c r="R1070" t="s">
        <v>335</v>
      </c>
      <c r="S1070" t="s">
        <v>336</v>
      </c>
      <c r="T1070" t="s">
        <v>44</v>
      </c>
      <c r="U1070" t="s">
        <v>45</v>
      </c>
      <c r="AA1070" t="s">
        <v>328</v>
      </c>
      <c r="AE1070" t="s">
        <v>269</v>
      </c>
    </row>
    <row r="1071" spans="1:33" x14ac:dyDescent="0.3">
      <c r="A1071">
        <v>3098</v>
      </c>
      <c r="B1071" t="s">
        <v>6237</v>
      </c>
      <c r="C1071" t="str">
        <f>""</f>
        <v/>
      </c>
      <c r="D1071" t="str">
        <f>"C1CVGVV00"</f>
        <v>C1CVGVV00</v>
      </c>
      <c r="E1071" s="1">
        <v>35065</v>
      </c>
      <c r="F1071" t="s">
        <v>6238</v>
      </c>
      <c r="G1071" t="e">
        <f>INDEX(#REF!,MATCH(P1071,#REF!,0),1)</f>
        <v>#REF!</v>
      </c>
      <c r="H1071" t="s">
        <v>6239</v>
      </c>
      <c r="J1071" t="s">
        <v>6240</v>
      </c>
      <c r="K1071" t="s">
        <v>307</v>
      </c>
      <c r="L1071" t="s">
        <v>6241</v>
      </c>
      <c r="M1071" t="s">
        <v>6242</v>
      </c>
      <c r="N1071">
        <v>3087</v>
      </c>
      <c r="O1071" t="s">
        <v>491</v>
      </c>
      <c r="P1071">
        <v>3087</v>
      </c>
      <c r="Q1071" t="s">
        <v>491</v>
      </c>
      <c r="R1071" t="s">
        <v>335</v>
      </c>
      <c r="S1071" t="s">
        <v>336</v>
      </c>
      <c r="T1071" t="s">
        <v>44</v>
      </c>
      <c r="U1071" t="s">
        <v>45</v>
      </c>
      <c r="AA1071" t="s">
        <v>328</v>
      </c>
      <c r="AE1071" t="s">
        <v>269</v>
      </c>
    </row>
    <row r="1072" spans="1:33" x14ac:dyDescent="0.3">
      <c r="A1072">
        <v>3099</v>
      </c>
      <c r="B1072" t="s">
        <v>6243</v>
      </c>
      <c r="C1072" t="str">
        <f>"1100003152276"</f>
        <v>1100003152276</v>
      </c>
      <c r="D1072" t="str">
        <f>"07Q83V300"</f>
        <v>07Q83V300</v>
      </c>
      <c r="E1072" s="1">
        <v>35065</v>
      </c>
      <c r="F1072" t="s">
        <v>6244</v>
      </c>
      <c r="G1072" t="e">
        <f>INDEX(#REF!,MATCH(P1072,#REF!,0),1)</f>
        <v>#REF!</v>
      </c>
      <c r="H1072" t="s">
        <v>6245</v>
      </c>
      <c r="J1072" t="s">
        <v>6246</v>
      </c>
      <c r="K1072" t="s">
        <v>727</v>
      </c>
      <c r="L1072" t="s">
        <v>6247</v>
      </c>
      <c r="M1072" t="s">
        <v>6248</v>
      </c>
      <c r="N1072">
        <v>43715</v>
      </c>
      <c r="O1072" t="s">
        <v>1591</v>
      </c>
      <c r="P1072">
        <v>43715</v>
      </c>
      <c r="Q1072" t="s">
        <v>1591</v>
      </c>
      <c r="R1072" t="s">
        <v>346</v>
      </c>
      <c r="S1072" t="s">
        <v>347</v>
      </c>
      <c r="T1072" t="s">
        <v>44</v>
      </c>
      <c r="U1072" t="s">
        <v>45</v>
      </c>
      <c r="AA1072" t="s">
        <v>328</v>
      </c>
      <c r="AB1072" t="s">
        <v>327</v>
      </c>
      <c r="AE1072" t="s">
        <v>1522</v>
      </c>
    </row>
    <row r="1073" spans="1:33" x14ac:dyDescent="0.3">
      <c r="A1073">
        <v>3104</v>
      </c>
      <c r="B1073" t="s">
        <v>6249</v>
      </c>
      <c r="C1073" t="str">
        <f>"1100003710759"</f>
        <v>1100003710759</v>
      </c>
      <c r="D1073" t="str">
        <f>"T41YX5Y00"</f>
        <v>T41YX5Y00</v>
      </c>
      <c r="E1073" s="1">
        <v>42826</v>
      </c>
      <c r="F1073" t="s">
        <v>6250</v>
      </c>
      <c r="G1073" t="e">
        <f>INDEX(#REF!,MATCH(P1073,#REF!,0),1)</f>
        <v>#REF!</v>
      </c>
      <c r="H1073" t="s">
        <v>2297</v>
      </c>
      <c r="J1073" t="s">
        <v>2298</v>
      </c>
      <c r="K1073" t="s">
        <v>2244</v>
      </c>
      <c r="L1073" t="s">
        <v>6201</v>
      </c>
      <c r="M1073" t="s">
        <v>6251</v>
      </c>
      <c r="N1073">
        <v>37277</v>
      </c>
      <c r="O1073" t="s">
        <v>2301</v>
      </c>
      <c r="P1073">
        <v>37279</v>
      </c>
      <c r="Q1073" t="s">
        <v>6252</v>
      </c>
      <c r="R1073" t="s">
        <v>4102</v>
      </c>
      <c r="S1073" t="s">
        <v>4103</v>
      </c>
      <c r="T1073" t="s">
        <v>3674</v>
      </c>
      <c r="U1073" t="s">
        <v>3675</v>
      </c>
      <c r="V1073" t="s">
        <v>1824</v>
      </c>
      <c r="AA1073" t="s">
        <v>119</v>
      </c>
      <c r="AE1073" t="s">
        <v>60</v>
      </c>
      <c r="AG1073" t="s">
        <v>48</v>
      </c>
    </row>
    <row r="1074" spans="1:33" x14ac:dyDescent="0.3">
      <c r="A1074">
        <v>3105</v>
      </c>
      <c r="B1074" t="s">
        <v>6253</v>
      </c>
      <c r="C1074" t="str">
        <f>"1100004917379"</f>
        <v>1100004917379</v>
      </c>
      <c r="D1074" t="str">
        <f>"46MJDC400"</f>
        <v>46MJDC400</v>
      </c>
      <c r="E1074" s="1">
        <v>42678</v>
      </c>
      <c r="F1074" t="s">
        <v>6254</v>
      </c>
      <c r="G1074" t="e">
        <f>INDEX(#REF!,MATCH(P1074,#REF!,0),1)</f>
        <v>#REF!</v>
      </c>
      <c r="H1074" t="s">
        <v>6255</v>
      </c>
      <c r="J1074" t="s">
        <v>6256</v>
      </c>
      <c r="K1074" t="s">
        <v>2244</v>
      </c>
      <c r="L1074" t="s">
        <v>6257</v>
      </c>
      <c r="M1074" t="s">
        <v>6258</v>
      </c>
      <c r="N1074">
        <v>37277</v>
      </c>
      <c r="O1074" t="s">
        <v>2301</v>
      </c>
      <c r="P1074">
        <v>618</v>
      </c>
      <c r="Q1074" t="s">
        <v>2296</v>
      </c>
      <c r="R1074" t="s">
        <v>1821</v>
      </c>
      <c r="S1074" t="s">
        <v>1822</v>
      </c>
      <c r="T1074" t="s">
        <v>2214</v>
      </c>
      <c r="U1074" t="s">
        <v>2552</v>
      </c>
      <c r="V1074" t="s">
        <v>1824</v>
      </c>
      <c r="AA1074" t="s">
        <v>119</v>
      </c>
      <c r="AE1074" t="s">
        <v>60</v>
      </c>
    </row>
    <row r="1075" spans="1:33" x14ac:dyDescent="0.3">
      <c r="A1075">
        <v>3106</v>
      </c>
      <c r="B1075" t="s">
        <v>6259</v>
      </c>
      <c r="C1075" t="str">
        <f>"1100002699437"</f>
        <v>1100002699437</v>
      </c>
      <c r="D1075" t="str">
        <f>"GAE5AL400"</f>
        <v>GAE5AL400</v>
      </c>
      <c r="E1075" s="1">
        <v>42678</v>
      </c>
      <c r="F1075" t="s">
        <v>6260</v>
      </c>
      <c r="G1075" t="e">
        <f>INDEX(#REF!,MATCH(P1075,#REF!,0),1)</f>
        <v>#REF!</v>
      </c>
      <c r="H1075" t="s">
        <v>6261</v>
      </c>
      <c r="J1075" t="s">
        <v>6256</v>
      </c>
      <c r="K1075" t="s">
        <v>2244</v>
      </c>
      <c r="L1075" t="s">
        <v>6262</v>
      </c>
      <c r="M1075" t="s">
        <v>6263</v>
      </c>
      <c r="N1075">
        <v>37277</v>
      </c>
      <c r="O1075" t="s">
        <v>2301</v>
      </c>
      <c r="P1075">
        <v>618</v>
      </c>
      <c r="Q1075" t="s">
        <v>2296</v>
      </c>
      <c r="R1075" t="s">
        <v>1821</v>
      </c>
      <c r="S1075" t="s">
        <v>1822</v>
      </c>
      <c r="T1075" t="s">
        <v>2214</v>
      </c>
      <c r="U1075" t="s">
        <v>2214</v>
      </c>
      <c r="V1075" t="s">
        <v>1824</v>
      </c>
      <c r="AA1075" t="s">
        <v>119</v>
      </c>
      <c r="AE1075" t="s">
        <v>60</v>
      </c>
    </row>
    <row r="1076" spans="1:33" x14ac:dyDescent="0.3">
      <c r="A1076">
        <v>3107</v>
      </c>
      <c r="B1076" t="s">
        <v>6264</v>
      </c>
      <c r="C1076" t="str">
        <f>"1100003916267"</f>
        <v>1100003916267</v>
      </c>
      <c r="D1076" t="str">
        <f>""</f>
        <v/>
      </c>
      <c r="E1076" s="1">
        <v>42826</v>
      </c>
      <c r="F1076" t="s">
        <v>6265</v>
      </c>
      <c r="G1076" t="e">
        <f>INDEX(#REF!,MATCH(P1076,#REF!,0),1)</f>
        <v>#REF!</v>
      </c>
      <c r="H1076" t="s">
        <v>2297</v>
      </c>
      <c r="J1076" t="s">
        <v>2298</v>
      </c>
      <c r="K1076" t="s">
        <v>2244</v>
      </c>
      <c r="L1076" t="s">
        <v>2299</v>
      </c>
      <c r="M1076" t="s">
        <v>6266</v>
      </c>
      <c r="N1076">
        <v>37277</v>
      </c>
      <c r="O1076" t="s">
        <v>2301</v>
      </c>
      <c r="P1076">
        <v>618</v>
      </c>
      <c r="Q1076" t="s">
        <v>2296</v>
      </c>
      <c r="R1076" t="s">
        <v>562</v>
      </c>
      <c r="S1076" t="s">
        <v>563</v>
      </c>
      <c r="T1076" t="s">
        <v>44</v>
      </c>
      <c r="U1076" t="s">
        <v>6267</v>
      </c>
      <c r="AA1076" t="s">
        <v>119</v>
      </c>
    </row>
    <row r="1077" spans="1:33" x14ac:dyDescent="0.3">
      <c r="A1077">
        <v>3111</v>
      </c>
      <c r="B1077" t="s">
        <v>6268</v>
      </c>
      <c r="C1077" t="str">
        <f>""</f>
        <v/>
      </c>
      <c r="D1077" t="str">
        <f>"DGTJPB500"</f>
        <v>DGTJPB500</v>
      </c>
      <c r="E1077" s="1">
        <v>35065</v>
      </c>
      <c r="F1077" t="s">
        <v>6269</v>
      </c>
      <c r="G1077" t="e">
        <f>INDEX(#REF!,MATCH(P1077,#REF!,0),1)</f>
        <v>#REF!</v>
      </c>
      <c r="H1077" t="s">
        <v>6270</v>
      </c>
      <c r="J1077" t="s">
        <v>6271</v>
      </c>
      <c r="K1077" t="s">
        <v>88</v>
      </c>
      <c r="L1077">
        <v>94301</v>
      </c>
      <c r="M1077" t="s">
        <v>6272</v>
      </c>
      <c r="N1077">
        <v>251</v>
      </c>
      <c r="O1077" t="s">
        <v>90</v>
      </c>
      <c r="P1077">
        <v>251</v>
      </c>
      <c r="Q1077" t="s">
        <v>90</v>
      </c>
      <c r="R1077" t="s">
        <v>91</v>
      </c>
      <c r="S1077" t="s">
        <v>92</v>
      </c>
      <c r="T1077" t="s">
        <v>2277</v>
      </c>
      <c r="U1077" t="s">
        <v>2278</v>
      </c>
      <c r="AA1077" t="s">
        <v>93</v>
      </c>
      <c r="AC1077" t="s">
        <v>90</v>
      </c>
      <c r="AD1077" t="s">
        <v>94</v>
      </c>
      <c r="AE1077" t="s">
        <v>72</v>
      </c>
      <c r="AG1077" t="s">
        <v>48</v>
      </c>
    </row>
    <row r="1078" spans="1:33" x14ac:dyDescent="0.3">
      <c r="A1078">
        <v>3112</v>
      </c>
      <c r="B1078" t="s">
        <v>6273</v>
      </c>
      <c r="C1078" t="str">
        <f>""</f>
        <v/>
      </c>
      <c r="D1078" t="str">
        <f>"PS8RW9L00"</f>
        <v>PS8RW9L00</v>
      </c>
      <c r="E1078" s="1">
        <v>35065</v>
      </c>
      <c r="F1078" t="s">
        <v>6274</v>
      </c>
      <c r="G1078" t="e">
        <f>INDEX(#REF!,MATCH(P1078,#REF!,0),1)</f>
        <v>#REF!</v>
      </c>
      <c r="H1078" t="s">
        <v>6275</v>
      </c>
      <c r="J1078" t="s">
        <v>1561</v>
      </c>
      <c r="K1078" t="s">
        <v>88</v>
      </c>
      <c r="L1078" t="s">
        <v>6276</v>
      </c>
      <c r="M1078" t="s">
        <v>6277</v>
      </c>
      <c r="N1078">
        <v>251</v>
      </c>
      <c r="O1078" t="s">
        <v>90</v>
      </c>
      <c r="P1078">
        <v>251</v>
      </c>
      <c r="Q1078" t="s">
        <v>90</v>
      </c>
      <c r="R1078" t="s">
        <v>4681</v>
      </c>
      <c r="S1078" t="s">
        <v>4682</v>
      </c>
      <c r="T1078" t="s">
        <v>2277</v>
      </c>
      <c r="U1078" t="s">
        <v>2278</v>
      </c>
      <c r="V1078" t="s">
        <v>1824</v>
      </c>
      <c r="AA1078" t="s">
        <v>93</v>
      </c>
      <c r="AC1078" t="s">
        <v>90</v>
      </c>
      <c r="AD1078" t="s">
        <v>94</v>
      </c>
      <c r="AE1078" t="s">
        <v>72</v>
      </c>
      <c r="AG1078" t="s">
        <v>48</v>
      </c>
    </row>
    <row r="1079" spans="1:33" x14ac:dyDescent="0.3">
      <c r="A1079">
        <v>3113</v>
      </c>
      <c r="B1079" t="s">
        <v>6278</v>
      </c>
      <c r="C1079" t="str">
        <f>""</f>
        <v/>
      </c>
      <c r="D1079" t="str">
        <f>"CLAPNN600"</f>
        <v>CLAPNN600</v>
      </c>
      <c r="E1079" s="1">
        <v>43360</v>
      </c>
      <c r="F1079" t="s">
        <v>6279</v>
      </c>
      <c r="G1079" t="e">
        <f>INDEX(#REF!,MATCH(P1079,#REF!,0),1)</f>
        <v>#REF!</v>
      </c>
      <c r="H1079" t="s">
        <v>6280</v>
      </c>
      <c r="J1079" t="s">
        <v>2519</v>
      </c>
      <c r="K1079" t="s">
        <v>65</v>
      </c>
      <c r="L1079" t="s">
        <v>6281</v>
      </c>
      <c r="M1079" t="s">
        <v>6282</v>
      </c>
      <c r="N1079">
        <v>3349316</v>
      </c>
      <c r="O1079" t="s">
        <v>6283</v>
      </c>
      <c r="P1079">
        <v>3349316</v>
      </c>
      <c r="Q1079" t="s">
        <v>6283</v>
      </c>
      <c r="R1079" t="s">
        <v>5064</v>
      </c>
      <c r="S1079" t="s">
        <v>5065</v>
      </c>
      <c r="T1079" t="s">
        <v>2214</v>
      </c>
      <c r="U1079" t="s">
        <v>2214</v>
      </c>
      <c r="V1079" t="s">
        <v>2215</v>
      </c>
    </row>
    <row r="1080" spans="1:33" x14ac:dyDescent="0.3">
      <c r="A1080">
        <v>3115</v>
      </c>
      <c r="B1080" t="s">
        <v>6284</v>
      </c>
      <c r="C1080" t="str">
        <f>"1100003861871"</f>
        <v>1100003861871</v>
      </c>
      <c r="D1080" t="str">
        <f>"RW5A7VA00"</f>
        <v>RW5A7VA00</v>
      </c>
      <c r="E1080" s="1">
        <v>35065</v>
      </c>
      <c r="F1080" t="s">
        <v>6285</v>
      </c>
      <c r="G1080" t="e">
        <f>INDEX(#REF!,MATCH(P1080,#REF!,0),1)</f>
        <v>#REF!</v>
      </c>
      <c r="H1080" t="s">
        <v>6286</v>
      </c>
      <c r="J1080" t="s">
        <v>1026</v>
      </c>
      <c r="K1080" t="s">
        <v>577</v>
      </c>
      <c r="L1080" t="s">
        <v>6287</v>
      </c>
      <c r="M1080" t="s">
        <v>3226</v>
      </c>
      <c r="N1080">
        <v>264</v>
      </c>
      <c r="O1080" t="s">
        <v>1024</v>
      </c>
      <c r="P1080">
        <v>264</v>
      </c>
      <c r="Q1080" t="s">
        <v>1024</v>
      </c>
      <c r="R1080" t="s">
        <v>4681</v>
      </c>
      <c r="S1080" t="s">
        <v>4682</v>
      </c>
      <c r="T1080" t="s">
        <v>2277</v>
      </c>
      <c r="U1080" t="s">
        <v>2278</v>
      </c>
      <c r="V1080" t="s">
        <v>1824</v>
      </c>
      <c r="Y1080" t="s">
        <v>46</v>
      </c>
      <c r="Z1080" s="1">
        <v>45474</v>
      </c>
    </row>
    <row r="1081" spans="1:33" x14ac:dyDescent="0.3">
      <c r="A1081">
        <v>3116</v>
      </c>
      <c r="B1081" t="s">
        <v>6288</v>
      </c>
      <c r="C1081" t="str">
        <f>"1100004102478"</f>
        <v>1100004102478</v>
      </c>
      <c r="D1081" t="str">
        <f>"4W1C57P00"</f>
        <v>4W1C57P00</v>
      </c>
      <c r="E1081" s="1">
        <v>35065</v>
      </c>
      <c r="F1081" t="s">
        <v>6289</v>
      </c>
      <c r="G1081" t="e">
        <f>INDEX(#REF!,MATCH(P1081,#REF!,0),1)</f>
        <v>#REF!</v>
      </c>
      <c r="H1081" t="s">
        <v>6286</v>
      </c>
      <c r="J1081" t="s">
        <v>1026</v>
      </c>
      <c r="K1081" t="s">
        <v>577</v>
      </c>
      <c r="L1081" t="s">
        <v>6287</v>
      </c>
      <c r="M1081" t="s">
        <v>6290</v>
      </c>
      <c r="N1081">
        <v>264</v>
      </c>
      <c r="O1081" t="s">
        <v>1024</v>
      </c>
      <c r="P1081">
        <v>264</v>
      </c>
      <c r="Q1081" t="s">
        <v>1024</v>
      </c>
      <c r="R1081" t="s">
        <v>4681</v>
      </c>
      <c r="S1081" t="s">
        <v>4682</v>
      </c>
      <c r="T1081" t="s">
        <v>117</v>
      </c>
      <c r="U1081" t="s">
        <v>2479</v>
      </c>
      <c r="V1081" t="s">
        <v>1824</v>
      </c>
      <c r="Y1081" t="s">
        <v>46</v>
      </c>
      <c r="Z1081" s="1">
        <v>45474</v>
      </c>
    </row>
    <row r="1082" spans="1:33" x14ac:dyDescent="0.3">
      <c r="A1082">
        <v>3117</v>
      </c>
      <c r="B1082" t="s">
        <v>6291</v>
      </c>
      <c r="C1082" t="str">
        <f>"1100003581847"</f>
        <v>1100003581847</v>
      </c>
      <c r="D1082" t="str">
        <f>""</f>
        <v/>
      </c>
      <c r="E1082" s="1">
        <v>35065</v>
      </c>
      <c r="F1082" t="s">
        <v>6292</v>
      </c>
      <c r="G1082" t="e">
        <f>INDEX(#REF!,MATCH(P1082,#REF!,0),1)</f>
        <v>#REF!</v>
      </c>
      <c r="H1082" t="s">
        <v>6293</v>
      </c>
      <c r="J1082" t="s">
        <v>1026</v>
      </c>
      <c r="K1082" t="s">
        <v>577</v>
      </c>
      <c r="L1082">
        <v>85745</v>
      </c>
      <c r="M1082" t="s">
        <v>6294</v>
      </c>
      <c r="N1082">
        <v>264</v>
      </c>
      <c r="O1082" t="s">
        <v>1024</v>
      </c>
      <c r="P1082">
        <v>264</v>
      </c>
      <c r="Q1082" t="s">
        <v>1024</v>
      </c>
      <c r="R1082" t="s">
        <v>4681</v>
      </c>
      <c r="S1082" t="s">
        <v>4682</v>
      </c>
      <c r="T1082" t="s">
        <v>2277</v>
      </c>
      <c r="U1082" t="s">
        <v>2278</v>
      </c>
      <c r="V1082" t="s">
        <v>1824</v>
      </c>
      <c r="Y1082" t="s">
        <v>46</v>
      </c>
      <c r="Z1082" s="1">
        <v>45474</v>
      </c>
    </row>
    <row r="1083" spans="1:33" x14ac:dyDescent="0.3">
      <c r="A1083">
        <v>3120</v>
      </c>
      <c r="B1083" t="s">
        <v>6295</v>
      </c>
      <c r="C1083" t="str">
        <f>"1100005729865"</f>
        <v>1100005729865</v>
      </c>
      <c r="D1083" t="str">
        <f>"RLNKQCL00"</f>
        <v>RLNKQCL00</v>
      </c>
      <c r="E1083" s="1">
        <v>35065</v>
      </c>
      <c r="F1083" t="s">
        <v>6296</v>
      </c>
      <c r="G1083" t="e">
        <f>INDEX(#REF!,MATCH(P1083,#REF!,0),1)</f>
        <v>#REF!</v>
      </c>
      <c r="H1083" t="s">
        <v>6297</v>
      </c>
      <c r="J1083" t="s">
        <v>1026</v>
      </c>
      <c r="K1083" t="s">
        <v>577</v>
      </c>
      <c r="L1083">
        <v>85704</v>
      </c>
      <c r="M1083" t="s">
        <v>6298</v>
      </c>
      <c r="N1083">
        <v>264</v>
      </c>
      <c r="O1083" t="s">
        <v>1024</v>
      </c>
      <c r="P1083">
        <v>264</v>
      </c>
      <c r="Q1083" t="s">
        <v>1024</v>
      </c>
      <c r="R1083" t="s">
        <v>4681</v>
      </c>
      <c r="S1083" t="s">
        <v>4682</v>
      </c>
      <c r="T1083" t="s">
        <v>2277</v>
      </c>
      <c r="U1083" t="s">
        <v>5651</v>
      </c>
      <c r="V1083" t="s">
        <v>1824</v>
      </c>
      <c r="Y1083" t="s">
        <v>46</v>
      </c>
      <c r="Z1083" s="1">
        <v>45474</v>
      </c>
    </row>
    <row r="1084" spans="1:33" x14ac:dyDescent="0.3">
      <c r="A1084">
        <v>3122</v>
      </c>
      <c r="B1084" t="s">
        <v>6299</v>
      </c>
      <c r="C1084" t="str">
        <f>""</f>
        <v/>
      </c>
      <c r="D1084" t="str">
        <f>"G5PEKNV00"</f>
        <v>G5PEKNV00</v>
      </c>
      <c r="E1084" s="1">
        <v>35065</v>
      </c>
      <c r="F1084" t="s">
        <v>6300</v>
      </c>
      <c r="G1084" t="e">
        <f>INDEX(#REF!,MATCH(P1084,#REF!,0),1)</f>
        <v>#REF!</v>
      </c>
      <c r="H1084" t="s">
        <v>6301</v>
      </c>
      <c r="J1084" t="s">
        <v>1026</v>
      </c>
      <c r="K1084" t="s">
        <v>577</v>
      </c>
      <c r="L1084" t="s">
        <v>6302</v>
      </c>
      <c r="M1084" t="s">
        <v>3226</v>
      </c>
      <c r="N1084">
        <v>264</v>
      </c>
      <c r="O1084" t="s">
        <v>1024</v>
      </c>
      <c r="P1084">
        <v>264</v>
      </c>
      <c r="Q1084" t="s">
        <v>1024</v>
      </c>
      <c r="R1084" t="s">
        <v>4681</v>
      </c>
      <c r="S1084" t="s">
        <v>4682</v>
      </c>
      <c r="T1084" t="s">
        <v>2277</v>
      </c>
      <c r="U1084" t="s">
        <v>5497</v>
      </c>
      <c r="V1084" t="s">
        <v>1824</v>
      </c>
      <c r="Y1084" t="s">
        <v>46</v>
      </c>
      <c r="Z1084" s="1">
        <v>45474</v>
      </c>
    </row>
    <row r="1085" spans="1:33" x14ac:dyDescent="0.3">
      <c r="A1085">
        <v>3124</v>
      </c>
      <c r="B1085" t="s">
        <v>6303</v>
      </c>
      <c r="C1085" t="str">
        <f>"1100005493551"</f>
        <v>1100005493551</v>
      </c>
      <c r="D1085" t="str">
        <f>"1GAM1R500"</f>
        <v>1GAM1R500</v>
      </c>
      <c r="E1085" s="1">
        <v>35065</v>
      </c>
      <c r="F1085" t="s">
        <v>6304</v>
      </c>
      <c r="G1085" t="e">
        <f>INDEX(#REF!,MATCH(P1085,#REF!,0),1)</f>
        <v>#REF!</v>
      </c>
      <c r="H1085" t="s">
        <v>6305</v>
      </c>
      <c r="J1085" t="s">
        <v>1026</v>
      </c>
      <c r="K1085" t="s">
        <v>577</v>
      </c>
      <c r="L1085">
        <v>85712</v>
      </c>
      <c r="M1085" t="s">
        <v>3226</v>
      </c>
      <c r="N1085">
        <v>264</v>
      </c>
      <c r="O1085" t="s">
        <v>1024</v>
      </c>
      <c r="P1085">
        <v>264</v>
      </c>
      <c r="Q1085" t="s">
        <v>1024</v>
      </c>
      <c r="R1085" t="s">
        <v>4681</v>
      </c>
      <c r="S1085" t="s">
        <v>4682</v>
      </c>
      <c r="T1085" t="s">
        <v>2277</v>
      </c>
      <c r="U1085" t="s">
        <v>5497</v>
      </c>
      <c r="V1085" t="s">
        <v>1824</v>
      </c>
      <c r="Y1085" t="s">
        <v>46</v>
      </c>
      <c r="Z1085" s="1">
        <v>45474</v>
      </c>
    </row>
    <row r="1086" spans="1:33" x14ac:dyDescent="0.3">
      <c r="A1086">
        <v>3125</v>
      </c>
      <c r="B1086" t="s">
        <v>6306</v>
      </c>
      <c r="C1086" t="str">
        <f>"1100005511873"</f>
        <v>1100005511873</v>
      </c>
      <c r="D1086" t="str">
        <f>"GT1H1KC00"</f>
        <v>GT1H1KC00</v>
      </c>
      <c r="E1086" s="1">
        <v>35065</v>
      </c>
      <c r="F1086" t="s">
        <v>6307</v>
      </c>
      <c r="G1086" t="e">
        <f>INDEX(#REF!,MATCH(P1086,#REF!,0),1)</f>
        <v>#REF!</v>
      </c>
      <c r="H1086" t="s">
        <v>6308</v>
      </c>
      <c r="J1086" t="s">
        <v>6309</v>
      </c>
      <c r="K1086" t="s">
        <v>577</v>
      </c>
      <c r="L1086" t="s">
        <v>6310</v>
      </c>
      <c r="M1086" t="s">
        <v>6311</v>
      </c>
      <c r="N1086">
        <v>264</v>
      </c>
      <c r="O1086" t="s">
        <v>1024</v>
      </c>
      <c r="P1086">
        <v>264</v>
      </c>
      <c r="Q1086" t="s">
        <v>1024</v>
      </c>
      <c r="R1086" t="s">
        <v>1029</v>
      </c>
      <c r="S1086" t="s">
        <v>1030</v>
      </c>
      <c r="T1086" t="s">
        <v>44</v>
      </c>
      <c r="U1086" t="s">
        <v>45</v>
      </c>
      <c r="Y1086" t="s">
        <v>46</v>
      </c>
      <c r="Z1086" s="1">
        <v>45474</v>
      </c>
    </row>
    <row r="1087" spans="1:33" x14ac:dyDescent="0.3">
      <c r="A1087">
        <v>3126</v>
      </c>
      <c r="B1087" t="s">
        <v>6312</v>
      </c>
      <c r="C1087" t="str">
        <f>"1100004649546"</f>
        <v>1100004649546</v>
      </c>
      <c r="D1087" t="str">
        <f>"043ADA400"</f>
        <v>043ADA400</v>
      </c>
      <c r="E1087" s="1">
        <v>35065</v>
      </c>
      <c r="F1087" t="s">
        <v>6313</v>
      </c>
      <c r="G1087" t="e">
        <f>INDEX(#REF!,MATCH(P1087,#REF!,0),1)</f>
        <v>#REF!</v>
      </c>
      <c r="H1087" t="s">
        <v>6314</v>
      </c>
      <c r="J1087" t="s">
        <v>6309</v>
      </c>
      <c r="K1087" t="s">
        <v>577</v>
      </c>
      <c r="L1087" t="s">
        <v>6315</v>
      </c>
      <c r="M1087" t="s">
        <v>6316</v>
      </c>
      <c r="N1087">
        <v>264</v>
      </c>
      <c r="O1087" t="s">
        <v>1024</v>
      </c>
      <c r="P1087">
        <v>264</v>
      </c>
      <c r="Q1087" t="s">
        <v>1024</v>
      </c>
      <c r="R1087" t="s">
        <v>4681</v>
      </c>
      <c r="S1087" t="s">
        <v>4682</v>
      </c>
      <c r="T1087" t="s">
        <v>2277</v>
      </c>
      <c r="U1087" t="s">
        <v>2278</v>
      </c>
      <c r="V1087" t="s">
        <v>1824</v>
      </c>
      <c r="Y1087" t="s">
        <v>46</v>
      </c>
      <c r="Z1087" s="1">
        <v>45474</v>
      </c>
    </row>
    <row r="1088" spans="1:33" x14ac:dyDescent="0.3">
      <c r="A1088">
        <v>3134</v>
      </c>
      <c r="B1088" t="s">
        <v>6317</v>
      </c>
      <c r="C1088" t="str">
        <f>"1100005281561"</f>
        <v>1100005281561</v>
      </c>
      <c r="D1088" t="str">
        <f>"39XR3EH00"</f>
        <v>39XR3EH00</v>
      </c>
      <c r="E1088" s="1">
        <v>41579</v>
      </c>
      <c r="F1088" t="s">
        <v>6318</v>
      </c>
      <c r="G1088" t="e">
        <f>INDEX(#REF!,MATCH(P1088,#REF!,0),1)</f>
        <v>#REF!</v>
      </c>
      <c r="H1088" t="s">
        <v>6319</v>
      </c>
      <c r="J1088" t="s">
        <v>6320</v>
      </c>
      <c r="K1088" t="s">
        <v>208</v>
      </c>
      <c r="L1088" t="s">
        <v>6321</v>
      </c>
      <c r="M1088" t="s">
        <v>3226</v>
      </c>
      <c r="N1088">
        <v>3134</v>
      </c>
      <c r="O1088" t="s">
        <v>6318</v>
      </c>
      <c r="P1088">
        <v>3134</v>
      </c>
      <c r="Q1088" t="s">
        <v>6318</v>
      </c>
      <c r="R1088" t="s">
        <v>286</v>
      </c>
      <c r="S1088" t="s">
        <v>287</v>
      </c>
      <c r="T1088" t="s">
        <v>44</v>
      </c>
      <c r="U1088" t="s">
        <v>288</v>
      </c>
      <c r="X1088" t="s">
        <v>289</v>
      </c>
      <c r="AA1088" t="s">
        <v>290</v>
      </c>
      <c r="AG1088" t="s">
        <v>48</v>
      </c>
    </row>
    <row r="1089" spans="1:33" x14ac:dyDescent="0.3">
      <c r="A1089">
        <v>3136</v>
      </c>
      <c r="B1089" t="s">
        <v>6322</v>
      </c>
      <c r="C1089" t="str">
        <f>""</f>
        <v/>
      </c>
      <c r="D1089" t="str">
        <f>"230650G00"</f>
        <v>230650G00</v>
      </c>
      <c r="E1089" s="1">
        <v>42583</v>
      </c>
      <c r="F1089" t="s">
        <v>6323</v>
      </c>
      <c r="G1089" t="e">
        <f>INDEX(#REF!,MATCH(P1089,#REF!,0),1)</f>
        <v>#REF!</v>
      </c>
      <c r="H1089" t="s">
        <v>6324</v>
      </c>
      <c r="J1089" t="s">
        <v>6325</v>
      </c>
      <c r="K1089" t="s">
        <v>65</v>
      </c>
      <c r="L1089">
        <v>18901</v>
      </c>
      <c r="M1089" t="s">
        <v>6326</v>
      </c>
      <c r="N1089">
        <v>4007</v>
      </c>
      <c r="O1089" t="s">
        <v>276</v>
      </c>
      <c r="P1089">
        <v>4007</v>
      </c>
      <c r="Q1089" t="s">
        <v>276</v>
      </c>
      <c r="R1089" t="s">
        <v>277</v>
      </c>
      <c r="S1089" t="s">
        <v>278</v>
      </c>
      <c r="T1089" t="s">
        <v>44</v>
      </c>
      <c r="U1089" t="s">
        <v>45</v>
      </c>
      <c r="AA1089" t="s">
        <v>93</v>
      </c>
      <c r="AE1089" t="s">
        <v>220</v>
      </c>
      <c r="AG1089" t="s">
        <v>48</v>
      </c>
    </row>
    <row r="1090" spans="1:33" x14ac:dyDescent="0.3">
      <c r="A1090">
        <v>3138</v>
      </c>
      <c r="B1090" t="s">
        <v>6327</v>
      </c>
      <c r="C1090" t="str">
        <f>""</f>
        <v/>
      </c>
      <c r="D1090" t="str">
        <f>"670780S00"</f>
        <v>670780S00</v>
      </c>
      <c r="E1090" s="1">
        <v>37043</v>
      </c>
      <c r="F1090" t="s">
        <v>1977</v>
      </c>
      <c r="G1090" t="e">
        <f>INDEX(#REF!,MATCH(P1090,#REF!,0),1)</f>
        <v>#REF!</v>
      </c>
      <c r="H1090" t="s">
        <v>6328</v>
      </c>
      <c r="J1090" t="s">
        <v>2497</v>
      </c>
      <c r="K1090" t="s">
        <v>835</v>
      </c>
      <c r="L1090" t="s">
        <v>6329</v>
      </c>
      <c r="M1090" t="s">
        <v>6330</v>
      </c>
      <c r="N1090">
        <v>3138</v>
      </c>
      <c r="O1090" t="s">
        <v>1977</v>
      </c>
      <c r="P1090">
        <v>3138</v>
      </c>
      <c r="Q1090" t="s">
        <v>1977</v>
      </c>
      <c r="R1090" t="s">
        <v>228</v>
      </c>
      <c r="S1090" t="s">
        <v>229</v>
      </c>
      <c r="T1090" t="s">
        <v>44</v>
      </c>
      <c r="U1090" t="s">
        <v>45</v>
      </c>
      <c r="AA1090" t="s">
        <v>119</v>
      </c>
      <c r="AE1090" t="s">
        <v>348</v>
      </c>
    </row>
    <row r="1091" spans="1:33" x14ac:dyDescent="0.3">
      <c r="A1091">
        <v>3139</v>
      </c>
      <c r="B1091" t="s">
        <v>6331</v>
      </c>
      <c r="C1091" t="str">
        <f>"1100004380005"</f>
        <v>1100004380005</v>
      </c>
      <c r="D1091" t="str">
        <f>"391460N00"</f>
        <v>391460N00</v>
      </c>
      <c r="E1091" s="1">
        <v>44927</v>
      </c>
      <c r="F1091" t="s">
        <v>6332</v>
      </c>
      <c r="G1091" t="e">
        <f>INDEX(#REF!,MATCH(P1091,#REF!,0),1)</f>
        <v>#REF!</v>
      </c>
      <c r="H1091" t="s">
        <v>6333</v>
      </c>
      <c r="J1091" t="s">
        <v>6334</v>
      </c>
      <c r="K1091" t="s">
        <v>167</v>
      </c>
      <c r="L1091">
        <v>34748</v>
      </c>
      <c r="M1091" t="s">
        <v>6335</v>
      </c>
      <c r="N1091">
        <v>58207</v>
      </c>
      <c r="O1091" t="s">
        <v>374</v>
      </c>
      <c r="P1091">
        <v>818384</v>
      </c>
      <c r="Q1091" t="s">
        <v>6336</v>
      </c>
      <c r="R1091" t="s">
        <v>376</v>
      </c>
      <c r="S1091" t="s">
        <v>377</v>
      </c>
      <c r="T1091" t="s">
        <v>44</v>
      </c>
      <c r="U1091" t="s">
        <v>45</v>
      </c>
      <c r="AA1091" t="s">
        <v>378</v>
      </c>
      <c r="AB1091" t="s">
        <v>105</v>
      </c>
      <c r="AE1091" t="s">
        <v>379</v>
      </c>
    </row>
    <row r="1092" spans="1:33" x14ac:dyDescent="0.3">
      <c r="A1092">
        <v>3142</v>
      </c>
      <c r="B1092" t="s">
        <v>6337</v>
      </c>
      <c r="C1092" t="str">
        <f>"1100005406230"</f>
        <v>1100005406230</v>
      </c>
      <c r="D1092" t="str">
        <f>"630840L00"</f>
        <v>630840L00</v>
      </c>
      <c r="E1092" s="1">
        <v>42795</v>
      </c>
      <c r="F1092" t="s">
        <v>6338</v>
      </c>
      <c r="G1092" t="e">
        <f>INDEX(#REF!,MATCH(P1092,#REF!,0),1)</f>
        <v>#REF!</v>
      </c>
      <c r="H1092" t="s">
        <v>6339</v>
      </c>
      <c r="J1092" t="s">
        <v>951</v>
      </c>
      <c r="K1092" t="s">
        <v>177</v>
      </c>
      <c r="L1092">
        <v>64108</v>
      </c>
      <c r="M1092" t="s">
        <v>6340</v>
      </c>
      <c r="N1092">
        <v>2449841</v>
      </c>
      <c r="O1092" t="s">
        <v>6341</v>
      </c>
      <c r="P1092">
        <v>2449841</v>
      </c>
      <c r="Q1092" t="s">
        <v>6341</v>
      </c>
      <c r="R1092" t="s">
        <v>228</v>
      </c>
      <c r="S1092" t="s">
        <v>229</v>
      </c>
      <c r="T1092" t="s">
        <v>44</v>
      </c>
      <c r="U1092" t="s">
        <v>45</v>
      </c>
      <c r="AA1092" t="s">
        <v>327</v>
      </c>
      <c r="AD1092" t="s">
        <v>94</v>
      </c>
      <c r="AE1092" t="s">
        <v>1522</v>
      </c>
      <c r="AG1092" t="s">
        <v>48</v>
      </c>
    </row>
    <row r="1093" spans="1:33" x14ac:dyDescent="0.3">
      <c r="A1093">
        <v>3147</v>
      </c>
      <c r="B1093" t="s">
        <v>6342</v>
      </c>
      <c r="C1093" t="str">
        <f>""</f>
        <v/>
      </c>
      <c r="D1093" t="str">
        <f>"78VDXEY00"</f>
        <v>78VDXEY00</v>
      </c>
      <c r="E1093" s="1">
        <v>43191</v>
      </c>
      <c r="F1093" t="s">
        <v>6343</v>
      </c>
      <c r="G1093" t="e">
        <f>INDEX(#REF!,MATCH(P1093,#REF!,0),1)</f>
        <v>#REF!</v>
      </c>
      <c r="H1093" t="s">
        <v>6344</v>
      </c>
      <c r="J1093" t="s">
        <v>6345</v>
      </c>
      <c r="K1093" t="s">
        <v>2244</v>
      </c>
      <c r="L1093">
        <v>10901</v>
      </c>
      <c r="M1093" t="s">
        <v>6346</v>
      </c>
      <c r="N1093">
        <v>3259463</v>
      </c>
      <c r="O1093" t="s">
        <v>6347</v>
      </c>
      <c r="P1093">
        <v>3259468</v>
      </c>
      <c r="Q1093" t="s">
        <v>6348</v>
      </c>
      <c r="R1093" t="s">
        <v>1283</v>
      </c>
      <c r="S1093" t="s">
        <v>1284</v>
      </c>
      <c r="T1093" t="s">
        <v>44</v>
      </c>
      <c r="U1093" t="s">
        <v>45</v>
      </c>
      <c r="AE1093" t="s">
        <v>564</v>
      </c>
      <c r="AG1093" t="s">
        <v>48</v>
      </c>
    </row>
    <row r="1094" spans="1:33" x14ac:dyDescent="0.3">
      <c r="A1094">
        <v>3151</v>
      </c>
      <c r="B1094" t="s">
        <v>6349</v>
      </c>
      <c r="C1094" t="str">
        <f>"1100002880200"</f>
        <v>1100002880200</v>
      </c>
      <c r="D1094" t="str">
        <f>""</f>
        <v/>
      </c>
      <c r="E1094" s="1">
        <v>44501</v>
      </c>
      <c r="F1094" t="s">
        <v>6350</v>
      </c>
      <c r="G1094" t="e">
        <f>INDEX(#REF!,MATCH(P1094,#REF!,0),1)</f>
        <v>#REF!</v>
      </c>
      <c r="H1094" t="s">
        <v>6351</v>
      </c>
      <c r="J1094" t="s">
        <v>393</v>
      </c>
      <c r="K1094" t="s">
        <v>342</v>
      </c>
      <c r="L1094" t="s">
        <v>6352</v>
      </c>
      <c r="M1094" t="s">
        <v>3226</v>
      </c>
      <c r="N1094">
        <v>3788511</v>
      </c>
      <c r="O1094" t="s">
        <v>5436</v>
      </c>
      <c r="P1094">
        <v>3788511</v>
      </c>
      <c r="Q1094" t="s">
        <v>5436</v>
      </c>
      <c r="R1094" t="s">
        <v>245</v>
      </c>
      <c r="S1094" t="s">
        <v>246</v>
      </c>
      <c r="T1094" t="s">
        <v>44</v>
      </c>
      <c r="U1094" t="s">
        <v>45</v>
      </c>
    </row>
    <row r="1095" spans="1:33" x14ac:dyDescent="0.3">
      <c r="A1095">
        <v>3158</v>
      </c>
      <c r="B1095" t="s">
        <v>6353</v>
      </c>
      <c r="C1095" t="str">
        <f>""</f>
        <v/>
      </c>
      <c r="D1095" t="str">
        <f>"220590I00"</f>
        <v>220590I00</v>
      </c>
      <c r="E1095" s="1">
        <v>42583</v>
      </c>
      <c r="F1095" t="s">
        <v>6354</v>
      </c>
      <c r="G1095" t="e">
        <f>INDEX(#REF!,MATCH(P1095,#REF!,0),1)</f>
        <v>#REF!</v>
      </c>
      <c r="H1095" t="s">
        <v>6355</v>
      </c>
      <c r="J1095" t="s">
        <v>6356</v>
      </c>
      <c r="K1095" t="s">
        <v>251</v>
      </c>
      <c r="L1095" t="str">
        <f>"07740"</f>
        <v>07740</v>
      </c>
      <c r="M1095" t="s">
        <v>6357</v>
      </c>
      <c r="N1095">
        <v>3209841</v>
      </c>
      <c r="O1095" t="s">
        <v>410</v>
      </c>
      <c r="P1095">
        <v>3209841</v>
      </c>
      <c r="Q1095" t="s">
        <v>410</v>
      </c>
      <c r="R1095" t="s">
        <v>411</v>
      </c>
      <c r="S1095" t="s">
        <v>412</v>
      </c>
      <c r="T1095" t="s">
        <v>44</v>
      </c>
      <c r="U1095" t="s">
        <v>45</v>
      </c>
      <c r="Y1095" t="s">
        <v>46</v>
      </c>
      <c r="Z1095" s="1">
        <v>45170</v>
      </c>
      <c r="AE1095" t="s">
        <v>47</v>
      </c>
      <c r="AG1095" t="s">
        <v>48</v>
      </c>
    </row>
    <row r="1096" spans="1:33" x14ac:dyDescent="0.3">
      <c r="A1096">
        <v>3159</v>
      </c>
      <c r="B1096" t="s">
        <v>6358</v>
      </c>
      <c r="C1096" t="str">
        <f>"1100002412166"</f>
        <v>1100002412166</v>
      </c>
      <c r="D1096" t="str">
        <f>"860050J00"</f>
        <v>860050J00</v>
      </c>
      <c r="E1096" s="1">
        <v>45642</v>
      </c>
      <c r="F1096" t="s">
        <v>6359</v>
      </c>
      <c r="G1096" t="e">
        <f>INDEX(#REF!,MATCH(P1096,#REF!,0),1)</f>
        <v>#REF!</v>
      </c>
      <c r="H1096" t="s">
        <v>6360</v>
      </c>
      <c r="J1096" t="s">
        <v>6361</v>
      </c>
      <c r="K1096" t="s">
        <v>577</v>
      </c>
      <c r="L1096" t="s">
        <v>6362</v>
      </c>
      <c r="M1096" t="s">
        <v>6363</v>
      </c>
      <c r="N1096">
        <v>3420970</v>
      </c>
      <c r="O1096" t="s">
        <v>1181</v>
      </c>
      <c r="P1096">
        <v>3420970</v>
      </c>
      <c r="Q1096" t="s">
        <v>1181</v>
      </c>
      <c r="R1096" t="s">
        <v>245</v>
      </c>
      <c r="S1096" t="s">
        <v>246</v>
      </c>
      <c r="T1096" t="s">
        <v>44</v>
      </c>
      <c r="U1096" t="s">
        <v>45</v>
      </c>
    </row>
    <row r="1097" spans="1:33" x14ac:dyDescent="0.3">
      <c r="A1097">
        <v>3160</v>
      </c>
      <c r="B1097" t="s">
        <v>6364</v>
      </c>
      <c r="C1097" t="str">
        <f>""</f>
        <v/>
      </c>
      <c r="D1097" t="str">
        <f>"360870O00"</f>
        <v>360870O00</v>
      </c>
      <c r="E1097" s="1">
        <v>43556</v>
      </c>
      <c r="F1097" t="s">
        <v>6365</v>
      </c>
      <c r="G1097" t="e">
        <f>INDEX(#REF!,MATCH(P1097,#REF!,0),1)</f>
        <v>#REF!</v>
      </c>
      <c r="H1097" t="s">
        <v>6366</v>
      </c>
      <c r="J1097" t="s">
        <v>371</v>
      </c>
      <c r="K1097" t="s">
        <v>384</v>
      </c>
      <c r="L1097">
        <v>28540</v>
      </c>
      <c r="M1097" t="s">
        <v>6367</v>
      </c>
      <c r="N1097">
        <v>2627538</v>
      </c>
      <c r="O1097" t="s">
        <v>4554</v>
      </c>
      <c r="P1097">
        <v>2623967</v>
      </c>
      <c r="Q1097" t="s">
        <v>6365</v>
      </c>
      <c r="R1097" t="s">
        <v>679</v>
      </c>
      <c r="S1097" t="s">
        <v>680</v>
      </c>
      <c r="T1097" t="s">
        <v>44</v>
      </c>
      <c r="U1097" t="s">
        <v>45</v>
      </c>
      <c r="AA1097" t="s">
        <v>93</v>
      </c>
      <c r="AG1097" t="s">
        <v>48</v>
      </c>
    </row>
    <row r="1098" spans="1:33" x14ac:dyDescent="0.3">
      <c r="A1098">
        <v>3165</v>
      </c>
      <c r="B1098" t="s">
        <v>6368</v>
      </c>
      <c r="C1098" t="str">
        <f>""</f>
        <v/>
      </c>
      <c r="D1098" t="str">
        <f>""</f>
        <v/>
      </c>
      <c r="E1098" s="1">
        <v>42614</v>
      </c>
      <c r="F1098" t="s">
        <v>6369</v>
      </c>
      <c r="G1098" t="e">
        <f>INDEX(#REF!,MATCH(P1098,#REF!,0),1)</f>
        <v>#REF!</v>
      </c>
      <c r="H1098" t="s">
        <v>6370</v>
      </c>
      <c r="J1098" t="s">
        <v>1002</v>
      </c>
      <c r="K1098" t="s">
        <v>982</v>
      </c>
      <c r="L1098" t="s">
        <v>6371</v>
      </c>
      <c r="M1098" t="s">
        <v>6372</v>
      </c>
      <c r="N1098">
        <v>3165</v>
      </c>
      <c r="O1098" t="s">
        <v>6369</v>
      </c>
      <c r="P1098">
        <v>3165</v>
      </c>
      <c r="Q1098" t="s">
        <v>6369</v>
      </c>
      <c r="R1098" t="s">
        <v>6373</v>
      </c>
      <c r="S1098" t="s">
        <v>6374</v>
      </c>
      <c r="T1098" t="s">
        <v>44</v>
      </c>
      <c r="U1098" t="s">
        <v>3640</v>
      </c>
    </row>
    <row r="1099" spans="1:33" x14ac:dyDescent="0.3">
      <c r="A1099">
        <v>3171</v>
      </c>
      <c r="B1099" t="s">
        <v>6375</v>
      </c>
      <c r="C1099" t="str">
        <f>""</f>
        <v/>
      </c>
      <c r="D1099" t="str">
        <f>"A2TC2J200"</f>
        <v>A2TC2J200</v>
      </c>
      <c r="E1099" s="1">
        <v>45642</v>
      </c>
      <c r="F1099" t="s">
        <v>6376</v>
      </c>
      <c r="G1099" t="e">
        <f>INDEX(#REF!,MATCH(P1099,#REF!,0),1)</f>
        <v>#REF!</v>
      </c>
      <c r="H1099" t="s">
        <v>6377</v>
      </c>
      <c r="J1099" t="s">
        <v>6378</v>
      </c>
      <c r="K1099" t="s">
        <v>111</v>
      </c>
      <c r="L1099" t="s">
        <v>6379</v>
      </c>
      <c r="M1099" t="s">
        <v>6380</v>
      </c>
      <c r="N1099">
        <v>3420970</v>
      </c>
      <c r="O1099" t="s">
        <v>1181</v>
      </c>
      <c r="P1099">
        <v>3420970</v>
      </c>
      <c r="Q1099" t="s">
        <v>1181</v>
      </c>
      <c r="R1099" t="s">
        <v>245</v>
      </c>
      <c r="S1099" t="s">
        <v>246</v>
      </c>
      <c r="T1099" t="s">
        <v>44</v>
      </c>
      <c r="U1099" t="s">
        <v>45</v>
      </c>
    </row>
    <row r="1100" spans="1:33" x14ac:dyDescent="0.3">
      <c r="A1100">
        <v>3172</v>
      </c>
      <c r="B1100" t="s">
        <v>6381</v>
      </c>
      <c r="C1100" t="str">
        <f>""</f>
        <v/>
      </c>
      <c r="D1100" t="str">
        <f>"220130800"</f>
        <v>220130800</v>
      </c>
      <c r="E1100" s="1">
        <v>42583</v>
      </c>
      <c r="F1100" t="s">
        <v>6382</v>
      </c>
      <c r="G1100" t="e">
        <f>INDEX(#REF!,MATCH(P1100,#REF!,0),1)</f>
        <v>#REF!</v>
      </c>
      <c r="H1100" t="s">
        <v>6383</v>
      </c>
      <c r="J1100" t="s">
        <v>4365</v>
      </c>
      <c r="K1100" t="s">
        <v>251</v>
      </c>
      <c r="L1100" t="str">
        <f>"08103"</f>
        <v>08103</v>
      </c>
      <c r="M1100" t="s">
        <v>6384</v>
      </c>
      <c r="N1100">
        <v>2623310</v>
      </c>
      <c r="O1100" t="s">
        <v>6385</v>
      </c>
      <c r="P1100">
        <v>2623310</v>
      </c>
      <c r="Q1100" t="s">
        <v>6385</v>
      </c>
      <c r="R1100" t="s">
        <v>909</v>
      </c>
      <c r="S1100" t="s">
        <v>910</v>
      </c>
      <c r="T1100" t="s">
        <v>44</v>
      </c>
      <c r="U1100" t="s">
        <v>45</v>
      </c>
      <c r="AA1100" t="s">
        <v>119</v>
      </c>
      <c r="AE1100" t="s">
        <v>120</v>
      </c>
      <c r="AG1100" t="s">
        <v>48</v>
      </c>
    </row>
    <row r="1101" spans="1:33" x14ac:dyDescent="0.3">
      <c r="A1101">
        <v>3184</v>
      </c>
      <c r="B1101" t="s">
        <v>6386</v>
      </c>
      <c r="C1101" t="str">
        <f>""</f>
        <v/>
      </c>
      <c r="D1101" t="str">
        <f>"220520B00"</f>
        <v>220520B00</v>
      </c>
      <c r="E1101" s="1">
        <v>42583</v>
      </c>
      <c r="F1101" t="s">
        <v>6387</v>
      </c>
      <c r="G1101" t="e">
        <f>INDEX(#REF!,MATCH(P1101,#REF!,0),1)</f>
        <v>#REF!</v>
      </c>
      <c r="H1101" t="s">
        <v>6388</v>
      </c>
      <c r="J1101" t="s">
        <v>906</v>
      </c>
      <c r="K1101" t="s">
        <v>251</v>
      </c>
      <c r="L1101" t="str">
        <f>"07302"</f>
        <v>07302</v>
      </c>
      <c r="M1101" t="s">
        <v>6389</v>
      </c>
      <c r="N1101">
        <v>57785</v>
      </c>
      <c r="O1101" t="s">
        <v>6390</v>
      </c>
      <c r="P1101">
        <v>57785</v>
      </c>
      <c r="Q1101" t="s">
        <v>6390</v>
      </c>
      <c r="R1101" t="s">
        <v>254</v>
      </c>
      <c r="S1101" t="s">
        <v>255</v>
      </c>
      <c r="T1101" t="s">
        <v>44</v>
      </c>
      <c r="U1101" t="s">
        <v>45</v>
      </c>
    </row>
    <row r="1102" spans="1:33" x14ac:dyDescent="0.3">
      <c r="A1102">
        <v>3185</v>
      </c>
      <c r="B1102" t="s">
        <v>6391</v>
      </c>
      <c r="C1102" t="str">
        <f>"1100003033896"</f>
        <v>1100003033896</v>
      </c>
      <c r="D1102" t="str">
        <f>"610190H00"</f>
        <v>610190H00</v>
      </c>
      <c r="E1102" s="1">
        <v>38733</v>
      </c>
      <c r="F1102" t="s">
        <v>6392</v>
      </c>
      <c r="G1102" t="e">
        <f>INDEX(#REF!,MATCH(P1102,#REF!,0),1)</f>
        <v>#REF!</v>
      </c>
      <c r="H1102" t="s">
        <v>6393</v>
      </c>
      <c r="J1102" t="s">
        <v>4496</v>
      </c>
      <c r="K1102" t="s">
        <v>283</v>
      </c>
      <c r="L1102" t="s">
        <v>6394</v>
      </c>
      <c r="M1102" t="s">
        <v>6395</v>
      </c>
      <c r="N1102">
        <v>111033</v>
      </c>
      <c r="O1102" t="s">
        <v>3211</v>
      </c>
      <c r="P1102">
        <v>111033</v>
      </c>
      <c r="Q1102" t="s">
        <v>3211</v>
      </c>
      <c r="R1102" t="s">
        <v>611</v>
      </c>
      <c r="S1102" t="s">
        <v>612</v>
      </c>
      <c r="T1102" t="s">
        <v>44</v>
      </c>
      <c r="U1102" t="s">
        <v>45</v>
      </c>
      <c r="AD1102" t="s">
        <v>94</v>
      </c>
    </row>
    <row r="1103" spans="1:33" x14ac:dyDescent="0.3">
      <c r="A1103">
        <v>3192</v>
      </c>
      <c r="B1103" t="s">
        <v>6396</v>
      </c>
      <c r="C1103" t="str">
        <f>"1100003264283"</f>
        <v>1100003264283</v>
      </c>
      <c r="D1103" t="str">
        <f>"431890P00"</f>
        <v>431890P00</v>
      </c>
      <c r="E1103" s="1">
        <v>32509</v>
      </c>
      <c r="F1103" t="s">
        <v>6397</v>
      </c>
      <c r="G1103" t="e">
        <f>INDEX(#REF!,MATCH(P1103,#REF!,0),1)</f>
        <v>#REF!</v>
      </c>
      <c r="H1103" t="s">
        <v>6398</v>
      </c>
      <c r="J1103" t="s">
        <v>6399</v>
      </c>
      <c r="K1103" t="s">
        <v>342</v>
      </c>
      <c r="L1103">
        <v>60153</v>
      </c>
      <c r="M1103" t="s">
        <v>6400</v>
      </c>
      <c r="N1103">
        <v>3192</v>
      </c>
      <c r="O1103" t="s">
        <v>6397</v>
      </c>
      <c r="P1103">
        <v>3192</v>
      </c>
      <c r="Q1103" t="s">
        <v>6397</v>
      </c>
      <c r="R1103" t="s">
        <v>492</v>
      </c>
      <c r="S1103" t="s">
        <v>493</v>
      </c>
      <c r="T1103" t="s">
        <v>44</v>
      </c>
      <c r="U1103" t="s">
        <v>45</v>
      </c>
      <c r="AG1103" t="s">
        <v>48</v>
      </c>
    </row>
    <row r="1104" spans="1:33" x14ac:dyDescent="0.3">
      <c r="A1104">
        <v>3199</v>
      </c>
      <c r="B1104" t="s">
        <v>6401</v>
      </c>
      <c r="C1104" t="str">
        <f>""</f>
        <v/>
      </c>
      <c r="D1104" t="str">
        <f>"431120B00"</f>
        <v>431120B00</v>
      </c>
      <c r="E1104" s="1">
        <v>44501</v>
      </c>
      <c r="F1104" t="s">
        <v>6402</v>
      </c>
      <c r="G1104" t="e">
        <f>INDEX(#REF!,MATCH(P1104,#REF!,0),1)</f>
        <v>#REF!</v>
      </c>
      <c r="H1104" t="s">
        <v>6403</v>
      </c>
      <c r="J1104" t="s">
        <v>6404</v>
      </c>
      <c r="K1104" t="s">
        <v>342</v>
      </c>
      <c r="L1104">
        <v>60016</v>
      </c>
      <c r="M1104" t="s">
        <v>6405</v>
      </c>
      <c r="N1104">
        <v>3788511</v>
      </c>
      <c r="O1104" t="s">
        <v>5436</v>
      </c>
      <c r="P1104">
        <v>3788511</v>
      </c>
      <c r="Q1104" t="s">
        <v>5436</v>
      </c>
      <c r="R1104" t="s">
        <v>245</v>
      </c>
      <c r="S1104" t="s">
        <v>246</v>
      </c>
      <c r="T1104" t="s">
        <v>44</v>
      </c>
      <c r="U1104" t="s">
        <v>45</v>
      </c>
    </row>
    <row r="1105" spans="1:33" x14ac:dyDescent="0.3">
      <c r="A1105">
        <v>3215</v>
      </c>
      <c r="B1105" t="s">
        <v>6406</v>
      </c>
      <c r="C1105" t="str">
        <f>""</f>
        <v/>
      </c>
      <c r="D1105" t="str">
        <f>"621410E00"</f>
        <v>621410E00</v>
      </c>
      <c r="E1105" s="1">
        <v>44409</v>
      </c>
      <c r="F1105" t="s">
        <v>6407</v>
      </c>
      <c r="G1105" t="e">
        <f>INDEX(#REF!,MATCH(P1105,#REF!,0),1)</f>
        <v>#REF!</v>
      </c>
      <c r="H1105" t="s">
        <v>6408</v>
      </c>
      <c r="J1105" t="s">
        <v>6409</v>
      </c>
      <c r="K1105" t="s">
        <v>1603</v>
      </c>
      <c r="L1105" t="s">
        <v>6410</v>
      </c>
      <c r="M1105" t="s">
        <v>6411</v>
      </c>
      <c r="N1105">
        <v>3215</v>
      </c>
      <c r="O1105" t="s">
        <v>6407</v>
      </c>
      <c r="P1105">
        <v>3215</v>
      </c>
      <c r="Q1105" t="s">
        <v>6407</v>
      </c>
      <c r="R1105" t="s">
        <v>1046</v>
      </c>
      <c r="S1105" t="s">
        <v>1047</v>
      </c>
      <c r="T1105" t="s">
        <v>44</v>
      </c>
      <c r="U1105" t="s">
        <v>45</v>
      </c>
      <c r="AA1105" t="s">
        <v>211</v>
      </c>
    </row>
    <row r="1106" spans="1:33" x14ac:dyDescent="0.3">
      <c r="A1106">
        <v>3228</v>
      </c>
      <c r="B1106" t="s">
        <v>6412</v>
      </c>
      <c r="C1106" t="str">
        <f>""</f>
        <v/>
      </c>
      <c r="D1106" t="str">
        <f>"74T66DT00"</f>
        <v>74T66DT00</v>
      </c>
      <c r="E1106" s="1">
        <v>34442</v>
      </c>
      <c r="F1106" t="s">
        <v>6413</v>
      </c>
      <c r="G1106" t="e">
        <f>INDEX(#REF!,MATCH(P1106,#REF!,0),1)</f>
        <v>#REF!</v>
      </c>
      <c r="H1106" t="s">
        <v>6414</v>
      </c>
      <c r="J1106" t="s">
        <v>6415</v>
      </c>
      <c r="K1106" t="s">
        <v>99</v>
      </c>
      <c r="L1106" t="s">
        <v>6416</v>
      </c>
      <c r="M1106" t="s">
        <v>6417</v>
      </c>
      <c r="N1106">
        <v>2625226</v>
      </c>
      <c r="O1106" t="s">
        <v>2109</v>
      </c>
      <c r="P1106">
        <v>1414</v>
      </c>
      <c r="Q1106" t="s">
        <v>3659</v>
      </c>
      <c r="R1106" t="s">
        <v>434</v>
      </c>
      <c r="S1106" t="s">
        <v>435</v>
      </c>
      <c r="T1106" t="s">
        <v>2277</v>
      </c>
      <c r="U1106" t="s">
        <v>2278</v>
      </c>
    </row>
    <row r="1107" spans="1:33" x14ac:dyDescent="0.3">
      <c r="A1107">
        <v>3229</v>
      </c>
      <c r="B1107" t="s">
        <v>6418</v>
      </c>
      <c r="C1107" t="str">
        <f>"1100002407094"</f>
        <v>1100002407094</v>
      </c>
      <c r="D1107" t="str">
        <f>"EE460PR00"</f>
        <v>EE460PR00</v>
      </c>
      <c r="E1107" s="1">
        <v>34460</v>
      </c>
      <c r="F1107" t="s">
        <v>6419</v>
      </c>
      <c r="G1107" t="e">
        <f>INDEX(#REF!,MATCH(P1107,#REF!,0),1)</f>
        <v>#REF!</v>
      </c>
      <c r="H1107" t="s">
        <v>6420</v>
      </c>
      <c r="J1107" t="s">
        <v>1478</v>
      </c>
      <c r="K1107" t="s">
        <v>307</v>
      </c>
      <c r="L1107" t="s">
        <v>6421</v>
      </c>
      <c r="M1107" t="s">
        <v>6422</v>
      </c>
      <c r="N1107">
        <v>36874</v>
      </c>
      <c r="O1107" t="s">
        <v>710</v>
      </c>
      <c r="P1107">
        <v>401</v>
      </c>
      <c r="Q1107" t="s">
        <v>1476</v>
      </c>
      <c r="R1107" t="s">
        <v>3807</v>
      </c>
      <c r="S1107" t="s">
        <v>3808</v>
      </c>
      <c r="T1107" t="s">
        <v>2140</v>
      </c>
      <c r="U1107" t="s">
        <v>2141</v>
      </c>
      <c r="V1107" t="s">
        <v>1824</v>
      </c>
      <c r="AD1107" t="s">
        <v>94</v>
      </c>
      <c r="AE1107" t="s">
        <v>60</v>
      </c>
      <c r="AG1107" t="s">
        <v>48</v>
      </c>
    </row>
    <row r="1108" spans="1:33" x14ac:dyDescent="0.3">
      <c r="A1108">
        <v>3230</v>
      </c>
      <c r="B1108" t="s">
        <v>6423</v>
      </c>
      <c r="C1108" t="str">
        <f>""</f>
        <v/>
      </c>
      <c r="D1108" t="str">
        <f>"451600GF2"</f>
        <v>451600GF2</v>
      </c>
      <c r="E1108" s="1">
        <v>34382</v>
      </c>
      <c r="F1108" t="s">
        <v>6424</v>
      </c>
      <c r="G1108" t="e">
        <f>INDEX(#REF!,MATCH(P1108,#REF!,0),1)</f>
        <v>#REF!</v>
      </c>
      <c r="H1108" t="s">
        <v>2724</v>
      </c>
      <c r="J1108" t="s">
        <v>1490</v>
      </c>
      <c r="K1108" t="s">
        <v>208</v>
      </c>
      <c r="L1108" t="s">
        <v>6425</v>
      </c>
      <c r="M1108" t="s">
        <v>6426</v>
      </c>
      <c r="N1108">
        <v>405</v>
      </c>
      <c r="O1108" t="s">
        <v>1488</v>
      </c>
      <c r="P1108">
        <v>768</v>
      </c>
      <c r="Q1108" t="s">
        <v>2723</v>
      </c>
      <c r="R1108" t="s">
        <v>3159</v>
      </c>
      <c r="S1108" t="s">
        <v>3160</v>
      </c>
      <c r="T1108" t="s">
        <v>2140</v>
      </c>
      <c r="U1108" t="s">
        <v>2141</v>
      </c>
      <c r="V1108" t="s">
        <v>1824</v>
      </c>
      <c r="AA1108" t="s">
        <v>119</v>
      </c>
      <c r="AE1108" t="s">
        <v>120</v>
      </c>
    </row>
    <row r="1109" spans="1:33" x14ac:dyDescent="0.3">
      <c r="A1109">
        <v>3234</v>
      </c>
      <c r="B1109" t="s">
        <v>6427</v>
      </c>
      <c r="C1109" t="str">
        <f>""</f>
        <v/>
      </c>
      <c r="D1109" t="str">
        <f>"L1QLBPX00"</f>
        <v>L1QLBPX00</v>
      </c>
      <c r="E1109" s="1">
        <v>34383</v>
      </c>
      <c r="F1109" t="s">
        <v>6428</v>
      </c>
      <c r="G1109" t="e">
        <f>INDEX(#REF!,MATCH(P1109,#REF!,0),1)</f>
        <v>#REF!</v>
      </c>
      <c r="H1109" t="s">
        <v>6429</v>
      </c>
      <c r="J1109" t="s">
        <v>3893</v>
      </c>
      <c r="K1109" t="s">
        <v>676</v>
      </c>
      <c r="L1109" t="s">
        <v>3894</v>
      </c>
      <c r="M1109" t="s">
        <v>6430</v>
      </c>
      <c r="N1109">
        <v>284</v>
      </c>
      <c r="O1109" t="s">
        <v>925</v>
      </c>
      <c r="P1109">
        <v>284</v>
      </c>
      <c r="Q1109" t="s">
        <v>925</v>
      </c>
      <c r="R1109" t="s">
        <v>3159</v>
      </c>
      <c r="S1109" t="s">
        <v>3160</v>
      </c>
      <c r="T1109" t="s">
        <v>2277</v>
      </c>
      <c r="U1109" t="s">
        <v>5497</v>
      </c>
      <c r="V1109" t="s">
        <v>1824</v>
      </c>
      <c r="AA1109" t="s">
        <v>105</v>
      </c>
      <c r="AE1109" t="s">
        <v>106</v>
      </c>
    </row>
    <row r="1110" spans="1:33" x14ac:dyDescent="0.3">
      <c r="A1110">
        <v>3235</v>
      </c>
      <c r="B1110" t="s">
        <v>6431</v>
      </c>
      <c r="C1110" t="str">
        <f>"1100003006258"</f>
        <v>1100003006258</v>
      </c>
      <c r="D1110" t="str">
        <f>"AL2P9LG00"</f>
        <v>AL2P9LG00</v>
      </c>
      <c r="E1110" s="1">
        <v>34508</v>
      </c>
      <c r="F1110" t="s">
        <v>6432</v>
      </c>
      <c r="G1110" t="e">
        <f>INDEX(#REF!,MATCH(P1110,#REF!,0),1)</f>
        <v>#REF!</v>
      </c>
      <c r="H1110" t="s">
        <v>6433</v>
      </c>
      <c r="J1110" t="s">
        <v>1615</v>
      </c>
      <c r="K1110" t="s">
        <v>727</v>
      </c>
      <c r="L1110" t="s">
        <v>6434</v>
      </c>
      <c r="M1110" t="s">
        <v>6435</v>
      </c>
      <c r="N1110">
        <v>43715</v>
      </c>
      <c r="O1110" t="s">
        <v>1591</v>
      </c>
      <c r="P1110">
        <v>448</v>
      </c>
      <c r="Q1110" t="s">
        <v>1613</v>
      </c>
      <c r="R1110" t="s">
        <v>3139</v>
      </c>
      <c r="S1110" t="s">
        <v>3140</v>
      </c>
      <c r="T1110" t="s">
        <v>2140</v>
      </c>
      <c r="U1110" t="s">
        <v>2141</v>
      </c>
      <c r="V1110" t="s">
        <v>1824</v>
      </c>
      <c r="AA1110" t="s">
        <v>328</v>
      </c>
      <c r="AB1110" t="s">
        <v>327</v>
      </c>
      <c r="AE1110" t="s">
        <v>1522</v>
      </c>
    </row>
    <row r="1111" spans="1:33" x14ac:dyDescent="0.3">
      <c r="A1111">
        <v>3236</v>
      </c>
      <c r="B1111" t="s">
        <v>6436</v>
      </c>
      <c r="C1111" t="str">
        <f>"1100003190001"</f>
        <v>1100003190001</v>
      </c>
      <c r="D1111" t="str">
        <f>"2XAK8FG00"</f>
        <v>2XAK8FG00</v>
      </c>
      <c r="E1111" s="1">
        <v>34424</v>
      </c>
      <c r="F1111" t="s">
        <v>6437</v>
      </c>
      <c r="G1111" t="e">
        <f>INDEX(#REF!,MATCH(P1111,#REF!,0),1)</f>
        <v>#REF!</v>
      </c>
      <c r="H1111" t="s">
        <v>6438</v>
      </c>
      <c r="J1111" t="s">
        <v>1063</v>
      </c>
      <c r="K1111" t="s">
        <v>261</v>
      </c>
      <c r="L1111" t="s">
        <v>6439</v>
      </c>
      <c r="M1111" t="s">
        <v>6440</v>
      </c>
      <c r="N1111">
        <v>275</v>
      </c>
      <c r="O1111" t="s">
        <v>1061</v>
      </c>
      <c r="P1111">
        <v>275</v>
      </c>
      <c r="Q1111" t="s">
        <v>1061</v>
      </c>
      <c r="R1111" t="s">
        <v>3159</v>
      </c>
      <c r="S1111" t="s">
        <v>3160</v>
      </c>
      <c r="T1111" t="s">
        <v>117</v>
      </c>
      <c r="U1111" t="s">
        <v>2479</v>
      </c>
      <c r="V1111" t="s">
        <v>1824</v>
      </c>
    </row>
    <row r="1112" spans="1:33" x14ac:dyDescent="0.3">
      <c r="A1112">
        <v>3240</v>
      </c>
      <c r="B1112" t="s">
        <v>6441</v>
      </c>
      <c r="C1112" t="str">
        <f>""</f>
        <v/>
      </c>
      <c r="D1112" t="str">
        <f>"KKYXMQB00"</f>
        <v>KKYXMQB00</v>
      </c>
      <c r="E1112" s="1">
        <v>42583</v>
      </c>
      <c r="F1112" t="s">
        <v>6442</v>
      </c>
      <c r="G1112" t="e">
        <f>INDEX(#REF!,MATCH(P1112,#REF!,0),1)</f>
        <v>#REF!</v>
      </c>
      <c r="H1112" t="s">
        <v>6443</v>
      </c>
      <c r="J1112" t="s">
        <v>935</v>
      </c>
      <c r="K1112" t="s">
        <v>65</v>
      </c>
      <c r="L1112">
        <v>15143</v>
      </c>
      <c r="M1112" t="s">
        <v>6444</v>
      </c>
      <c r="N1112">
        <v>866167</v>
      </c>
      <c r="O1112" t="s">
        <v>938</v>
      </c>
      <c r="P1112">
        <v>237</v>
      </c>
      <c r="Q1112" t="s">
        <v>933</v>
      </c>
      <c r="R1112" t="s">
        <v>940</v>
      </c>
      <c r="S1112" t="s">
        <v>941</v>
      </c>
      <c r="T1112" t="s">
        <v>117</v>
      </c>
      <c r="U1112" t="s">
        <v>2479</v>
      </c>
    </row>
    <row r="1113" spans="1:33" x14ac:dyDescent="0.3">
      <c r="A1113">
        <v>3253</v>
      </c>
      <c r="B1113" t="s">
        <v>6445</v>
      </c>
      <c r="C1113" t="str">
        <f>"1100004858467"</f>
        <v>1100004858467</v>
      </c>
      <c r="D1113" t="str">
        <f>"231280G00"</f>
        <v>231280G00</v>
      </c>
      <c r="E1113" s="1">
        <v>42583</v>
      </c>
      <c r="F1113" t="s">
        <v>6446</v>
      </c>
      <c r="G1113" t="e">
        <f>INDEX(#REF!,MATCH(P1113,#REF!,0),1)</f>
        <v>#REF!</v>
      </c>
      <c r="H1113" t="s">
        <v>6447</v>
      </c>
      <c r="J1113" t="s">
        <v>6448</v>
      </c>
      <c r="K1113" t="s">
        <v>65</v>
      </c>
      <c r="L1113">
        <v>17044</v>
      </c>
      <c r="M1113" t="s">
        <v>6449</v>
      </c>
      <c r="N1113">
        <v>2472612</v>
      </c>
      <c r="O1113" t="s">
        <v>2340</v>
      </c>
      <c r="P1113">
        <v>31304</v>
      </c>
      <c r="Q1113" t="s">
        <v>2522</v>
      </c>
      <c r="R1113" t="s">
        <v>2523</v>
      </c>
      <c r="S1113" t="s">
        <v>2524</v>
      </c>
      <c r="T1113" t="s">
        <v>44</v>
      </c>
      <c r="U1113" t="s">
        <v>45</v>
      </c>
      <c r="Y1113" t="s">
        <v>46</v>
      </c>
      <c r="Z1113" s="1">
        <v>44621</v>
      </c>
      <c r="AE1113" t="s">
        <v>47</v>
      </c>
    </row>
    <row r="1114" spans="1:33" x14ac:dyDescent="0.3">
      <c r="A1114">
        <v>3261</v>
      </c>
      <c r="B1114" t="s">
        <v>6450</v>
      </c>
      <c r="C1114" t="str">
        <f>"1200144141983"</f>
        <v>1200144141983</v>
      </c>
      <c r="D1114" t="str">
        <f>"411520D00"</f>
        <v>411520D00</v>
      </c>
      <c r="E1114" s="1">
        <v>43222</v>
      </c>
      <c r="F1114" t="s">
        <v>6451</v>
      </c>
      <c r="G1114" t="e">
        <f>INDEX(#REF!,MATCH(P1114,#REF!,0),1)</f>
        <v>#REF!</v>
      </c>
      <c r="H1114" t="s">
        <v>6452</v>
      </c>
      <c r="J1114" t="s">
        <v>1795</v>
      </c>
      <c r="K1114" t="s">
        <v>37</v>
      </c>
      <c r="L1114" t="s">
        <v>6453</v>
      </c>
      <c r="M1114" t="s">
        <v>6454</v>
      </c>
      <c r="N1114">
        <v>3261</v>
      </c>
      <c r="O1114" t="s">
        <v>6451</v>
      </c>
      <c r="P1114">
        <v>3261</v>
      </c>
      <c r="Q1114" t="s">
        <v>6451</v>
      </c>
      <c r="R1114" t="s">
        <v>245</v>
      </c>
      <c r="S1114" t="s">
        <v>246</v>
      </c>
      <c r="T1114" t="s">
        <v>44</v>
      </c>
      <c r="U1114" t="s">
        <v>45</v>
      </c>
      <c r="AA1114" t="s">
        <v>119</v>
      </c>
      <c r="AC1114" t="s">
        <v>1529</v>
      </c>
      <c r="AE1114" t="s">
        <v>120</v>
      </c>
    </row>
    <row r="1115" spans="1:33" x14ac:dyDescent="0.3">
      <c r="A1115">
        <v>3265</v>
      </c>
      <c r="B1115" t="s">
        <v>6455</v>
      </c>
      <c r="C1115" t="str">
        <f>"1100005435902"</f>
        <v>1100005435902</v>
      </c>
      <c r="D1115" t="str">
        <f>"380160I00"</f>
        <v>380160I00</v>
      </c>
      <c r="E1115" s="1">
        <v>33604</v>
      </c>
      <c r="F1115" t="s">
        <v>6456</v>
      </c>
      <c r="G1115" t="e">
        <f>INDEX(#REF!,MATCH(P1115,#REF!,0),1)</f>
        <v>#REF!</v>
      </c>
      <c r="H1115" t="s">
        <v>6457</v>
      </c>
      <c r="J1115" t="s">
        <v>1510</v>
      </c>
      <c r="K1115" t="s">
        <v>99</v>
      </c>
      <c r="L1115">
        <v>30308</v>
      </c>
      <c r="M1115" t="s">
        <v>6458</v>
      </c>
      <c r="N1115">
        <v>41456</v>
      </c>
      <c r="O1115" t="s">
        <v>1835</v>
      </c>
      <c r="P1115">
        <v>41456</v>
      </c>
      <c r="Q1115" t="s">
        <v>1835</v>
      </c>
      <c r="R1115" t="s">
        <v>1799</v>
      </c>
      <c r="S1115" t="s">
        <v>1800</v>
      </c>
      <c r="T1115" t="s">
        <v>44</v>
      </c>
      <c r="U1115" t="s">
        <v>45</v>
      </c>
      <c r="AA1115" t="s">
        <v>219</v>
      </c>
      <c r="AG1115" t="s">
        <v>48</v>
      </c>
    </row>
    <row r="1116" spans="1:33" x14ac:dyDescent="0.3">
      <c r="A1116">
        <v>3267</v>
      </c>
      <c r="B1116" t="s">
        <v>6459</v>
      </c>
      <c r="C1116" t="str">
        <f>"1100003765513"</f>
        <v>1100003765513</v>
      </c>
      <c r="D1116" t="str">
        <f>"450040D00"</f>
        <v>450040D00</v>
      </c>
      <c r="E1116" s="1">
        <v>35766</v>
      </c>
      <c r="F1116" t="s">
        <v>6460</v>
      </c>
      <c r="G1116" t="e">
        <f>INDEX(#REF!,MATCH(P1116,#REF!,0),1)</f>
        <v>#REF!</v>
      </c>
      <c r="H1116" t="s">
        <v>6461</v>
      </c>
      <c r="J1116" t="s">
        <v>6462</v>
      </c>
      <c r="K1116" t="s">
        <v>208</v>
      </c>
      <c r="L1116" t="s">
        <v>6463</v>
      </c>
      <c r="M1116" t="s">
        <v>6464</v>
      </c>
      <c r="N1116">
        <v>711504</v>
      </c>
      <c r="O1116" t="s">
        <v>737</v>
      </c>
      <c r="P1116">
        <v>39661</v>
      </c>
      <c r="Q1116" t="s">
        <v>738</v>
      </c>
      <c r="R1116" t="s">
        <v>711</v>
      </c>
      <c r="S1116" t="s">
        <v>712</v>
      </c>
      <c r="T1116" t="s">
        <v>44</v>
      </c>
      <c r="U1116" t="s">
        <v>45</v>
      </c>
      <c r="AA1116" t="s">
        <v>119</v>
      </c>
      <c r="AE1116" t="s">
        <v>120</v>
      </c>
      <c r="AG1116" t="s">
        <v>48</v>
      </c>
    </row>
    <row r="1117" spans="1:33" x14ac:dyDescent="0.3">
      <c r="A1117">
        <v>3269</v>
      </c>
      <c r="B1117" t="s">
        <v>6465</v>
      </c>
      <c r="C1117" t="str">
        <f>"1100002701802"</f>
        <v>1100002701802</v>
      </c>
      <c r="D1117" t="str">
        <f>"360440H00"</f>
        <v>360440H00</v>
      </c>
      <c r="E1117" s="1">
        <v>42583</v>
      </c>
      <c r="F1117" t="s">
        <v>6466</v>
      </c>
      <c r="G1117" t="e">
        <f>INDEX(#REF!,MATCH(P1117,#REF!,0),1)</f>
        <v>#REF!</v>
      </c>
      <c r="H1117" t="s">
        <v>6467</v>
      </c>
      <c r="J1117" t="s">
        <v>2741</v>
      </c>
      <c r="K1117" t="s">
        <v>384</v>
      </c>
      <c r="L1117">
        <v>28025</v>
      </c>
      <c r="M1117" t="s">
        <v>6468</v>
      </c>
      <c r="N1117">
        <v>5949</v>
      </c>
      <c r="O1117" t="s">
        <v>2330</v>
      </c>
      <c r="P1117">
        <v>5949</v>
      </c>
      <c r="Q1117" t="s">
        <v>2330</v>
      </c>
      <c r="R1117" t="s">
        <v>2331</v>
      </c>
      <c r="S1117" t="s">
        <v>2332</v>
      </c>
      <c r="T1117" t="s">
        <v>44</v>
      </c>
      <c r="U1117" t="s">
        <v>45</v>
      </c>
      <c r="AC1117" t="s">
        <v>2333</v>
      </c>
    </row>
    <row r="1118" spans="1:33" x14ac:dyDescent="0.3">
      <c r="A1118">
        <v>3278</v>
      </c>
      <c r="B1118" t="s">
        <v>6469</v>
      </c>
      <c r="C1118" t="str">
        <f>"1100002057596"</f>
        <v>1100002057596</v>
      </c>
      <c r="D1118" t="str">
        <f>""</f>
        <v/>
      </c>
      <c r="E1118" s="1">
        <v>44409</v>
      </c>
      <c r="F1118" t="s">
        <v>6470</v>
      </c>
      <c r="G1118" t="e">
        <f>INDEX(#REF!,MATCH(P1118,#REF!,0),1)</f>
        <v>#REF!</v>
      </c>
      <c r="H1118" t="s">
        <v>6471</v>
      </c>
      <c r="J1118" t="s">
        <v>1926</v>
      </c>
      <c r="K1118" t="s">
        <v>342</v>
      </c>
      <c r="L1118" t="s">
        <v>6472</v>
      </c>
      <c r="M1118" t="s">
        <v>3226</v>
      </c>
      <c r="N1118">
        <v>3278</v>
      </c>
      <c r="O1118" t="s">
        <v>6470</v>
      </c>
      <c r="P1118">
        <v>3278</v>
      </c>
      <c r="Q1118" t="s">
        <v>6470</v>
      </c>
      <c r="R1118" t="s">
        <v>245</v>
      </c>
      <c r="S1118" t="s">
        <v>246</v>
      </c>
      <c r="T1118" t="s">
        <v>44</v>
      </c>
      <c r="U1118" t="s">
        <v>45</v>
      </c>
    </row>
    <row r="1119" spans="1:33" x14ac:dyDescent="0.3">
      <c r="A1119">
        <v>3285</v>
      </c>
      <c r="B1119" t="s">
        <v>6473</v>
      </c>
      <c r="C1119" t="str">
        <f>""</f>
        <v/>
      </c>
      <c r="D1119" t="str">
        <f>""</f>
        <v/>
      </c>
      <c r="E1119" s="1">
        <v>40040</v>
      </c>
      <c r="F1119" t="s">
        <v>6474</v>
      </c>
      <c r="G1119" t="e">
        <f>INDEX(#REF!,MATCH(P1119,#REF!,0),1)</f>
        <v>#REF!</v>
      </c>
      <c r="H1119" t="s">
        <v>6475</v>
      </c>
      <c r="J1119" t="s">
        <v>6476</v>
      </c>
      <c r="K1119" t="s">
        <v>99</v>
      </c>
      <c r="L1119" t="s">
        <v>6477</v>
      </c>
      <c r="M1119" t="s">
        <v>6478</v>
      </c>
      <c r="N1119">
        <v>2623618</v>
      </c>
      <c r="O1119" t="s">
        <v>6479</v>
      </c>
      <c r="P1119">
        <v>2623618</v>
      </c>
      <c r="Q1119" t="s">
        <v>6479</v>
      </c>
      <c r="R1119" t="s">
        <v>917</v>
      </c>
      <c r="S1119" t="s">
        <v>918</v>
      </c>
      <c r="T1119" t="s">
        <v>44</v>
      </c>
      <c r="U1119" t="s">
        <v>81</v>
      </c>
      <c r="V1119" t="s">
        <v>1824</v>
      </c>
      <c r="Y1119" t="s">
        <v>6480</v>
      </c>
      <c r="Z1119" s="1">
        <v>45597</v>
      </c>
      <c r="AA1119" t="s">
        <v>105</v>
      </c>
      <c r="AC1119" t="s">
        <v>6479</v>
      </c>
    </row>
    <row r="1120" spans="1:33" x14ac:dyDescent="0.3">
      <c r="A1120">
        <v>3286</v>
      </c>
      <c r="B1120" t="s">
        <v>6481</v>
      </c>
      <c r="C1120" t="str">
        <f>"1100005811874"</f>
        <v>1100005811874</v>
      </c>
      <c r="D1120" t="str">
        <f>""</f>
        <v/>
      </c>
      <c r="E1120" s="1">
        <v>44440</v>
      </c>
      <c r="F1120" t="s">
        <v>4049</v>
      </c>
      <c r="G1120" t="e">
        <f>INDEX(#REF!,MATCH(P1120,#REF!,0),1)</f>
        <v>#REF!</v>
      </c>
      <c r="H1120" t="s">
        <v>6482</v>
      </c>
      <c r="J1120" t="s">
        <v>6483</v>
      </c>
      <c r="K1120" t="s">
        <v>235</v>
      </c>
      <c r="L1120" t="s">
        <v>6484</v>
      </c>
      <c r="M1120" t="s">
        <v>3226</v>
      </c>
      <c r="N1120">
        <v>3286</v>
      </c>
      <c r="O1120" t="s">
        <v>4049</v>
      </c>
      <c r="P1120">
        <v>3286</v>
      </c>
      <c r="Q1120" t="s">
        <v>4049</v>
      </c>
      <c r="R1120" t="s">
        <v>237</v>
      </c>
      <c r="S1120" t="s">
        <v>238</v>
      </c>
      <c r="T1120" t="s">
        <v>44</v>
      </c>
      <c r="U1120" t="s">
        <v>45</v>
      </c>
      <c r="AC1120" t="s">
        <v>547</v>
      </c>
    </row>
    <row r="1121" spans="1:33" x14ac:dyDescent="0.3">
      <c r="A1121">
        <v>3302</v>
      </c>
      <c r="B1121" t="s">
        <v>6485</v>
      </c>
      <c r="C1121" t="str">
        <f>"1100005113510"</f>
        <v>1100005113510</v>
      </c>
      <c r="D1121" t="str">
        <f>"720580M00"</f>
        <v>720580M00</v>
      </c>
      <c r="E1121" s="1">
        <v>39176</v>
      </c>
      <c r="F1121" t="s">
        <v>6486</v>
      </c>
      <c r="G1121" t="e">
        <f>INDEX(#REF!,MATCH(P1121,#REF!,0),1)</f>
        <v>#REF!</v>
      </c>
      <c r="H1121" t="s">
        <v>6487</v>
      </c>
      <c r="J1121" t="s">
        <v>6488</v>
      </c>
      <c r="K1121" t="s">
        <v>353</v>
      </c>
      <c r="L1121">
        <v>70056</v>
      </c>
      <c r="M1121" t="s">
        <v>6489</v>
      </c>
      <c r="N1121">
        <v>2623348</v>
      </c>
      <c r="O1121" t="s">
        <v>773</v>
      </c>
      <c r="P1121">
        <v>193</v>
      </c>
      <c r="Q1121" t="s">
        <v>773</v>
      </c>
      <c r="R1121" t="s">
        <v>171</v>
      </c>
      <c r="S1121" t="s">
        <v>172</v>
      </c>
      <c r="T1121" t="s">
        <v>44</v>
      </c>
      <c r="U1121" t="s">
        <v>45</v>
      </c>
      <c r="AA1121" t="s">
        <v>93</v>
      </c>
      <c r="AE1121" t="s">
        <v>220</v>
      </c>
      <c r="AG1121" t="s">
        <v>48</v>
      </c>
    </row>
    <row r="1122" spans="1:33" x14ac:dyDescent="0.3">
      <c r="A1122">
        <v>3307</v>
      </c>
      <c r="B1122" t="s">
        <v>6490</v>
      </c>
      <c r="C1122" t="str">
        <f>""</f>
        <v/>
      </c>
      <c r="D1122" t="str">
        <f>"210220700"</f>
        <v>210220700</v>
      </c>
      <c r="E1122" s="1">
        <v>42583</v>
      </c>
      <c r="F1122" t="s">
        <v>6491</v>
      </c>
      <c r="G1122" t="e">
        <f>INDEX(#REF!,MATCH(P1122,#REF!,0),1)</f>
        <v>#REF!</v>
      </c>
      <c r="H1122" t="s">
        <v>6492</v>
      </c>
      <c r="J1122" t="s">
        <v>6493</v>
      </c>
      <c r="K1122" t="s">
        <v>2244</v>
      </c>
      <c r="L1122" t="s">
        <v>6494</v>
      </c>
      <c r="M1122" t="s">
        <v>6495</v>
      </c>
      <c r="N1122">
        <v>76790</v>
      </c>
      <c r="O1122" t="s">
        <v>5455</v>
      </c>
      <c r="P1122">
        <v>76790</v>
      </c>
      <c r="Q1122" t="s">
        <v>5455</v>
      </c>
      <c r="R1122" t="s">
        <v>1301</v>
      </c>
      <c r="S1122" t="s">
        <v>1302</v>
      </c>
      <c r="T1122" t="s">
        <v>44</v>
      </c>
      <c r="U1122" t="s">
        <v>45</v>
      </c>
    </row>
    <row r="1123" spans="1:33" x14ac:dyDescent="0.3">
      <c r="A1123">
        <v>3308</v>
      </c>
      <c r="B1123" t="s">
        <v>6496</v>
      </c>
      <c r="C1123" t="str">
        <f>"1100002233600"</f>
        <v>1100002233600</v>
      </c>
      <c r="D1123" t="str">
        <f>"2GWQX4500"</f>
        <v>2GWQX4500</v>
      </c>
      <c r="E1123" s="1">
        <v>44835</v>
      </c>
      <c r="F1123" t="s">
        <v>6497</v>
      </c>
      <c r="G1123" t="e">
        <f>INDEX(#REF!,MATCH(P1123,#REF!,0),1)</f>
        <v>#REF!</v>
      </c>
      <c r="H1123" t="s">
        <v>6498</v>
      </c>
      <c r="J1123" t="s">
        <v>6499</v>
      </c>
      <c r="K1123" t="s">
        <v>99</v>
      </c>
      <c r="L1123" t="s">
        <v>6500</v>
      </c>
      <c r="M1123" t="s">
        <v>6501</v>
      </c>
      <c r="N1123">
        <v>2623343</v>
      </c>
      <c r="O1123" t="s">
        <v>1513</v>
      </c>
      <c r="P1123">
        <v>61279</v>
      </c>
      <c r="Q1123" t="s">
        <v>6502</v>
      </c>
      <c r="R1123" t="s">
        <v>5782</v>
      </c>
      <c r="S1123" t="s">
        <v>5783</v>
      </c>
      <c r="T1123" t="s">
        <v>2140</v>
      </c>
      <c r="U1123" t="s">
        <v>2141</v>
      </c>
      <c r="V1123" t="s">
        <v>1824</v>
      </c>
      <c r="AD1123" t="s">
        <v>94</v>
      </c>
      <c r="AE1123" t="s">
        <v>72</v>
      </c>
    </row>
    <row r="1124" spans="1:33" x14ac:dyDescent="0.3">
      <c r="A1124">
        <v>3309</v>
      </c>
      <c r="B1124" t="s">
        <v>6503</v>
      </c>
      <c r="C1124" t="str">
        <f>"1100003820236"</f>
        <v>1100003820236</v>
      </c>
      <c r="D1124" t="str">
        <f>"6E15A4400"</f>
        <v>6E15A4400</v>
      </c>
      <c r="E1124" s="1">
        <v>42583</v>
      </c>
      <c r="F1124" t="s">
        <v>1993</v>
      </c>
      <c r="G1124" t="e">
        <f>INDEX(#REF!,MATCH(P1124,#REF!,0),1)</f>
        <v>#REF!</v>
      </c>
      <c r="H1124" t="s">
        <v>1990</v>
      </c>
      <c r="J1124" t="s">
        <v>1991</v>
      </c>
      <c r="K1124" t="s">
        <v>1109</v>
      </c>
      <c r="L1124" t="str">
        <f>"06457-3654"</f>
        <v>06457-3654</v>
      </c>
      <c r="M1124" t="s">
        <v>6504</v>
      </c>
      <c r="N1124">
        <v>3309</v>
      </c>
      <c r="O1124" t="s">
        <v>1993</v>
      </c>
      <c r="P1124">
        <v>3309</v>
      </c>
      <c r="Q1124" t="s">
        <v>1993</v>
      </c>
      <c r="R1124" t="s">
        <v>1301</v>
      </c>
      <c r="S1124" t="s">
        <v>1302</v>
      </c>
      <c r="T1124" t="s">
        <v>44</v>
      </c>
      <c r="U1124" t="s">
        <v>81</v>
      </c>
      <c r="AE1124" t="s">
        <v>564</v>
      </c>
    </row>
    <row r="1125" spans="1:33" x14ac:dyDescent="0.3">
      <c r="A1125">
        <v>3311</v>
      </c>
      <c r="B1125" t="s">
        <v>6505</v>
      </c>
      <c r="C1125" t="str">
        <f>"1100002670801"</f>
        <v>1100002670801</v>
      </c>
      <c r="D1125" t="str">
        <f>"720750L00"</f>
        <v>720750L00</v>
      </c>
      <c r="E1125" s="1">
        <v>44235</v>
      </c>
      <c r="F1125" t="s">
        <v>6506</v>
      </c>
      <c r="G1125" t="e">
        <f>INDEX(#REF!,MATCH(P1125,#REF!,0),1)</f>
        <v>#REF!</v>
      </c>
      <c r="H1125" t="s">
        <v>6507</v>
      </c>
      <c r="J1125" t="s">
        <v>6508</v>
      </c>
      <c r="K1125" t="s">
        <v>353</v>
      </c>
      <c r="L1125">
        <v>70548</v>
      </c>
      <c r="M1125" t="s">
        <v>6509</v>
      </c>
      <c r="N1125">
        <v>2623348</v>
      </c>
      <c r="O1125" t="s">
        <v>773</v>
      </c>
      <c r="P1125">
        <v>2415475</v>
      </c>
      <c r="Q1125" t="s">
        <v>6510</v>
      </c>
      <c r="R1125" t="s">
        <v>171</v>
      </c>
      <c r="S1125" t="s">
        <v>172</v>
      </c>
      <c r="T1125" t="s">
        <v>44</v>
      </c>
      <c r="U1125" t="s">
        <v>45</v>
      </c>
      <c r="AA1125" t="s">
        <v>93</v>
      </c>
      <c r="AE1125" t="s">
        <v>220</v>
      </c>
      <c r="AG1125" t="s">
        <v>48</v>
      </c>
    </row>
    <row r="1126" spans="1:33" x14ac:dyDescent="0.3">
      <c r="A1126">
        <v>3317</v>
      </c>
      <c r="B1126" t="s">
        <v>6511</v>
      </c>
      <c r="C1126" t="str">
        <f>""</f>
        <v/>
      </c>
      <c r="D1126" t="str">
        <f>""</f>
        <v/>
      </c>
      <c r="E1126" s="1">
        <v>45288</v>
      </c>
      <c r="F1126" t="s">
        <v>6512</v>
      </c>
      <c r="G1126" t="e">
        <f>INDEX(#REF!,MATCH(P1126,#REF!,0),1)</f>
        <v>#REF!</v>
      </c>
      <c r="H1126" t="s">
        <v>6513</v>
      </c>
      <c r="J1126" t="s">
        <v>2250</v>
      </c>
      <c r="K1126" t="s">
        <v>676</v>
      </c>
      <c r="L1126" t="s">
        <v>6514</v>
      </c>
      <c r="M1126" t="s">
        <v>6515</v>
      </c>
      <c r="N1126">
        <v>1165293</v>
      </c>
      <c r="O1126" t="s">
        <v>6516</v>
      </c>
      <c r="P1126">
        <v>2888466</v>
      </c>
      <c r="Q1126" t="s">
        <v>6517</v>
      </c>
      <c r="R1126" t="s">
        <v>4681</v>
      </c>
      <c r="S1126" t="s">
        <v>4682</v>
      </c>
      <c r="T1126" t="s">
        <v>2277</v>
      </c>
      <c r="U1126" t="s">
        <v>2278</v>
      </c>
      <c r="V1126" t="s">
        <v>1824</v>
      </c>
      <c r="AG1126" t="s">
        <v>48</v>
      </c>
    </row>
    <row r="1127" spans="1:33" x14ac:dyDescent="0.3">
      <c r="A1127">
        <v>3334</v>
      </c>
      <c r="B1127" t="s">
        <v>6518</v>
      </c>
      <c r="C1127" t="str">
        <f>"1100002332990"</f>
        <v>1100002332990</v>
      </c>
      <c r="D1127" t="str">
        <f>"16NLE6Z00"</f>
        <v>16NLE6Z00</v>
      </c>
      <c r="E1127" s="1">
        <v>42583</v>
      </c>
      <c r="F1127" t="s">
        <v>6519</v>
      </c>
      <c r="G1127" t="e">
        <f>INDEX(#REF!,MATCH(P1127,#REF!,0),1)</f>
        <v>#REF!</v>
      </c>
      <c r="H1127" t="s">
        <v>6520</v>
      </c>
      <c r="J1127" t="s">
        <v>1991</v>
      </c>
      <c r="K1127" t="s">
        <v>1109</v>
      </c>
      <c r="L1127" t="str">
        <f>"06457-4730"</f>
        <v>06457-4730</v>
      </c>
      <c r="M1127" t="s">
        <v>6521</v>
      </c>
      <c r="N1127">
        <v>3309</v>
      </c>
      <c r="O1127" t="s">
        <v>1993</v>
      </c>
      <c r="P1127">
        <v>3309</v>
      </c>
      <c r="Q1127" t="s">
        <v>1993</v>
      </c>
      <c r="R1127" t="s">
        <v>1301</v>
      </c>
      <c r="S1127" t="s">
        <v>1302</v>
      </c>
      <c r="T1127" t="s">
        <v>117</v>
      </c>
      <c r="U1127" t="s">
        <v>2479</v>
      </c>
      <c r="AE1127" t="s">
        <v>564</v>
      </c>
    </row>
    <row r="1128" spans="1:33" x14ac:dyDescent="0.3">
      <c r="A1128">
        <v>3335</v>
      </c>
      <c r="B1128" t="s">
        <v>6522</v>
      </c>
      <c r="C1128" t="str">
        <f>""</f>
        <v/>
      </c>
      <c r="D1128" t="str">
        <f>"MXJPI3C00"</f>
        <v>MXJPI3C00</v>
      </c>
      <c r="E1128" s="1">
        <v>42583</v>
      </c>
      <c r="F1128" t="s">
        <v>6523</v>
      </c>
      <c r="G1128" t="e">
        <f>INDEX(#REF!,MATCH(P1128,#REF!,0),1)</f>
        <v>#REF!</v>
      </c>
      <c r="H1128" t="s">
        <v>6524</v>
      </c>
      <c r="J1128" t="s">
        <v>1991</v>
      </c>
      <c r="K1128" t="s">
        <v>1109</v>
      </c>
      <c r="L1128" t="str">
        <f>"06457"</f>
        <v>06457</v>
      </c>
      <c r="M1128" t="s">
        <v>6525</v>
      </c>
      <c r="N1128">
        <v>3309</v>
      </c>
      <c r="O1128" t="s">
        <v>1993</v>
      </c>
      <c r="P1128">
        <v>3309</v>
      </c>
      <c r="Q1128" t="s">
        <v>1993</v>
      </c>
      <c r="R1128" t="s">
        <v>1301</v>
      </c>
      <c r="S1128" t="s">
        <v>1302</v>
      </c>
      <c r="T1128" t="s">
        <v>3141</v>
      </c>
      <c r="U1128" t="s">
        <v>3142</v>
      </c>
      <c r="AE1128" t="s">
        <v>564</v>
      </c>
    </row>
    <row r="1129" spans="1:33" x14ac:dyDescent="0.3">
      <c r="A1129">
        <v>3336</v>
      </c>
      <c r="B1129" t="s">
        <v>6526</v>
      </c>
      <c r="C1129" t="str">
        <f>"1100005594197"</f>
        <v>1100005594197</v>
      </c>
      <c r="D1129" t="str">
        <f>""</f>
        <v/>
      </c>
      <c r="E1129" s="1">
        <v>42583</v>
      </c>
      <c r="F1129" t="s">
        <v>6527</v>
      </c>
      <c r="G1129" t="e">
        <f>INDEX(#REF!,MATCH(P1129,#REF!,0),1)</f>
        <v>#REF!</v>
      </c>
      <c r="H1129" t="s">
        <v>314</v>
      </c>
      <c r="J1129" t="s">
        <v>315</v>
      </c>
      <c r="K1129" t="s">
        <v>65</v>
      </c>
      <c r="L1129" t="s">
        <v>316</v>
      </c>
      <c r="M1129" t="s">
        <v>6528</v>
      </c>
      <c r="N1129">
        <v>53913</v>
      </c>
      <c r="O1129" t="s">
        <v>318</v>
      </c>
      <c r="P1129">
        <v>69</v>
      </c>
      <c r="Q1129" t="s">
        <v>313</v>
      </c>
      <c r="R1129" t="s">
        <v>245</v>
      </c>
      <c r="S1129" t="s">
        <v>246</v>
      </c>
      <c r="T1129" t="s">
        <v>2277</v>
      </c>
      <c r="U1129" t="s">
        <v>2278</v>
      </c>
    </row>
    <row r="1130" spans="1:33" x14ac:dyDescent="0.3">
      <c r="A1130">
        <v>3340</v>
      </c>
      <c r="B1130" t="s">
        <v>6529</v>
      </c>
      <c r="C1130" t="str">
        <f>"1100005902237"</f>
        <v>1100005902237</v>
      </c>
      <c r="D1130" t="str">
        <f>"RV9JCD300"</f>
        <v>RV9JCD300</v>
      </c>
      <c r="E1130" s="1">
        <v>35096</v>
      </c>
      <c r="F1130" t="s">
        <v>6530</v>
      </c>
      <c r="G1130" t="e">
        <f>INDEX(#REF!,MATCH(P1130,#REF!,0),1)</f>
        <v>#REF!</v>
      </c>
      <c r="H1130" t="s">
        <v>6531</v>
      </c>
      <c r="J1130" t="s">
        <v>775</v>
      </c>
      <c r="K1130" t="s">
        <v>353</v>
      </c>
      <c r="L1130" t="s">
        <v>6532</v>
      </c>
      <c r="M1130" t="s">
        <v>6533</v>
      </c>
      <c r="N1130">
        <v>3340</v>
      </c>
      <c r="O1130" t="s">
        <v>6530</v>
      </c>
      <c r="P1130">
        <v>3340</v>
      </c>
      <c r="Q1130" t="s">
        <v>6530</v>
      </c>
      <c r="R1130" t="s">
        <v>3945</v>
      </c>
      <c r="S1130" t="s">
        <v>3946</v>
      </c>
      <c r="T1130" t="s">
        <v>117</v>
      </c>
      <c r="U1130" t="s">
        <v>6534</v>
      </c>
      <c r="V1130" t="s">
        <v>2215</v>
      </c>
    </row>
    <row r="1131" spans="1:33" x14ac:dyDescent="0.3">
      <c r="A1131">
        <v>3345</v>
      </c>
      <c r="B1131" t="s">
        <v>6535</v>
      </c>
      <c r="C1131" t="str">
        <f>""</f>
        <v/>
      </c>
      <c r="D1131" t="str">
        <f>"22LHUDD00"</f>
        <v>22LHUDD00</v>
      </c>
      <c r="E1131" s="1">
        <v>34213</v>
      </c>
      <c r="F1131" t="s">
        <v>6536</v>
      </c>
      <c r="G1131" t="e">
        <f>INDEX(#REF!,MATCH(P1131,#REF!,0),1)</f>
        <v>#REF!</v>
      </c>
      <c r="H1131" t="s">
        <v>6537</v>
      </c>
      <c r="J1131" t="s">
        <v>922</v>
      </c>
      <c r="K1131" t="s">
        <v>353</v>
      </c>
      <c r="L1131" t="s">
        <v>6538</v>
      </c>
      <c r="M1131" t="s">
        <v>6539</v>
      </c>
      <c r="N1131">
        <v>284</v>
      </c>
      <c r="O1131" t="s">
        <v>925</v>
      </c>
      <c r="P1131">
        <v>284</v>
      </c>
      <c r="Q1131" t="s">
        <v>925</v>
      </c>
      <c r="R1131" t="s">
        <v>3159</v>
      </c>
      <c r="S1131" t="s">
        <v>3160</v>
      </c>
      <c r="T1131" t="s">
        <v>2214</v>
      </c>
      <c r="U1131" t="s">
        <v>2552</v>
      </c>
      <c r="V1131" t="s">
        <v>1824</v>
      </c>
      <c r="AA1131" t="s">
        <v>105</v>
      </c>
      <c r="AE1131" t="s">
        <v>106</v>
      </c>
    </row>
    <row r="1132" spans="1:33" x14ac:dyDescent="0.3">
      <c r="A1132">
        <v>3364</v>
      </c>
      <c r="B1132" t="s">
        <v>6540</v>
      </c>
      <c r="C1132" t="str">
        <f>"1100005041738"</f>
        <v>1100005041738</v>
      </c>
      <c r="D1132" t="str">
        <f>"0G4L6CN00"</f>
        <v>0G4L6CN00</v>
      </c>
      <c r="E1132" s="1">
        <v>42583</v>
      </c>
      <c r="F1132" t="s">
        <v>6541</v>
      </c>
      <c r="G1132" t="e">
        <f>INDEX(#REF!,MATCH(P1132,#REF!,0),1)</f>
        <v>#REF!</v>
      </c>
      <c r="H1132" t="s">
        <v>6542</v>
      </c>
      <c r="J1132" t="s">
        <v>5282</v>
      </c>
      <c r="K1132" t="s">
        <v>65</v>
      </c>
      <c r="L1132">
        <v>15923</v>
      </c>
      <c r="M1132" t="s">
        <v>3226</v>
      </c>
      <c r="N1132">
        <v>53913</v>
      </c>
      <c r="O1132" t="s">
        <v>318</v>
      </c>
      <c r="P1132">
        <v>3336</v>
      </c>
      <c r="Q1132" t="s">
        <v>6527</v>
      </c>
      <c r="R1132" t="s">
        <v>245</v>
      </c>
      <c r="S1132" t="s">
        <v>246</v>
      </c>
      <c r="T1132" t="s">
        <v>2277</v>
      </c>
      <c r="U1132" t="s">
        <v>2278</v>
      </c>
    </row>
    <row r="1133" spans="1:33" x14ac:dyDescent="0.3">
      <c r="A1133">
        <v>3365</v>
      </c>
      <c r="B1133" t="s">
        <v>6543</v>
      </c>
      <c r="C1133" t="str">
        <f>"1100002147594"</f>
        <v>1100002147594</v>
      </c>
      <c r="D1133" t="str">
        <f>"754C3E900"</f>
        <v>754C3E900</v>
      </c>
      <c r="E1133" s="1">
        <v>42583</v>
      </c>
      <c r="F1133" t="s">
        <v>6544</v>
      </c>
      <c r="G1133" t="e">
        <f>INDEX(#REF!,MATCH(P1133,#REF!,0),1)</f>
        <v>#REF!</v>
      </c>
      <c r="H1133" t="s">
        <v>6545</v>
      </c>
      <c r="J1133" t="s">
        <v>6546</v>
      </c>
      <c r="K1133" t="s">
        <v>65</v>
      </c>
      <c r="L1133" t="s">
        <v>6547</v>
      </c>
      <c r="M1133" t="s">
        <v>3226</v>
      </c>
      <c r="N1133">
        <v>53913</v>
      </c>
      <c r="O1133" t="s">
        <v>318</v>
      </c>
      <c r="P1133">
        <v>3336</v>
      </c>
      <c r="Q1133" t="s">
        <v>6527</v>
      </c>
      <c r="R1133" t="s">
        <v>245</v>
      </c>
      <c r="S1133" t="s">
        <v>246</v>
      </c>
      <c r="T1133" t="s">
        <v>2277</v>
      </c>
      <c r="U1133" t="s">
        <v>2278</v>
      </c>
    </row>
    <row r="1134" spans="1:33" x14ac:dyDescent="0.3">
      <c r="A1134">
        <v>3366</v>
      </c>
      <c r="B1134" t="s">
        <v>6548</v>
      </c>
      <c r="C1134" t="str">
        <f>"1100002284282"</f>
        <v>1100002284282</v>
      </c>
      <c r="D1134" t="str">
        <f>"266NBT500"</f>
        <v>266NBT500</v>
      </c>
      <c r="E1134" s="1">
        <v>42583</v>
      </c>
      <c r="F1134" t="s">
        <v>6549</v>
      </c>
      <c r="G1134" t="e">
        <f>INDEX(#REF!,MATCH(P1134,#REF!,0),1)</f>
        <v>#REF!</v>
      </c>
      <c r="H1134" t="s">
        <v>6550</v>
      </c>
      <c r="J1134" t="s">
        <v>6551</v>
      </c>
      <c r="K1134" t="s">
        <v>65</v>
      </c>
      <c r="L1134" t="s">
        <v>6552</v>
      </c>
      <c r="M1134" t="s">
        <v>3226</v>
      </c>
      <c r="N1134">
        <v>53913</v>
      </c>
      <c r="O1134" t="s">
        <v>318</v>
      </c>
      <c r="P1134">
        <v>3336</v>
      </c>
      <c r="Q1134" t="s">
        <v>6527</v>
      </c>
      <c r="R1134" t="s">
        <v>245</v>
      </c>
      <c r="S1134" t="s">
        <v>246</v>
      </c>
      <c r="T1134" t="s">
        <v>2277</v>
      </c>
      <c r="U1134" t="s">
        <v>2278</v>
      </c>
    </row>
    <row r="1135" spans="1:33" x14ac:dyDescent="0.3">
      <c r="A1135">
        <v>3367</v>
      </c>
      <c r="B1135" t="s">
        <v>6553</v>
      </c>
      <c r="C1135" t="str">
        <f>"1100002858636"</f>
        <v>1100002858636</v>
      </c>
      <c r="D1135" t="str">
        <f>"H8KCPY800"</f>
        <v>H8KCPY800</v>
      </c>
      <c r="E1135" s="1">
        <v>42583</v>
      </c>
      <c r="F1135" t="s">
        <v>6554</v>
      </c>
      <c r="G1135" t="e">
        <f>INDEX(#REF!,MATCH(P1135,#REF!,0),1)</f>
        <v>#REF!</v>
      </c>
      <c r="H1135" t="s">
        <v>6555</v>
      </c>
      <c r="J1135" t="s">
        <v>6556</v>
      </c>
      <c r="K1135" t="s">
        <v>65</v>
      </c>
      <c r="L1135" t="s">
        <v>6557</v>
      </c>
      <c r="M1135" t="s">
        <v>6558</v>
      </c>
      <c r="N1135">
        <v>53913</v>
      </c>
      <c r="O1135" t="s">
        <v>318</v>
      </c>
      <c r="P1135">
        <v>3336</v>
      </c>
      <c r="Q1135" t="s">
        <v>6527</v>
      </c>
      <c r="R1135" t="s">
        <v>245</v>
      </c>
      <c r="S1135" t="s">
        <v>246</v>
      </c>
      <c r="T1135" t="s">
        <v>2277</v>
      </c>
      <c r="U1135" t="s">
        <v>2278</v>
      </c>
    </row>
    <row r="1136" spans="1:33" x14ac:dyDescent="0.3">
      <c r="A1136">
        <v>3368</v>
      </c>
      <c r="B1136" t="s">
        <v>6559</v>
      </c>
      <c r="C1136" t="str">
        <f>"1100005754775"</f>
        <v>1100005754775</v>
      </c>
      <c r="D1136" t="str">
        <f>"7PQRVQY00"</f>
        <v>7PQRVQY00</v>
      </c>
      <c r="E1136" s="1">
        <v>42583</v>
      </c>
      <c r="F1136" t="s">
        <v>6560</v>
      </c>
      <c r="G1136" t="e">
        <f>INDEX(#REF!,MATCH(P1136,#REF!,0),1)</f>
        <v>#REF!</v>
      </c>
      <c r="H1136" t="s">
        <v>6561</v>
      </c>
      <c r="J1136" t="s">
        <v>315</v>
      </c>
      <c r="K1136" t="s">
        <v>65</v>
      </c>
      <c r="L1136">
        <v>15904</v>
      </c>
      <c r="M1136" t="s">
        <v>6562</v>
      </c>
      <c r="N1136">
        <v>53913</v>
      </c>
      <c r="O1136" t="s">
        <v>318</v>
      </c>
      <c r="P1136">
        <v>3336</v>
      </c>
      <c r="Q1136" t="s">
        <v>6527</v>
      </c>
      <c r="R1136" t="s">
        <v>245</v>
      </c>
      <c r="S1136" t="s">
        <v>246</v>
      </c>
      <c r="T1136" t="s">
        <v>2277</v>
      </c>
      <c r="U1136" t="s">
        <v>2278</v>
      </c>
    </row>
    <row r="1137" spans="1:33" x14ac:dyDescent="0.3">
      <c r="A1137">
        <v>3369</v>
      </c>
      <c r="B1137" t="s">
        <v>6563</v>
      </c>
      <c r="C1137" t="str">
        <f>"1100002157357"</f>
        <v>1100002157357</v>
      </c>
      <c r="D1137" t="str">
        <f>""</f>
        <v/>
      </c>
      <c r="E1137" s="1">
        <v>42583</v>
      </c>
      <c r="F1137" t="s">
        <v>6560</v>
      </c>
      <c r="G1137" t="e">
        <f>INDEX(#REF!,MATCH(P1137,#REF!,0),1)</f>
        <v>#REF!</v>
      </c>
      <c r="H1137" t="s">
        <v>6564</v>
      </c>
      <c r="I1137" t="s">
        <v>6565</v>
      </c>
      <c r="J1137" t="s">
        <v>315</v>
      </c>
      <c r="K1137" t="s">
        <v>65</v>
      </c>
      <c r="L1137">
        <v>15904</v>
      </c>
      <c r="M1137" t="s">
        <v>6566</v>
      </c>
      <c r="N1137">
        <v>53913</v>
      </c>
      <c r="O1137" t="s">
        <v>318</v>
      </c>
      <c r="P1137">
        <v>3336</v>
      </c>
      <c r="Q1137" t="s">
        <v>6527</v>
      </c>
      <c r="R1137" t="s">
        <v>245</v>
      </c>
      <c r="S1137" t="s">
        <v>246</v>
      </c>
      <c r="T1137" t="s">
        <v>2277</v>
      </c>
      <c r="U1137" t="s">
        <v>2278</v>
      </c>
    </row>
    <row r="1138" spans="1:33" x14ac:dyDescent="0.3">
      <c r="A1138">
        <v>3370</v>
      </c>
      <c r="B1138" t="s">
        <v>6567</v>
      </c>
      <c r="C1138" t="str">
        <f>"1100003343964"</f>
        <v>1100003343964</v>
      </c>
      <c r="D1138" t="str">
        <f>"JP3PTHA00"</f>
        <v>JP3PTHA00</v>
      </c>
      <c r="E1138" s="1">
        <v>42583</v>
      </c>
      <c r="F1138" t="s">
        <v>6568</v>
      </c>
      <c r="G1138" t="e">
        <f>INDEX(#REF!,MATCH(P1138,#REF!,0),1)</f>
        <v>#REF!</v>
      </c>
      <c r="H1138" t="s">
        <v>6569</v>
      </c>
      <c r="J1138" t="s">
        <v>6570</v>
      </c>
      <c r="K1138" t="s">
        <v>65</v>
      </c>
      <c r="L1138">
        <v>15554</v>
      </c>
      <c r="M1138" t="s">
        <v>6571</v>
      </c>
      <c r="N1138">
        <v>53913</v>
      </c>
      <c r="O1138" t="s">
        <v>318</v>
      </c>
      <c r="P1138">
        <v>3336</v>
      </c>
      <c r="Q1138" t="s">
        <v>6527</v>
      </c>
      <c r="R1138" t="s">
        <v>245</v>
      </c>
      <c r="S1138" t="s">
        <v>246</v>
      </c>
      <c r="T1138" t="s">
        <v>2277</v>
      </c>
      <c r="U1138" t="s">
        <v>2278</v>
      </c>
    </row>
    <row r="1139" spans="1:33" x14ac:dyDescent="0.3">
      <c r="A1139">
        <v>3371</v>
      </c>
      <c r="B1139" t="s">
        <v>6572</v>
      </c>
      <c r="C1139" t="str">
        <f>"1100005533608"</f>
        <v>1100005533608</v>
      </c>
      <c r="D1139" t="str">
        <f>"EA62K4K00"</f>
        <v>EA62K4K00</v>
      </c>
      <c r="E1139" s="1">
        <v>42583</v>
      </c>
      <c r="F1139" t="s">
        <v>6573</v>
      </c>
      <c r="G1139" t="e">
        <f>INDEX(#REF!,MATCH(P1139,#REF!,0),1)</f>
        <v>#REF!</v>
      </c>
      <c r="H1139" t="s">
        <v>6574</v>
      </c>
      <c r="J1139" t="s">
        <v>6575</v>
      </c>
      <c r="K1139" t="s">
        <v>65</v>
      </c>
      <c r="L1139" t="s">
        <v>6576</v>
      </c>
      <c r="M1139" t="s">
        <v>6577</v>
      </c>
      <c r="N1139">
        <v>53913</v>
      </c>
      <c r="O1139" t="s">
        <v>318</v>
      </c>
      <c r="P1139">
        <v>3336</v>
      </c>
      <c r="Q1139" t="s">
        <v>6527</v>
      </c>
      <c r="R1139" t="s">
        <v>245</v>
      </c>
      <c r="S1139" t="s">
        <v>246</v>
      </c>
      <c r="T1139" t="s">
        <v>2277</v>
      </c>
      <c r="U1139" t="s">
        <v>2278</v>
      </c>
    </row>
    <row r="1140" spans="1:33" x14ac:dyDescent="0.3">
      <c r="A1140">
        <v>3372</v>
      </c>
      <c r="B1140" t="s">
        <v>6578</v>
      </c>
      <c r="C1140" t="str">
        <f>"1100003680588"</f>
        <v>1100003680588</v>
      </c>
      <c r="D1140" t="str">
        <f>"2KL7GC600"</f>
        <v>2KL7GC600</v>
      </c>
      <c r="E1140" s="1">
        <v>42583</v>
      </c>
      <c r="F1140" t="s">
        <v>6579</v>
      </c>
      <c r="G1140" t="e">
        <f>INDEX(#REF!,MATCH(P1140,#REF!,0),1)</f>
        <v>#REF!</v>
      </c>
      <c r="H1140" t="s">
        <v>6580</v>
      </c>
      <c r="J1140" t="s">
        <v>6581</v>
      </c>
      <c r="K1140" t="s">
        <v>65</v>
      </c>
      <c r="L1140" t="s">
        <v>6582</v>
      </c>
      <c r="M1140" t="s">
        <v>3226</v>
      </c>
      <c r="N1140">
        <v>53913</v>
      </c>
      <c r="O1140" t="s">
        <v>318</v>
      </c>
      <c r="P1140">
        <v>3336</v>
      </c>
      <c r="Q1140" t="s">
        <v>6527</v>
      </c>
      <c r="R1140" t="s">
        <v>245</v>
      </c>
      <c r="S1140" t="s">
        <v>246</v>
      </c>
      <c r="T1140" t="s">
        <v>2277</v>
      </c>
      <c r="U1140" t="s">
        <v>2278</v>
      </c>
    </row>
    <row r="1141" spans="1:33" x14ac:dyDescent="0.3">
      <c r="A1141">
        <v>3373</v>
      </c>
      <c r="B1141" t="s">
        <v>6583</v>
      </c>
      <c r="C1141" t="str">
        <f>"1100002886813"</f>
        <v>1100002886813</v>
      </c>
      <c r="D1141" t="str">
        <f>"6QG4BJA00"</f>
        <v>6QG4BJA00</v>
      </c>
      <c r="E1141" s="1">
        <v>42583</v>
      </c>
      <c r="F1141" t="s">
        <v>6584</v>
      </c>
      <c r="G1141" t="e">
        <f>INDEX(#REF!,MATCH(P1141,#REF!,0),1)</f>
        <v>#REF!</v>
      </c>
      <c r="H1141" t="s">
        <v>6585</v>
      </c>
      <c r="J1141" t="s">
        <v>315</v>
      </c>
      <c r="K1141" t="s">
        <v>65</v>
      </c>
      <c r="L1141" t="s">
        <v>6586</v>
      </c>
      <c r="M1141" t="s">
        <v>3226</v>
      </c>
      <c r="N1141">
        <v>53913</v>
      </c>
      <c r="O1141" t="s">
        <v>318</v>
      </c>
      <c r="P1141">
        <v>3336</v>
      </c>
      <c r="Q1141" t="s">
        <v>6527</v>
      </c>
      <c r="R1141" t="s">
        <v>245</v>
      </c>
      <c r="S1141" t="s">
        <v>246</v>
      </c>
      <c r="T1141" t="s">
        <v>2277</v>
      </c>
      <c r="U1141" t="s">
        <v>2278</v>
      </c>
    </row>
    <row r="1142" spans="1:33" x14ac:dyDescent="0.3">
      <c r="A1142">
        <v>3374</v>
      </c>
      <c r="B1142" t="s">
        <v>6587</v>
      </c>
      <c r="C1142" t="str">
        <f>"1100002816247"</f>
        <v>1100002816247</v>
      </c>
      <c r="D1142" t="str">
        <f>"0PR9QP400"</f>
        <v>0PR9QP400</v>
      </c>
      <c r="E1142" s="1">
        <v>42583</v>
      </c>
      <c r="F1142" t="s">
        <v>6588</v>
      </c>
      <c r="G1142" t="e">
        <f>INDEX(#REF!,MATCH(P1142,#REF!,0),1)</f>
        <v>#REF!</v>
      </c>
      <c r="H1142" t="s">
        <v>6589</v>
      </c>
      <c r="I1142" t="s">
        <v>6590</v>
      </c>
      <c r="J1142" t="s">
        <v>315</v>
      </c>
      <c r="K1142" t="s">
        <v>65</v>
      </c>
      <c r="L1142" t="s">
        <v>6591</v>
      </c>
      <c r="M1142" t="s">
        <v>6592</v>
      </c>
      <c r="N1142">
        <v>53913</v>
      </c>
      <c r="O1142" t="s">
        <v>318</v>
      </c>
      <c r="P1142">
        <v>3336</v>
      </c>
      <c r="Q1142" t="s">
        <v>6527</v>
      </c>
      <c r="R1142" t="s">
        <v>245</v>
      </c>
      <c r="S1142" t="s">
        <v>246</v>
      </c>
      <c r="T1142" t="s">
        <v>2277</v>
      </c>
      <c r="U1142" t="s">
        <v>2278</v>
      </c>
    </row>
    <row r="1143" spans="1:33" x14ac:dyDescent="0.3">
      <c r="A1143">
        <v>3375</v>
      </c>
      <c r="B1143" t="s">
        <v>6593</v>
      </c>
      <c r="C1143" t="str">
        <f>"1100002776879"</f>
        <v>1100002776879</v>
      </c>
      <c r="D1143" t="str">
        <f>"H2RB3MA00"</f>
        <v>H2RB3MA00</v>
      </c>
      <c r="E1143" s="1">
        <v>42583</v>
      </c>
      <c r="F1143" t="s">
        <v>6594</v>
      </c>
      <c r="G1143" t="e">
        <f>INDEX(#REF!,MATCH(P1143,#REF!,0),1)</f>
        <v>#REF!</v>
      </c>
      <c r="H1143" t="s">
        <v>6595</v>
      </c>
      <c r="J1143" t="s">
        <v>315</v>
      </c>
      <c r="K1143" t="s">
        <v>65</v>
      </c>
      <c r="L1143" t="s">
        <v>6596</v>
      </c>
      <c r="M1143" t="s">
        <v>6597</v>
      </c>
      <c r="N1143">
        <v>53913</v>
      </c>
      <c r="O1143" t="s">
        <v>318</v>
      </c>
      <c r="P1143">
        <v>3336</v>
      </c>
      <c r="Q1143" t="s">
        <v>6527</v>
      </c>
      <c r="R1143" t="s">
        <v>245</v>
      </c>
      <c r="S1143" t="s">
        <v>246</v>
      </c>
      <c r="T1143" t="s">
        <v>2277</v>
      </c>
      <c r="U1143" t="s">
        <v>2278</v>
      </c>
    </row>
    <row r="1144" spans="1:33" x14ac:dyDescent="0.3">
      <c r="A1144">
        <v>3376</v>
      </c>
      <c r="B1144" t="s">
        <v>6598</v>
      </c>
      <c r="C1144" t="str">
        <f>"1100003317736"</f>
        <v>1100003317736</v>
      </c>
      <c r="D1144" t="str">
        <f>"JT7WFIC00"</f>
        <v>JT7WFIC00</v>
      </c>
      <c r="E1144" s="1">
        <v>42583</v>
      </c>
      <c r="F1144" t="s">
        <v>6599</v>
      </c>
      <c r="G1144" t="e">
        <f>INDEX(#REF!,MATCH(P1144,#REF!,0),1)</f>
        <v>#REF!</v>
      </c>
      <c r="H1144" t="s">
        <v>6600</v>
      </c>
      <c r="J1144" t="s">
        <v>5477</v>
      </c>
      <c r="K1144" t="s">
        <v>65</v>
      </c>
      <c r="L1144">
        <v>15552</v>
      </c>
      <c r="M1144" t="s">
        <v>6601</v>
      </c>
      <c r="N1144">
        <v>53913</v>
      </c>
      <c r="O1144" t="s">
        <v>318</v>
      </c>
      <c r="P1144">
        <v>3336</v>
      </c>
      <c r="Q1144" t="s">
        <v>6527</v>
      </c>
      <c r="R1144" t="s">
        <v>245</v>
      </c>
      <c r="S1144" t="s">
        <v>246</v>
      </c>
      <c r="T1144" t="s">
        <v>2277</v>
      </c>
      <c r="U1144" t="s">
        <v>2278</v>
      </c>
    </row>
    <row r="1145" spans="1:33" x14ac:dyDescent="0.3">
      <c r="A1145">
        <v>3377</v>
      </c>
      <c r="B1145" t="s">
        <v>6602</v>
      </c>
      <c r="C1145" t="str">
        <f>"1100003848650"</f>
        <v>1100003848650</v>
      </c>
      <c r="D1145" t="str">
        <f>"B3G0F1A00"</f>
        <v>B3G0F1A00</v>
      </c>
      <c r="E1145" s="1">
        <v>42583</v>
      </c>
      <c r="F1145" t="s">
        <v>6599</v>
      </c>
      <c r="G1145" t="e">
        <f>INDEX(#REF!,MATCH(P1145,#REF!,0),1)</f>
        <v>#REF!</v>
      </c>
      <c r="H1145" t="s">
        <v>6603</v>
      </c>
      <c r="J1145" t="s">
        <v>6604</v>
      </c>
      <c r="K1145" t="s">
        <v>982</v>
      </c>
      <c r="L1145" t="s">
        <v>6605</v>
      </c>
      <c r="M1145" t="s">
        <v>6606</v>
      </c>
      <c r="N1145">
        <v>53913</v>
      </c>
      <c r="O1145" t="s">
        <v>318</v>
      </c>
      <c r="P1145">
        <v>3336</v>
      </c>
      <c r="Q1145" t="s">
        <v>6527</v>
      </c>
      <c r="R1145" t="s">
        <v>245</v>
      </c>
      <c r="S1145" t="s">
        <v>246</v>
      </c>
      <c r="T1145" t="s">
        <v>2277</v>
      </c>
      <c r="U1145" t="s">
        <v>2278</v>
      </c>
    </row>
    <row r="1146" spans="1:33" x14ac:dyDescent="0.3">
      <c r="A1146">
        <v>3378</v>
      </c>
      <c r="B1146" t="s">
        <v>6607</v>
      </c>
      <c r="C1146" t="str">
        <f>"1100005307841"</f>
        <v>1100005307841</v>
      </c>
      <c r="D1146" t="str">
        <f>""</f>
        <v/>
      </c>
      <c r="E1146" s="1">
        <v>42583</v>
      </c>
      <c r="F1146" t="s">
        <v>6599</v>
      </c>
      <c r="G1146" t="e">
        <f>INDEX(#REF!,MATCH(P1146,#REF!,0),1)</f>
        <v>#REF!</v>
      </c>
      <c r="H1146" t="s">
        <v>6608</v>
      </c>
      <c r="J1146" t="s">
        <v>6609</v>
      </c>
      <c r="K1146" t="s">
        <v>65</v>
      </c>
      <c r="L1146">
        <v>15558</v>
      </c>
      <c r="M1146" t="s">
        <v>6610</v>
      </c>
      <c r="N1146">
        <v>53913</v>
      </c>
      <c r="O1146" t="s">
        <v>318</v>
      </c>
      <c r="P1146">
        <v>3336</v>
      </c>
      <c r="Q1146" t="s">
        <v>6527</v>
      </c>
      <c r="R1146" t="s">
        <v>245</v>
      </c>
      <c r="S1146" t="s">
        <v>246</v>
      </c>
      <c r="T1146" t="s">
        <v>2277</v>
      </c>
      <c r="U1146" t="s">
        <v>2278</v>
      </c>
    </row>
    <row r="1147" spans="1:33" x14ac:dyDescent="0.3">
      <c r="A1147">
        <v>3379</v>
      </c>
      <c r="B1147" t="s">
        <v>6611</v>
      </c>
      <c r="C1147" t="str">
        <f>"1100005564121"</f>
        <v>1100005564121</v>
      </c>
      <c r="D1147" t="str">
        <f>"KE0Y4NN00"</f>
        <v>KE0Y4NN00</v>
      </c>
      <c r="E1147" s="1">
        <v>42583</v>
      </c>
      <c r="F1147" t="s">
        <v>6612</v>
      </c>
      <c r="G1147" t="e">
        <f>INDEX(#REF!,MATCH(P1147,#REF!,0),1)</f>
        <v>#REF!</v>
      </c>
      <c r="H1147" t="s">
        <v>6613</v>
      </c>
      <c r="J1147" t="s">
        <v>6614</v>
      </c>
      <c r="K1147" t="s">
        <v>65</v>
      </c>
      <c r="L1147" t="s">
        <v>6615</v>
      </c>
      <c r="M1147" t="s">
        <v>6616</v>
      </c>
      <c r="N1147">
        <v>53913</v>
      </c>
      <c r="O1147" t="s">
        <v>318</v>
      </c>
      <c r="P1147">
        <v>3336</v>
      </c>
      <c r="Q1147" t="s">
        <v>6527</v>
      </c>
      <c r="R1147" t="s">
        <v>245</v>
      </c>
      <c r="S1147" t="s">
        <v>246</v>
      </c>
      <c r="T1147" t="s">
        <v>2277</v>
      </c>
      <c r="U1147" t="s">
        <v>2278</v>
      </c>
    </row>
    <row r="1148" spans="1:33" x14ac:dyDescent="0.3">
      <c r="A1148">
        <v>3380</v>
      </c>
      <c r="B1148" t="s">
        <v>6617</v>
      </c>
      <c r="C1148" t="str">
        <f>"1100005084117"</f>
        <v>1100005084117</v>
      </c>
      <c r="D1148" t="str">
        <f>"7V03LVL00"</f>
        <v>7V03LVL00</v>
      </c>
      <c r="E1148" s="1">
        <v>42583</v>
      </c>
      <c r="F1148" t="s">
        <v>6618</v>
      </c>
      <c r="G1148" t="e">
        <f>INDEX(#REF!,MATCH(P1148,#REF!,0),1)</f>
        <v>#REF!</v>
      </c>
      <c r="H1148" t="s">
        <v>6619</v>
      </c>
      <c r="J1148" t="s">
        <v>315</v>
      </c>
      <c r="K1148" t="s">
        <v>65</v>
      </c>
      <c r="L1148" t="s">
        <v>6620</v>
      </c>
      <c r="M1148" t="s">
        <v>6621</v>
      </c>
      <c r="N1148">
        <v>53913</v>
      </c>
      <c r="O1148" t="s">
        <v>318</v>
      </c>
      <c r="P1148">
        <v>3336</v>
      </c>
      <c r="Q1148" t="s">
        <v>6527</v>
      </c>
      <c r="R1148" t="s">
        <v>245</v>
      </c>
      <c r="S1148" t="s">
        <v>246</v>
      </c>
      <c r="T1148" t="s">
        <v>2277</v>
      </c>
      <c r="U1148" t="s">
        <v>2278</v>
      </c>
    </row>
    <row r="1149" spans="1:33" x14ac:dyDescent="0.3">
      <c r="A1149">
        <v>3422</v>
      </c>
      <c r="B1149" t="s">
        <v>6622</v>
      </c>
      <c r="C1149" t="str">
        <f>"1100009193235"</f>
        <v>1100009193235</v>
      </c>
      <c r="D1149" t="str">
        <f>""</f>
        <v/>
      </c>
      <c r="E1149" s="1">
        <v>44501</v>
      </c>
      <c r="F1149" t="s">
        <v>6623</v>
      </c>
      <c r="G1149" t="e">
        <f>INDEX(#REF!,MATCH(P1149,#REF!,0),1)</f>
        <v>#REF!</v>
      </c>
      <c r="H1149" t="s">
        <v>6624</v>
      </c>
      <c r="J1149" t="s">
        <v>6625</v>
      </c>
      <c r="K1149" t="s">
        <v>235</v>
      </c>
      <c r="L1149" t="s">
        <v>6626</v>
      </c>
      <c r="M1149" t="s">
        <v>3226</v>
      </c>
      <c r="N1149">
        <v>3422</v>
      </c>
      <c r="O1149" t="s">
        <v>6623</v>
      </c>
      <c r="P1149">
        <v>3422</v>
      </c>
      <c r="Q1149" t="s">
        <v>6623</v>
      </c>
      <c r="R1149" t="s">
        <v>6627</v>
      </c>
      <c r="S1149" t="s">
        <v>6628</v>
      </c>
      <c r="T1149" t="s">
        <v>44</v>
      </c>
      <c r="U1149" t="s">
        <v>45</v>
      </c>
      <c r="AC1149" t="s">
        <v>547</v>
      </c>
    </row>
    <row r="1150" spans="1:33" x14ac:dyDescent="0.3">
      <c r="A1150">
        <v>3426</v>
      </c>
      <c r="B1150" t="s">
        <v>6629</v>
      </c>
      <c r="C1150" t="str">
        <f>"1200144523703"</f>
        <v>1200144523703</v>
      </c>
      <c r="D1150" t="str">
        <f>"743320JF1"</f>
        <v>743320JF1</v>
      </c>
      <c r="E1150" s="1">
        <v>44348</v>
      </c>
      <c r="F1150" t="s">
        <v>6630</v>
      </c>
      <c r="G1150" t="e">
        <f>INDEX(#REF!,MATCH(P1150,#REF!,0),1)</f>
        <v>#REF!</v>
      </c>
      <c r="H1150" t="s">
        <v>6631</v>
      </c>
      <c r="J1150" t="s">
        <v>675</v>
      </c>
      <c r="K1150" t="s">
        <v>676</v>
      </c>
      <c r="L1150" t="s">
        <v>6632</v>
      </c>
      <c r="M1150" t="s">
        <v>6633</v>
      </c>
      <c r="N1150">
        <v>2449851</v>
      </c>
      <c r="O1150" t="s">
        <v>6634</v>
      </c>
      <c r="P1150">
        <v>2449851</v>
      </c>
      <c r="Q1150" t="s">
        <v>6634</v>
      </c>
      <c r="R1150" t="s">
        <v>679</v>
      </c>
      <c r="S1150" t="s">
        <v>680</v>
      </c>
      <c r="T1150" t="s">
        <v>44</v>
      </c>
      <c r="U1150" t="s">
        <v>6635</v>
      </c>
      <c r="AE1150" t="s">
        <v>72</v>
      </c>
      <c r="AG1150" t="s">
        <v>48</v>
      </c>
    </row>
    <row r="1151" spans="1:33" x14ac:dyDescent="0.3">
      <c r="A1151">
        <v>3431</v>
      </c>
      <c r="B1151" t="s">
        <v>6636</v>
      </c>
      <c r="C1151" t="str">
        <f>"1100002834272"</f>
        <v>1100002834272</v>
      </c>
      <c r="D1151" t="str">
        <f>"430540GF1"</f>
        <v>430540GF1</v>
      </c>
      <c r="E1151" s="1">
        <v>42583</v>
      </c>
      <c r="F1151" t="s">
        <v>6637</v>
      </c>
      <c r="G1151" t="e">
        <f>INDEX(#REF!,MATCH(P1151,#REF!,0),1)</f>
        <v>#REF!</v>
      </c>
      <c r="H1151" t="s">
        <v>6638</v>
      </c>
      <c r="J1151" t="s">
        <v>1926</v>
      </c>
      <c r="K1151" t="s">
        <v>342</v>
      </c>
      <c r="L1151">
        <v>60629</v>
      </c>
      <c r="M1151" t="s">
        <v>6639</v>
      </c>
      <c r="N1151">
        <v>2292954</v>
      </c>
      <c r="O1151" t="s">
        <v>6640</v>
      </c>
      <c r="P1151">
        <v>73224</v>
      </c>
      <c r="Q1151" t="s">
        <v>6641</v>
      </c>
      <c r="R1151" t="s">
        <v>492</v>
      </c>
      <c r="S1151" t="s">
        <v>493</v>
      </c>
      <c r="T1151" t="s">
        <v>117</v>
      </c>
      <c r="U1151" t="s">
        <v>4072</v>
      </c>
    </row>
    <row r="1152" spans="1:33" x14ac:dyDescent="0.3">
      <c r="A1152">
        <v>3435</v>
      </c>
      <c r="B1152" t="s">
        <v>6642</v>
      </c>
      <c r="C1152" t="str">
        <f>""</f>
        <v/>
      </c>
      <c r="D1152" t="str">
        <f>"410180E00"</f>
        <v>410180E00</v>
      </c>
      <c r="E1152" s="1">
        <v>36220</v>
      </c>
      <c r="F1152" t="s">
        <v>6643</v>
      </c>
      <c r="G1152" t="e">
        <f>INDEX(#REF!,MATCH(P1152,#REF!,0),1)</f>
        <v>#REF!</v>
      </c>
      <c r="H1152" t="s">
        <v>6644</v>
      </c>
      <c r="J1152" t="s">
        <v>6645</v>
      </c>
      <c r="K1152" t="s">
        <v>37</v>
      </c>
      <c r="L1152" t="s">
        <v>6646</v>
      </c>
      <c r="M1152" t="s">
        <v>6647</v>
      </c>
      <c r="N1152">
        <v>2294706</v>
      </c>
      <c r="O1152" t="s">
        <v>6648</v>
      </c>
      <c r="P1152">
        <v>2294706</v>
      </c>
      <c r="Q1152" t="s">
        <v>6648</v>
      </c>
      <c r="R1152" t="s">
        <v>6649</v>
      </c>
      <c r="S1152" t="s">
        <v>6650</v>
      </c>
      <c r="T1152" t="s">
        <v>44</v>
      </c>
      <c r="U1152" t="s">
        <v>45</v>
      </c>
      <c r="AC1152" t="s">
        <v>6651</v>
      </c>
    </row>
    <row r="1153" spans="1:33" x14ac:dyDescent="0.3">
      <c r="A1153">
        <v>3437</v>
      </c>
      <c r="B1153" t="s">
        <v>6652</v>
      </c>
      <c r="C1153" t="str">
        <f>""</f>
        <v/>
      </c>
      <c r="D1153" t="str">
        <f>""</f>
        <v/>
      </c>
      <c r="E1153" s="1">
        <v>41091</v>
      </c>
      <c r="F1153" t="s">
        <v>6653</v>
      </c>
      <c r="G1153" t="e">
        <f>INDEX(#REF!,MATCH(P1153,#REF!,0),1)</f>
        <v>#REF!</v>
      </c>
      <c r="H1153" t="s">
        <v>6654</v>
      </c>
      <c r="J1153" t="s">
        <v>869</v>
      </c>
      <c r="K1153" t="s">
        <v>88</v>
      </c>
      <c r="L1153" t="s">
        <v>6655</v>
      </c>
      <c r="M1153" t="s">
        <v>6656</v>
      </c>
      <c r="N1153">
        <v>3437</v>
      </c>
      <c r="O1153" t="s">
        <v>6653</v>
      </c>
      <c r="P1153">
        <v>3437</v>
      </c>
      <c r="Q1153" t="s">
        <v>6653</v>
      </c>
      <c r="R1153" t="s">
        <v>6657</v>
      </c>
      <c r="S1153" t="s">
        <v>6658</v>
      </c>
      <c r="T1153" t="s">
        <v>44</v>
      </c>
      <c r="U1153" t="s">
        <v>288</v>
      </c>
      <c r="X1153" t="s">
        <v>289</v>
      </c>
      <c r="AA1153" t="s">
        <v>290</v>
      </c>
      <c r="AG1153" t="s">
        <v>48</v>
      </c>
    </row>
    <row r="1154" spans="1:33" x14ac:dyDescent="0.3">
      <c r="A1154">
        <v>3441</v>
      </c>
      <c r="B1154" t="s">
        <v>6659</v>
      </c>
      <c r="C1154" t="str">
        <f>"1100003961557"</f>
        <v>1100003961557</v>
      </c>
      <c r="D1154" t="str">
        <f>""</f>
        <v/>
      </c>
      <c r="E1154" s="1">
        <v>35309</v>
      </c>
      <c r="F1154" t="s">
        <v>6660</v>
      </c>
      <c r="G1154" t="e">
        <f>INDEX(#REF!,MATCH(P1154,#REF!,0),1)</f>
        <v>#REF!</v>
      </c>
      <c r="H1154" t="s">
        <v>6661</v>
      </c>
      <c r="J1154" t="s">
        <v>6662</v>
      </c>
      <c r="K1154" t="s">
        <v>283</v>
      </c>
      <c r="L1154" t="s">
        <v>6663</v>
      </c>
      <c r="M1154" t="s">
        <v>6664</v>
      </c>
      <c r="N1154">
        <v>559</v>
      </c>
      <c r="O1154" t="s">
        <v>2041</v>
      </c>
      <c r="P1154">
        <v>3834</v>
      </c>
      <c r="Q1154" t="s">
        <v>4510</v>
      </c>
      <c r="R1154" t="s">
        <v>3864</v>
      </c>
      <c r="S1154" t="s">
        <v>3865</v>
      </c>
      <c r="T1154" t="s">
        <v>2277</v>
      </c>
      <c r="U1154" t="s">
        <v>2278</v>
      </c>
      <c r="V1154" t="s">
        <v>1824</v>
      </c>
      <c r="AD1154" t="s">
        <v>94</v>
      </c>
      <c r="AE1154" t="s">
        <v>120</v>
      </c>
    </row>
    <row r="1155" spans="1:33" x14ac:dyDescent="0.3">
      <c r="A1155">
        <v>3442</v>
      </c>
      <c r="B1155" t="s">
        <v>6665</v>
      </c>
      <c r="C1155" t="str">
        <f>"1100002599966"</f>
        <v>1100002599966</v>
      </c>
      <c r="D1155" t="str">
        <f>"320790L00"</f>
        <v>320790L00</v>
      </c>
      <c r="E1155" s="1">
        <v>40225</v>
      </c>
      <c r="F1155" t="s">
        <v>6666</v>
      </c>
      <c r="G1155" t="e">
        <f>INDEX(#REF!,MATCH(P1155,#REF!,0),1)</f>
        <v>#REF!</v>
      </c>
      <c r="H1155" t="s">
        <v>6667</v>
      </c>
      <c r="J1155" t="s">
        <v>6668</v>
      </c>
      <c r="K1155" t="s">
        <v>982</v>
      </c>
      <c r="L1155">
        <v>20650</v>
      </c>
      <c r="M1155" t="s">
        <v>6669</v>
      </c>
      <c r="N1155">
        <v>60113</v>
      </c>
      <c r="O1155" t="s">
        <v>2453</v>
      </c>
      <c r="P1155">
        <v>60113</v>
      </c>
      <c r="Q1155" t="s">
        <v>2453</v>
      </c>
      <c r="R1155" t="s">
        <v>986</v>
      </c>
      <c r="S1155" t="s">
        <v>987</v>
      </c>
      <c r="T1155" t="s">
        <v>44</v>
      </c>
      <c r="U1155" t="s">
        <v>45</v>
      </c>
      <c r="Y1155" t="s">
        <v>1317</v>
      </c>
      <c r="Z1155" s="1">
        <v>45474</v>
      </c>
      <c r="AA1155" t="s">
        <v>82</v>
      </c>
      <c r="AD1155" t="s">
        <v>94</v>
      </c>
      <c r="AE1155" t="s">
        <v>83</v>
      </c>
      <c r="AG1155" t="s">
        <v>48</v>
      </c>
    </row>
    <row r="1156" spans="1:33" x14ac:dyDescent="0.3">
      <c r="A1156">
        <v>3450</v>
      </c>
      <c r="B1156" t="s">
        <v>6670</v>
      </c>
      <c r="C1156" t="str">
        <f>"1100003540561"</f>
        <v>1100003540561</v>
      </c>
      <c r="D1156" t="str">
        <f>"360820J00"</f>
        <v>360820J00</v>
      </c>
      <c r="E1156" s="1">
        <v>42583</v>
      </c>
      <c r="F1156" t="s">
        <v>6671</v>
      </c>
      <c r="G1156" t="e">
        <f>INDEX(#REF!,MATCH(P1156,#REF!,0),1)</f>
        <v>#REF!</v>
      </c>
      <c r="H1156" t="s">
        <v>6672</v>
      </c>
      <c r="J1156" t="s">
        <v>6673</v>
      </c>
      <c r="K1156" t="s">
        <v>384</v>
      </c>
      <c r="L1156">
        <v>28602</v>
      </c>
      <c r="M1156" t="s">
        <v>6674</v>
      </c>
      <c r="N1156">
        <v>3450</v>
      </c>
      <c r="O1156" t="s">
        <v>6671</v>
      </c>
      <c r="P1156">
        <v>3450</v>
      </c>
      <c r="Q1156" t="s">
        <v>6671</v>
      </c>
      <c r="R1156" t="s">
        <v>2331</v>
      </c>
      <c r="S1156" t="s">
        <v>2332</v>
      </c>
      <c r="T1156" t="s">
        <v>44</v>
      </c>
      <c r="U1156" t="s">
        <v>45</v>
      </c>
      <c r="AC1156" t="s">
        <v>2333</v>
      </c>
    </row>
    <row r="1157" spans="1:33" x14ac:dyDescent="0.3">
      <c r="A1157">
        <v>3456</v>
      </c>
      <c r="B1157" t="s">
        <v>6675</v>
      </c>
      <c r="C1157" t="str">
        <f>""</f>
        <v/>
      </c>
      <c r="D1157" t="str">
        <f>"220670H00"</f>
        <v>220670H00</v>
      </c>
      <c r="E1157" s="1">
        <v>42583</v>
      </c>
      <c r="F1157" t="s">
        <v>6676</v>
      </c>
      <c r="G1157" t="e">
        <f>INDEX(#REF!,MATCH(P1157,#REF!,0),1)</f>
        <v>#REF!</v>
      </c>
      <c r="H1157" t="s">
        <v>6677</v>
      </c>
      <c r="J1157" t="s">
        <v>6678</v>
      </c>
      <c r="K1157" t="s">
        <v>251</v>
      </c>
      <c r="L1157" t="str">
        <f>"07042"</f>
        <v>07042</v>
      </c>
      <c r="M1157" t="s">
        <v>6679</v>
      </c>
      <c r="N1157">
        <v>35683</v>
      </c>
      <c r="O1157" t="s">
        <v>931</v>
      </c>
      <c r="P1157">
        <v>35683</v>
      </c>
      <c r="Q1157" t="s">
        <v>931</v>
      </c>
      <c r="R1157" t="s">
        <v>254</v>
      </c>
      <c r="S1157" t="s">
        <v>255</v>
      </c>
      <c r="T1157" t="s">
        <v>44</v>
      </c>
      <c r="U1157" t="s">
        <v>45</v>
      </c>
    </row>
    <row r="1158" spans="1:33" x14ac:dyDescent="0.3">
      <c r="A1158">
        <v>3459</v>
      </c>
      <c r="B1158" t="s">
        <v>6680</v>
      </c>
      <c r="C1158" t="str">
        <f>""</f>
        <v/>
      </c>
      <c r="D1158" t="str">
        <f>"721860O00"</f>
        <v>721860O00</v>
      </c>
      <c r="E1158" s="1">
        <v>35125</v>
      </c>
      <c r="F1158" t="s">
        <v>6681</v>
      </c>
      <c r="G1158" t="e">
        <f>INDEX(#REF!,MATCH(P1158,#REF!,0),1)</f>
        <v>#REF!</v>
      </c>
      <c r="H1158" t="s">
        <v>6682</v>
      </c>
      <c r="J1158" t="s">
        <v>6683</v>
      </c>
      <c r="K1158" t="s">
        <v>353</v>
      </c>
      <c r="L1158" t="s">
        <v>6684</v>
      </c>
      <c r="M1158" t="s">
        <v>6685</v>
      </c>
      <c r="N1158">
        <v>3459</v>
      </c>
      <c r="O1158" t="s">
        <v>6681</v>
      </c>
      <c r="P1158">
        <v>3459</v>
      </c>
      <c r="Q1158" t="s">
        <v>6681</v>
      </c>
      <c r="R1158" t="s">
        <v>356</v>
      </c>
      <c r="S1158" t="s">
        <v>357</v>
      </c>
      <c r="T1158" t="s">
        <v>44</v>
      </c>
      <c r="U1158" t="s">
        <v>45</v>
      </c>
      <c r="AA1158" t="s">
        <v>93</v>
      </c>
      <c r="AE1158" t="s">
        <v>220</v>
      </c>
    </row>
    <row r="1159" spans="1:33" x14ac:dyDescent="0.3">
      <c r="A1159">
        <v>3460</v>
      </c>
      <c r="B1159" t="s">
        <v>6686</v>
      </c>
      <c r="C1159" t="str">
        <f>"1100004169662"</f>
        <v>1100004169662</v>
      </c>
      <c r="D1159" t="str">
        <f>"3GRW29H00"</f>
        <v>3GRW29H00</v>
      </c>
      <c r="E1159" s="1">
        <v>31260</v>
      </c>
      <c r="F1159" t="s">
        <v>1155</v>
      </c>
      <c r="G1159" t="e">
        <f>INDEX(#REF!,MATCH(P1159,#REF!,0),1)</f>
        <v>#REF!</v>
      </c>
      <c r="H1159" t="s">
        <v>1693</v>
      </c>
      <c r="J1159" t="s">
        <v>1694</v>
      </c>
      <c r="K1159" t="s">
        <v>283</v>
      </c>
      <c r="L1159" t="s">
        <v>6687</v>
      </c>
      <c r="M1159" t="s">
        <v>1696</v>
      </c>
      <c r="N1159">
        <v>3460</v>
      </c>
      <c r="O1159" t="s">
        <v>1155</v>
      </c>
      <c r="P1159">
        <v>3460</v>
      </c>
      <c r="Q1159" t="s">
        <v>1155</v>
      </c>
      <c r="R1159" t="s">
        <v>1156</v>
      </c>
      <c r="S1159" t="s">
        <v>1157</v>
      </c>
      <c r="T1159" t="s">
        <v>44</v>
      </c>
      <c r="U1159" t="s">
        <v>81</v>
      </c>
      <c r="AA1159" t="s">
        <v>119</v>
      </c>
      <c r="AE1159" t="s">
        <v>120</v>
      </c>
    </row>
    <row r="1160" spans="1:33" x14ac:dyDescent="0.3">
      <c r="A1160">
        <v>3463</v>
      </c>
      <c r="B1160" t="s">
        <v>6688</v>
      </c>
      <c r="C1160" t="str">
        <f>"1100002914875"</f>
        <v>1100002914875</v>
      </c>
      <c r="D1160" t="str">
        <f>"420070D00"</f>
        <v>420070D00</v>
      </c>
      <c r="E1160" s="1">
        <v>35125</v>
      </c>
      <c r="F1160" t="s">
        <v>6689</v>
      </c>
      <c r="G1160" t="e">
        <f>INDEX(#REF!,MATCH(P1160,#REF!,0),1)</f>
        <v>#REF!</v>
      </c>
      <c r="H1160" t="s">
        <v>6690</v>
      </c>
      <c r="J1160" t="s">
        <v>6691</v>
      </c>
      <c r="K1160" t="s">
        <v>307</v>
      </c>
      <c r="L1160" t="s">
        <v>6692</v>
      </c>
      <c r="M1160" t="s">
        <v>6693</v>
      </c>
      <c r="N1160">
        <v>36874</v>
      </c>
      <c r="O1160" t="s">
        <v>710</v>
      </c>
      <c r="P1160">
        <v>36874</v>
      </c>
      <c r="Q1160" t="s">
        <v>710</v>
      </c>
      <c r="R1160" t="s">
        <v>711</v>
      </c>
      <c r="S1160" t="s">
        <v>712</v>
      </c>
      <c r="T1160" t="s">
        <v>44</v>
      </c>
      <c r="U1160" t="s">
        <v>45</v>
      </c>
      <c r="AD1160" t="s">
        <v>94</v>
      </c>
      <c r="AE1160" t="s">
        <v>60</v>
      </c>
      <c r="AG1160" t="s">
        <v>48</v>
      </c>
    </row>
    <row r="1161" spans="1:33" x14ac:dyDescent="0.3">
      <c r="A1161">
        <v>3465</v>
      </c>
      <c r="B1161" t="s">
        <v>6694</v>
      </c>
      <c r="C1161" t="str">
        <f>"1100005829855"</f>
        <v>1100005829855</v>
      </c>
      <c r="D1161" t="str">
        <f>"611800G00"</f>
        <v>611800G00</v>
      </c>
      <c r="E1161" s="1">
        <v>35125</v>
      </c>
      <c r="F1161" t="s">
        <v>6695</v>
      </c>
      <c r="G1161" t="e">
        <f>INDEX(#REF!,MATCH(P1161,#REF!,0),1)</f>
        <v>#REF!</v>
      </c>
      <c r="H1161" t="s">
        <v>6696</v>
      </c>
      <c r="J1161" t="s">
        <v>6697</v>
      </c>
      <c r="K1161" t="s">
        <v>283</v>
      </c>
      <c r="L1161" t="s">
        <v>6698</v>
      </c>
      <c r="M1161" t="s">
        <v>6699</v>
      </c>
      <c r="N1161">
        <v>871561</v>
      </c>
      <c r="O1161" t="s">
        <v>194</v>
      </c>
      <c r="P1161">
        <v>102627</v>
      </c>
      <c r="Q1161" t="s">
        <v>3048</v>
      </c>
      <c r="R1161" t="s">
        <v>196</v>
      </c>
      <c r="S1161" t="s">
        <v>197</v>
      </c>
      <c r="T1161" t="s">
        <v>44</v>
      </c>
      <c r="U1161" t="s">
        <v>45</v>
      </c>
      <c r="AA1161" t="s">
        <v>119</v>
      </c>
      <c r="AE1161" t="s">
        <v>120</v>
      </c>
      <c r="AG1161" t="s">
        <v>48</v>
      </c>
    </row>
    <row r="1162" spans="1:33" x14ac:dyDescent="0.3">
      <c r="A1162">
        <v>3466</v>
      </c>
      <c r="B1162" t="s">
        <v>6700</v>
      </c>
      <c r="C1162" t="str">
        <f>"1100003176159"</f>
        <v>1100003176159</v>
      </c>
      <c r="D1162" t="str">
        <f>"611510E00"</f>
        <v>611510E00</v>
      </c>
      <c r="E1162" s="1">
        <v>41091</v>
      </c>
      <c r="F1162" t="s">
        <v>6701</v>
      </c>
      <c r="G1162" t="e">
        <f>INDEX(#REF!,MATCH(P1162,#REF!,0),1)</f>
        <v>#REF!</v>
      </c>
      <c r="H1162" t="s">
        <v>6702</v>
      </c>
      <c r="J1162" t="s">
        <v>3956</v>
      </c>
      <c r="K1162" t="s">
        <v>283</v>
      </c>
      <c r="L1162" t="s">
        <v>6703</v>
      </c>
      <c r="M1162" t="s">
        <v>6704</v>
      </c>
      <c r="N1162">
        <v>1421</v>
      </c>
      <c r="O1162" t="s">
        <v>280</v>
      </c>
      <c r="P1162">
        <v>1421</v>
      </c>
      <c r="Q1162" t="s">
        <v>280</v>
      </c>
      <c r="R1162" t="s">
        <v>286</v>
      </c>
      <c r="S1162" t="s">
        <v>287</v>
      </c>
      <c r="T1162" t="s">
        <v>44</v>
      </c>
      <c r="U1162" t="s">
        <v>288</v>
      </c>
      <c r="X1162" t="s">
        <v>289</v>
      </c>
      <c r="AA1162" t="s">
        <v>119</v>
      </c>
      <c r="AB1162" t="s">
        <v>290</v>
      </c>
      <c r="AG1162" t="s">
        <v>48</v>
      </c>
    </row>
    <row r="1163" spans="1:33" x14ac:dyDescent="0.3">
      <c r="A1163">
        <v>3467</v>
      </c>
      <c r="B1163" t="s">
        <v>6705</v>
      </c>
      <c r="C1163" t="str">
        <f>""</f>
        <v/>
      </c>
      <c r="D1163" t="str">
        <f>"2JFRN1F00"</f>
        <v>2JFRN1F00</v>
      </c>
      <c r="E1163" s="1">
        <v>35125</v>
      </c>
      <c r="F1163" t="s">
        <v>6706</v>
      </c>
      <c r="G1163" t="e">
        <f>INDEX(#REF!,MATCH(P1163,#REF!,0),1)</f>
        <v>#REF!</v>
      </c>
      <c r="H1163" t="s">
        <v>6707</v>
      </c>
      <c r="J1163" t="s">
        <v>306</v>
      </c>
      <c r="K1163" t="s">
        <v>307</v>
      </c>
      <c r="L1163" t="s">
        <v>6708</v>
      </c>
      <c r="M1163" t="s">
        <v>6709</v>
      </c>
      <c r="N1163">
        <v>67</v>
      </c>
      <c r="O1163" t="s">
        <v>304</v>
      </c>
      <c r="P1163">
        <v>67</v>
      </c>
      <c r="Q1163" t="s">
        <v>304</v>
      </c>
      <c r="R1163" t="s">
        <v>3807</v>
      </c>
      <c r="S1163" t="s">
        <v>3808</v>
      </c>
      <c r="T1163" t="s">
        <v>117</v>
      </c>
      <c r="U1163" t="s">
        <v>2479</v>
      </c>
      <c r="V1163" t="s">
        <v>1824</v>
      </c>
      <c r="AE1163" t="s">
        <v>269</v>
      </c>
    </row>
    <row r="1164" spans="1:33" x14ac:dyDescent="0.3">
      <c r="A1164">
        <v>3468</v>
      </c>
      <c r="B1164" t="s">
        <v>6710</v>
      </c>
      <c r="C1164" t="str">
        <f>"1100005175914"</f>
        <v>1100005175914</v>
      </c>
      <c r="D1164" t="str">
        <f>"B8O55ZG00"</f>
        <v>B8O55ZG00</v>
      </c>
      <c r="E1164" s="1">
        <v>35125</v>
      </c>
      <c r="F1164" t="s">
        <v>6711</v>
      </c>
      <c r="G1164" t="e">
        <f>INDEX(#REF!,MATCH(P1164,#REF!,0),1)</f>
        <v>#REF!</v>
      </c>
      <c r="H1164" t="s">
        <v>6712</v>
      </c>
      <c r="J1164" t="s">
        <v>306</v>
      </c>
      <c r="K1164" t="s">
        <v>307</v>
      </c>
      <c r="L1164" t="s">
        <v>6713</v>
      </c>
      <c r="M1164" t="s">
        <v>6714</v>
      </c>
      <c r="N1164">
        <v>67</v>
      </c>
      <c r="O1164" t="s">
        <v>304</v>
      </c>
      <c r="P1164">
        <v>3467</v>
      </c>
      <c r="Q1164" t="s">
        <v>6706</v>
      </c>
      <c r="R1164" t="s">
        <v>3807</v>
      </c>
      <c r="S1164" t="s">
        <v>3808</v>
      </c>
      <c r="T1164" t="s">
        <v>117</v>
      </c>
      <c r="U1164" t="s">
        <v>2479</v>
      </c>
      <c r="V1164" t="s">
        <v>1824</v>
      </c>
      <c r="AE1164" t="s">
        <v>269</v>
      </c>
    </row>
    <row r="1165" spans="1:33" x14ac:dyDescent="0.3">
      <c r="A1165">
        <v>3469</v>
      </c>
      <c r="B1165" t="s">
        <v>6715</v>
      </c>
      <c r="C1165" t="str">
        <f>"1100004861139"</f>
        <v>1100004861139</v>
      </c>
      <c r="D1165" t="str">
        <f>"6JKT7CL00"</f>
        <v>6JKT7CL00</v>
      </c>
      <c r="E1165" s="1">
        <v>35125</v>
      </c>
      <c r="F1165" t="s">
        <v>6716</v>
      </c>
      <c r="G1165" t="e">
        <f>INDEX(#REF!,MATCH(P1165,#REF!,0),1)</f>
        <v>#REF!</v>
      </c>
      <c r="H1165" t="s">
        <v>6717</v>
      </c>
      <c r="J1165" t="s">
        <v>306</v>
      </c>
      <c r="K1165" t="s">
        <v>307</v>
      </c>
      <c r="L1165" t="s">
        <v>6718</v>
      </c>
      <c r="M1165" t="s">
        <v>6719</v>
      </c>
      <c r="N1165">
        <v>67</v>
      </c>
      <c r="O1165" t="s">
        <v>304</v>
      </c>
      <c r="P1165">
        <v>3467</v>
      </c>
      <c r="Q1165" t="s">
        <v>6706</v>
      </c>
      <c r="R1165" t="s">
        <v>3807</v>
      </c>
      <c r="S1165" t="s">
        <v>3808</v>
      </c>
      <c r="T1165" t="s">
        <v>117</v>
      </c>
      <c r="U1165" t="s">
        <v>2479</v>
      </c>
      <c r="V1165" t="s">
        <v>1824</v>
      </c>
      <c r="AE1165" t="s">
        <v>269</v>
      </c>
    </row>
    <row r="1166" spans="1:33" x14ac:dyDescent="0.3">
      <c r="A1166">
        <v>3479</v>
      </c>
      <c r="B1166" t="s">
        <v>6720</v>
      </c>
      <c r="C1166" t="str">
        <f>"1100004304247"</f>
        <v>1100004304247</v>
      </c>
      <c r="D1166" t="str">
        <f>""</f>
        <v/>
      </c>
      <c r="E1166" s="1">
        <v>44562</v>
      </c>
      <c r="F1166" t="s">
        <v>6721</v>
      </c>
      <c r="G1166" t="e">
        <f>INDEX(#REF!,MATCH(P1166,#REF!,0),1)</f>
        <v>#REF!</v>
      </c>
      <c r="H1166" t="s">
        <v>6722</v>
      </c>
      <c r="J1166" t="s">
        <v>2226</v>
      </c>
      <c r="K1166" t="s">
        <v>37</v>
      </c>
      <c r="L1166" t="s">
        <v>6723</v>
      </c>
      <c r="M1166" t="s">
        <v>3226</v>
      </c>
      <c r="N1166">
        <v>3479</v>
      </c>
      <c r="O1166" t="s">
        <v>6721</v>
      </c>
      <c r="P1166">
        <v>3479</v>
      </c>
      <c r="Q1166" t="s">
        <v>6721</v>
      </c>
      <c r="R1166" t="s">
        <v>245</v>
      </c>
      <c r="S1166" t="s">
        <v>246</v>
      </c>
      <c r="T1166" t="s">
        <v>44</v>
      </c>
      <c r="U1166" t="s">
        <v>45</v>
      </c>
    </row>
    <row r="1167" spans="1:33" x14ac:dyDescent="0.3">
      <c r="A1167">
        <v>3482</v>
      </c>
      <c r="B1167" t="s">
        <v>6724</v>
      </c>
      <c r="C1167" t="str">
        <f>"1100004752215"</f>
        <v>1100004752215</v>
      </c>
      <c r="D1167" t="str">
        <f>""</f>
        <v/>
      </c>
      <c r="E1167" s="1">
        <v>44501</v>
      </c>
      <c r="F1167" t="s">
        <v>6725</v>
      </c>
      <c r="G1167" t="e">
        <f>INDEX(#REF!,MATCH(P1167,#REF!,0),1)</f>
        <v>#REF!</v>
      </c>
      <c r="H1167" t="s">
        <v>6726</v>
      </c>
      <c r="J1167" t="s">
        <v>6727</v>
      </c>
      <c r="K1167" t="s">
        <v>235</v>
      </c>
      <c r="L1167" t="s">
        <v>6728</v>
      </c>
      <c r="M1167" t="s">
        <v>3226</v>
      </c>
      <c r="N1167">
        <v>3482</v>
      </c>
      <c r="O1167" t="s">
        <v>6725</v>
      </c>
      <c r="P1167">
        <v>3482</v>
      </c>
      <c r="Q1167" t="s">
        <v>6725</v>
      </c>
      <c r="R1167" t="s">
        <v>237</v>
      </c>
      <c r="S1167" t="s">
        <v>238</v>
      </c>
      <c r="T1167" t="s">
        <v>44</v>
      </c>
      <c r="U1167" t="s">
        <v>45</v>
      </c>
    </row>
    <row r="1168" spans="1:33" x14ac:dyDescent="0.3">
      <c r="A1168">
        <v>3490</v>
      </c>
      <c r="B1168" t="s">
        <v>6729</v>
      </c>
      <c r="C1168" t="str">
        <f>""</f>
        <v/>
      </c>
      <c r="D1168" t="str">
        <f>""</f>
        <v/>
      </c>
      <c r="E1168" s="1">
        <v>43154</v>
      </c>
      <c r="F1168" t="s">
        <v>6730</v>
      </c>
      <c r="G1168" t="e">
        <f>INDEX(#REF!,MATCH(P1168,#REF!,0),1)</f>
        <v>#REF!</v>
      </c>
      <c r="H1168" t="s">
        <v>6731</v>
      </c>
      <c r="J1168" t="s">
        <v>6732</v>
      </c>
      <c r="K1168" t="s">
        <v>342</v>
      </c>
      <c r="L1168">
        <v>60452</v>
      </c>
      <c r="M1168" t="s">
        <v>6733</v>
      </c>
      <c r="N1168">
        <v>110133</v>
      </c>
      <c r="O1168" t="s">
        <v>6734</v>
      </c>
      <c r="P1168">
        <v>110133</v>
      </c>
      <c r="Q1168" t="s">
        <v>6734</v>
      </c>
      <c r="R1168" t="s">
        <v>335</v>
      </c>
      <c r="S1168" t="s">
        <v>336</v>
      </c>
      <c r="T1168" t="s">
        <v>44</v>
      </c>
      <c r="U1168" t="s">
        <v>45</v>
      </c>
      <c r="AG1168" t="s">
        <v>48</v>
      </c>
    </row>
    <row r="1169" spans="1:33" x14ac:dyDescent="0.3">
      <c r="A1169">
        <v>3493</v>
      </c>
      <c r="B1169" t="s">
        <v>6735</v>
      </c>
      <c r="C1169" t="str">
        <f>"1100003266690"</f>
        <v>1100003266690</v>
      </c>
      <c r="D1169" t="str">
        <f>""</f>
        <v/>
      </c>
      <c r="E1169" s="1">
        <v>42583</v>
      </c>
      <c r="F1169" t="s">
        <v>6736</v>
      </c>
      <c r="G1169" t="e">
        <f>INDEX(#REF!,MATCH(P1169,#REF!,0),1)</f>
        <v>#REF!</v>
      </c>
      <c r="H1169" t="s">
        <v>6737</v>
      </c>
      <c r="I1169" t="s">
        <v>6738</v>
      </c>
      <c r="J1169" t="s">
        <v>6739</v>
      </c>
      <c r="K1169" t="s">
        <v>307</v>
      </c>
      <c r="L1169">
        <v>46312</v>
      </c>
      <c r="M1169" t="s">
        <v>6740</v>
      </c>
      <c r="N1169">
        <v>778955</v>
      </c>
      <c r="O1169" t="s">
        <v>6741</v>
      </c>
      <c r="P1169">
        <v>778955</v>
      </c>
      <c r="Q1169" t="s">
        <v>6741</v>
      </c>
      <c r="R1169" t="s">
        <v>1046</v>
      </c>
      <c r="S1169" t="s">
        <v>1047</v>
      </c>
      <c r="T1169" t="s">
        <v>44</v>
      </c>
      <c r="U1169" t="s">
        <v>45</v>
      </c>
      <c r="AA1169" t="s">
        <v>211</v>
      </c>
    </row>
    <row r="1170" spans="1:33" x14ac:dyDescent="0.3">
      <c r="A1170">
        <v>3496</v>
      </c>
      <c r="B1170" t="s">
        <v>6742</v>
      </c>
      <c r="C1170" t="str">
        <f>""</f>
        <v/>
      </c>
      <c r="D1170" t="str">
        <f>"720390L00"</f>
        <v>720390L00</v>
      </c>
      <c r="E1170" s="1">
        <v>35156</v>
      </c>
      <c r="F1170" t="s">
        <v>6743</v>
      </c>
      <c r="G1170" t="e">
        <f>INDEX(#REF!,MATCH(P1170,#REF!,0),1)</f>
        <v>#REF!</v>
      </c>
      <c r="H1170" t="s">
        <v>6744</v>
      </c>
      <c r="J1170" t="s">
        <v>155</v>
      </c>
      <c r="K1170" t="s">
        <v>353</v>
      </c>
      <c r="L1170" t="s">
        <v>6745</v>
      </c>
      <c r="M1170" t="s">
        <v>6746</v>
      </c>
      <c r="N1170">
        <v>3496</v>
      </c>
      <c r="O1170" t="s">
        <v>6743</v>
      </c>
      <c r="P1170">
        <v>3496</v>
      </c>
      <c r="Q1170" t="s">
        <v>6743</v>
      </c>
      <c r="R1170" t="s">
        <v>893</v>
      </c>
      <c r="S1170" t="s">
        <v>894</v>
      </c>
      <c r="T1170" t="s">
        <v>44</v>
      </c>
      <c r="U1170" t="s">
        <v>45</v>
      </c>
      <c r="AA1170" t="s">
        <v>93</v>
      </c>
      <c r="AB1170" t="s">
        <v>105</v>
      </c>
      <c r="AE1170" t="s">
        <v>220</v>
      </c>
    </row>
    <row r="1171" spans="1:33" x14ac:dyDescent="0.3">
      <c r="A1171">
        <v>3497</v>
      </c>
      <c r="B1171" t="s">
        <v>6747</v>
      </c>
      <c r="C1171" t="str">
        <f>""</f>
        <v/>
      </c>
      <c r="D1171" t="str">
        <f>"6GK20LT00"</f>
        <v>6GK20LT00</v>
      </c>
      <c r="E1171" s="1">
        <v>35156</v>
      </c>
      <c r="F1171" t="s">
        <v>6748</v>
      </c>
      <c r="G1171" t="e">
        <f>INDEX(#REF!,MATCH(P1171,#REF!,0),1)</f>
        <v>#REF!</v>
      </c>
      <c r="H1171" t="s">
        <v>6749</v>
      </c>
      <c r="J1171" t="s">
        <v>6750</v>
      </c>
      <c r="K1171" t="s">
        <v>88</v>
      </c>
      <c r="L1171" t="s">
        <v>6751</v>
      </c>
      <c r="M1171" t="s">
        <v>6752</v>
      </c>
      <c r="N1171">
        <v>251</v>
      </c>
      <c r="O1171" t="s">
        <v>90</v>
      </c>
      <c r="P1171">
        <v>251</v>
      </c>
      <c r="Q1171" t="s">
        <v>90</v>
      </c>
      <c r="R1171" t="s">
        <v>91</v>
      </c>
      <c r="S1171" t="s">
        <v>92</v>
      </c>
      <c r="T1171" t="s">
        <v>44</v>
      </c>
      <c r="U1171" t="s">
        <v>45</v>
      </c>
      <c r="AA1171" t="s">
        <v>93</v>
      </c>
      <c r="AC1171" t="s">
        <v>90</v>
      </c>
      <c r="AD1171" t="s">
        <v>94</v>
      </c>
      <c r="AE1171" t="s">
        <v>72</v>
      </c>
      <c r="AG1171" t="s">
        <v>48</v>
      </c>
    </row>
    <row r="1172" spans="1:33" x14ac:dyDescent="0.3">
      <c r="A1172">
        <v>3498</v>
      </c>
      <c r="B1172" t="s">
        <v>6753</v>
      </c>
      <c r="C1172" t="str">
        <f>""</f>
        <v/>
      </c>
      <c r="D1172" t="str">
        <f>"931740O00"</f>
        <v>931740O00</v>
      </c>
      <c r="E1172" s="1">
        <v>35156</v>
      </c>
      <c r="F1172" t="s">
        <v>6754</v>
      </c>
      <c r="G1172" t="e">
        <f>INDEX(#REF!,MATCH(P1172,#REF!,0),1)</f>
        <v>#REF!</v>
      </c>
      <c r="H1172" t="s">
        <v>6755</v>
      </c>
      <c r="J1172" t="s">
        <v>5180</v>
      </c>
      <c r="K1172" t="s">
        <v>88</v>
      </c>
      <c r="L1172" t="s">
        <v>6756</v>
      </c>
      <c r="M1172" t="s">
        <v>6757</v>
      </c>
      <c r="N1172">
        <v>1691</v>
      </c>
      <c r="O1172" t="s">
        <v>1570</v>
      </c>
      <c r="P1172">
        <v>1691</v>
      </c>
      <c r="Q1172" t="s">
        <v>1570</v>
      </c>
      <c r="R1172" t="s">
        <v>1571</v>
      </c>
      <c r="S1172" t="s">
        <v>1572</v>
      </c>
      <c r="T1172" t="s">
        <v>44</v>
      </c>
      <c r="U1172" t="s">
        <v>45</v>
      </c>
      <c r="AA1172" t="s">
        <v>1032</v>
      </c>
      <c r="AD1172" t="s">
        <v>94</v>
      </c>
      <c r="AE1172" t="s">
        <v>1033</v>
      </c>
    </row>
    <row r="1173" spans="1:33" x14ac:dyDescent="0.3">
      <c r="A1173">
        <v>3502</v>
      </c>
      <c r="B1173" t="s">
        <v>6758</v>
      </c>
      <c r="C1173" t="str">
        <f>"1100005378957"</f>
        <v>1100005378957</v>
      </c>
      <c r="D1173" t="str">
        <f>"20PHDBW00"</f>
        <v>20PHDBW00</v>
      </c>
      <c r="E1173" s="1">
        <v>35156</v>
      </c>
      <c r="F1173" t="s">
        <v>6759</v>
      </c>
      <c r="G1173" t="e">
        <f>INDEX(#REF!,MATCH(P1173,#REF!,0),1)</f>
        <v>#REF!</v>
      </c>
      <c r="H1173" t="s">
        <v>6760</v>
      </c>
      <c r="J1173" t="s">
        <v>6761</v>
      </c>
      <c r="K1173" t="s">
        <v>88</v>
      </c>
      <c r="L1173" t="s">
        <v>6762</v>
      </c>
      <c r="M1173" t="s">
        <v>6763</v>
      </c>
      <c r="N1173">
        <v>812</v>
      </c>
      <c r="O1173" t="s">
        <v>2814</v>
      </c>
      <c r="P1173">
        <v>812</v>
      </c>
      <c r="Q1173" t="s">
        <v>2814</v>
      </c>
      <c r="R1173" t="s">
        <v>1571</v>
      </c>
      <c r="S1173" t="s">
        <v>1572</v>
      </c>
      <c r="T1173" t="s">
        <v>44</v>
      </c>
      <c r="U1173" t="s">
        <v>45</v>
      </c>
      <c r="AA1173" t="s">
        <v>1032</v>
      </c>
      <c r="AD1173" t="s">
        <v>94</v>
      </c>
      <c r="AE1173" t="s">
        <v>1033</v>
      </c>
    </row>
    <row r="1174" spans="1:33" x14ac:dyDescent="0.3">
      <c r="A1174">
        <v>3503</v>
      </c>
      <c r="B1174" t="s">
        <v>6764</v>
      </c>
      <c r="C1174" t="str">
        <f>"1100094541690"</f>
        <v>1100094541690</v>
      </c>
      <c r="D1174" t="str">
        <f>"3P3CVRT00"</f>
        <v>3P3CVRT00</v>
      </c>
      <c r="E1174" s="1">
        <v>35218</v>
      </c>
      <c r="F1174" t="s">
        <v>6765</v>
      </c>
      <c r="G1174" t="e">
        <f>INDEX(#REF!,MATCH(P1174,#REF!,0),1)</f>
        <v>#REF!</v>
      </c>
      <c r="H1174" t="s">
        <v>6766</v>
      </c>
      <c r="J1174" t="s">
        <v>6767</v>
      </c>
      <c r="K1174" t="s">
        <v>2004</v>
      </c>
      <c r="L1174" t="str">
        <f>"02537-1370"</f>
        <v>02537-1370</v>
      </c>
      <c r="M1174" t="s">
        <v>6768</v>
      </c>
      <c r="N1174">
        <v>2598</v>
      </c>
      <c r="O1174" t="s">
        <v>2136</v>
      </c>
      <c r="P1174">
        <v>2598</v>
      </c>
      <c r="Q1174" t="s">
        <v>2136</v>
      </c>
      <c r="R1174" t="s">
        <v>2492</v>
      </c>
      <c r="S1174" t="s">
        <v>2493</v>
      </c>
      <c r="T1174" t="s">
        <v>44</v>
      </c>
      <c r="U1174" t="s">
        <v>45</v>
      </c>
      <c r="AE1174" t="s">
        <v>72</v>
      </c>
      <c r="AG1174" t="s">
        <v>48</v>
      </c>
    </row>
    <row r="1175" spans="1:33" x14ac:dyDescent="0.3">
      <c r="A1175">
        <v>3505</v>
      </c>
      <c r="B1175" t="s">
        <v>6769</v>
      </c>
      <c r="C1175" t="str">
        <f>"1100009208373"</f>
        <v>1100009208373</v>
      </c>
      <c r="D1175" t="str">
        <f>"53C7DFJ00"</f>
        <v>53C7DFJ00</v>
      </c>
      <c r="E1175" s="1">
        <v>35156</v>
      </c>
      <c r="F1175" t="s">
        <v>6770</v>
      </c>
      <c r="G1175" t="e">
        <f>INDEX(#REF!,MATCH(P1175,#REF!,0),1)</f>
        <v>#REF!</v>
      </c>
      <c r="H1175" t="s">
        <v>6771</v>
      </c>
      <c r="J1175" t="s">
        <v>430</v>
      </c>
      <c r="K1175" t="s">
        <v>139</v>
      </c>
      <c r="L1175">
        <v>37909</v>
      </c>
      <c r="M1175" t="s">
        <v>6772</v>
      </c>
      <c r="N1175">
        <v>7585</v>
      </c>
      <c r="O1175" t="s">
        <v>433</v>
      </c>
      <c r="P1175">
        <v>7585</v>
      </c>
      <c r="Q1175" t="s">
        <v>433</v>
      </c>
      <c r="R1175" t="s">
        <v>4838</v>
      </c>
      <c r="S1175" t="s">
        <v>4839</v>
      </c>
      <c r="T1175" t="s">
        <v>3141</v>
      </c>
      <c r="U1175" t="s">
        <v>3142</v>
      </c>
      <c r="V1175" t="s">
        <v>1824</v>
      </c>
      <c r="AA1175" t="s">
        <v>119</v>
      </c>
      <c r="AE1175" t="s">
        <v>120</v>
      </c>
    </row>
    <row r="1176" spans="1:33" x14ac:dyDescent="0.3">
      <c r="A1176">
        <v>3508</v>
      </c>
      <c r="B1176" t="s">
        <v>6773</v>
      </c>
      <c r="C1176" t="str">
        <f>""</f>
        <v/>
      </c>
      <c r="D1176" t="str">
        <f>"0XF6N5A00"</f>
        <v>0XF6N5A00</v>
      </c>
      <c r="E1176" s="1">
        <v>35156</v>
      </c>
      <c r="F1176" t="s">
        <v>6774</v>
      </c>
      <c r="G1176" t="e">
        <f>INDEX(#REF!,MATCH(P1176,#REF!,0),1)</f>
        <v>#REF!</v>
      </c>
      <c r="H1176" t="s">
        <v>132</v>
      </c>
      <c r="J1176" t="s">
        <v>110</v>
      </c>
      <c r="K1176" t="s">
        <v>111</v>
      </c>
      <c r="L1176" t="s">
        <v>133</v>
      </c>
      <c r="M1176" t="s">
        <v>6775</v>
      </c>
      <c r="N1176">
        <v>28</v>
      </c>
      <c r="O1176" t="s">
        <v>114</v>
      </c>
      <c r="P1176">
        <v>28</v>
      </c>
      <c r="Q1176" t="s">
        <v>114</v>
      </c>
      <c r="R1176" t="s">
        <v>4838</v>
      </c>
      <c r="S1176" t="s">
        <v>4839</v>
      </c>
      <c r="T1176" t="s">
        <v>117</v>
      </c>
      <c r="U1176" t="s">
        <v>4072</v>
      </c>
      <c r="V1176" t="s">
        <v>1824</v>
      </c>
      <c r="AA1176" t="s">
        <v>119</v>
      </c>
      <c r="AE1176" t="s">
        <v>120</v>
      </c>
    </row>
    <row r="1177" spans="1:33" x14ac:dyDescent="0.3">
      <c r="A1177">
        <v>3510</v>
      </c>
      <c r="B1177" t="s">
        <v>6776</v>
      </c>
      <c r="C1177" t="str">
        <f>""</f>
        <v/>
      </c>
      <c r="D1177" t="str">
        <f>"91X4XFN00"</f>
        <v>91X4XFN00</v>
      </c>
      <c r="E1177" s="1">
        <v>35065</v>
      </c>
      <c r="F1177" t="s">
        <v>6777</v>
      </c>
      <c r="G1177" t="e">
        <f>INDEX(#REF!,MATCH(P1177,#REF!,0),1)</f>
        <v>#REF!</v>
      </c>
      <c r="H1177" t="s">
        <v>6778</v>
      </c>
      <c r="J1177" t="s">
        <v>110</v>
      </c>
      <c r="K1177" t="s">
        <v>111</v>
      </c>
      <c r="L1177">
        <v>72205</v>
      </c>
      <c r="M1177" t="s">
        <v>6779</v>
      </c>
      <c r="N1177">
        <v>28</v>
      </c>
      <c r="O1177" t="s">
        <v>114</v>
      </c>
      <c r="P1177">
        <v>28</v>
      </c>
      <c r="Q1177" t="s">
        <v>114</v>
      </c>
      <c r="R1177" t="s">
        <v>4838</v>
      </c>
      <c r="S1177" t="s">
        <v>4839</v>
      </c>
      <c r="T1177" t="s">
        <v>117</v>
      </c>
      <c r="U1177" t="s">
        <v>4108</v>
      </c>
      <c r="V1177" t="s">
        <v>1824</v>
      </c>
      <c r="AA1177" t="s">
        <v>119</v>
      </c>
      <c r="AE1177" t="s">
        <v>120</v>
      </c>
    </row>
    <row r="1178" spans="1:33" x14ac:dyDescent="0.3">
      <c r="A1178">
        <v>3527</v>
      </c>
      <c r="B1178" t="s">
        <v>6780</v>
      </c>
      <c r="C1178" t="str">
        <f>"1100002983796"</f>
        <v>1100002983796</v>
      </c>
      <c r="D1178" t="str">
        <f>"440770M00"</f>
        <v>440770M00</v>
      </c>
      <c r="E1178" s="1">
        <v>44835</v>
      </c>
      <c r="F1178" t="s">
        <v>6781</v>
      </c>
      <c r="G1178" t="e">
        <f>INDEX(#REF!,MATCH(P1178,#REF!,0),1)</f>
        <v>#REF!</v>
      </c>
      <c r="H1178" t="s">
        <v>6782</v>
      </c>
      <c r="J1178" t="s">
        <v>6783</v>
      </c>
      <c r="K1178" t="s">
        <v>261</v>
      </c>
      <c r="L1178">
        <v>48336</v>
      </c>
      <c r="M1178" t="s">
        <v>6784</v>
      </c>
      <c r="N1178">
        <v>4168349</v>
      </c>
      <c r="O1178" t="s">
        <v>264</v>
      </c>
      <c r="P1178">
        <v>281</v>
      </c>
      <c r="Q1178" t="s">
        <v>758</v>
      </c>
      <c r="R1178" t="s">
        <v>266</v>
      </c>
      <c r="S1178" t="s">
        <v>267</v>
      </c>
      <c r="T1178" t="s">
        <v>44</v>
      </c>
      <c r="U1178" t="s">
        <v>45</v>
      </c>
      <c r="Y1178" t="s">
        <v>46</v>
      </c>
      <c r="Z1178" s="1">
        <v>44835</v>
      </c>
      <c r="AE1178" t="s">
        <v>269</v>
      </c>
      <c r="AG1178" t="s">
        <v>48</v>
      </c>
    </row>
    <row r="1179" spans="1:33" x14ac:dyDescent="0.3">
      <c r="A1179">
        <v>3540</v>
      </c>
      <c r="B1179" t="s">
        <v>6785</v>
      </c>
      <c r="C1179" t="str">
        <f>""</f>
        <v/>
      </c>
      <c r="D1179" t="str">
        <f>"411010700"</f>
        <v>411010700</v>
      </c>
      <c r="E1179" s="1">
        <v>35674</v>
      </c>
      <c r="F1179" t="s">
        <v>6786</v>
      </c>
      <c r="G1179" t="e">
        <f>INDEX(#REF!,MATCH(P1179,#REF!,0),1)</f>
        <v>#REF!</v>
      </c>
      <c r="H1179" t="s">
        <v>6787</v>
      </c>
      <c r="J1179" t="s">
        <v>632</v>
      </c>
      <c r="K1179" t="s">
        <v>37</v>
      </c>
      <c r="L1179" t="s">
        <v>6788</v>
      </c>
      <c r="M1179" t="s">
        <v>6789</v>
      </c>
      <c r="N1179">
        <v>707715</v>
      </c>
      <c r="O1179" t="s">
        <v>635</v>
      </c>
      <c r="P1179">
        <v>707715</v>
      </c>
      <c r="Q1179" t="s">
        <v>635</v>
      </c>
      <c r="R1179" t="s">
        <v>520</v>
      </c>
      <c r="S1179" t="s">
        <v>521</v>
      </c>
      <c r="T1179" t="s">
        <v>44</v>
      </c>
      <c r="U1179" t="s">
        <v>45</v>
      </c>
      <c r="AA1179" t="s">
        <v>58</v>
      </c>
      <c r="AC1179" t="s">
        <v>635</v>
      </c>
      <c r="AG1179" t="s">
        <v>48</v>
      </c>
    </row>
    <row r="1180" spans="1:33" x14ac:dyDescent="0.3">
      <c r="A1180">
        <v>3545</v>
      </c>
      <c r="B1180" t="s">
        <v>6790</v>
      </c>
      <c r="C1180" t="str">
        <f>"1200144345411"</f>
        <v>1200144345411</v>
      </c>
      <c r="D1180" t="str">
        <f>"710610F00"</f>
        <v>710610F00</v>
      </c>
      <c r="E1180" s="1">
        <v>41091</v>
      </c>
      <c r="F1180" t="s">
        <v>6791</v>
      </c>
      <c r="G1180" t="e">
        <f>INDEX(#REF!,MATCH(P1180,#REF!,0),1)</f>
        <v>#REF!</v>
      </c>
      <c r="H1180" t="s">
        <v>6792</v>
      </c>
      <c r="J1180" t="s">
        <v>110</v>
      </c>
      <c r="K1180" t="s">
        <v>111</v>
      </c>
      <c r="L1180" t="s">
        <v>6793</v>
      </c>
      <c r="M1180" t="s">
        <v>6794</v>
      </c>
      <c r="N1180">
        <v>3545</v>
      </c>
      <c r="O1180" t="s">
        <v>6791</v>
      </c>
      <c r="P1180">
        <v>3545</v>
      </c>
      <c r="Q1180" t="s">
        <v>6791</v>
      </c>
      <c r="R1180" t="s">
        <v>2254</v>
      </c>
      <c r="S1180" t="s">
        <v>2255</v>
      </c>
      <c r="T1180" t="s">
        <v>44</v>
      </c>
      <c r="U1180" t="s">
        <v>81</v>
      </c>
      <c r="X1180" t="s">
        <v>289</v>
      </c>
      <c r="AA1180" t="s">
        <v>290</v>
      </c>
      <c r="AG1180" t="s">
        <v>48</v>
      </c>
    </row>
    <row r="1181" spans="1:33" x14ac:dyDescent="0.3">
      <c r="A1181">
        <v>3548</v>
      </c>
      <c r="B1181" t="s">
        <v>6795</v>
      </c>
      <c r="C1181" t="str">
        <f>"1100093754626"</f>
        <v>1100093754626</v>
      </c>
      <c r="D1181" t="str">
        <f>"8E1285200"</f>
        <v>8E1285200</v>
      </c>
      <c r="E1181" s="1">
        <v>42248</v>
      </c>
      <c r="F1181" t="s">
        <v>2222</v>
      </c>
      <c r="G1181" t="e">
        <f>INDEX(#REF!,MATCH(P1181,#REF!,0),1)</f>
        <v>#REF!</v>
      </c>
      <c r="H1181" t="s">
        <v>3308</v>
      </c>
      <c r="J1181" t="s">
        <v>4225</v>
      </c>
      <c r="K1181" t="s">
        <v>37</v>
      </c>
      <c r="L1181" t="s">
        <v>6796</v>
      </c>
      <c r="M1181" t="s">
        <v>6797</v>
      </c>
      <c r="N1181">
        <v>3548</v>
      </c>
      <c r="O1181" t="s">
        <v>2222</v>
      </c>
      <c r="P1181">
        <v>3548</v>
      </c>
      <c r="Q1181" t="s">
        <v>2222</v>
      </c>
      <c r="R1181" t="s">
        <v>335</v>
      </c>
      <c r="S1181" t="s">
        <v>336</v>
      </c>
      <c r="T1181" t="s">
        <v>44</v>
      </c>
      <c r="U1181" t="s">
        <v>81</v>
      </c>
      <c r="Y1181" t="s">
        <v>46</v>
      </c>
      <c r="Z1181" s="1">
        <v>42248</v>
      </c>
      <c r="AE1181" t="s">
        <v>47</v>
      </c>
      <c r="AG1181" t="s">
        <v>48</v>
      </c>
    </row>
    <row r="1182" spans="1:33" x14ac:dyDescent="0.3">
      <c r="A1182">
        <v>3549</v>
      </c>
      <c r="B1182" t="s">
        <v>6798</v>
      </c>
      <c r="C1182" t="str">
        <f>"1100003562631"</f>
        <v>1100003562631</v>
      </c>
      <c r="D1182" t="str">
        <f>"3QTV75T00"</f>
        <v>3QTV75T00</v>
      </c>
      <c r="E1182" s="1">
        <v>31093</v>
      </c>
      <c r="F1182" t="s">
        <v>1336</v>
      </c>
      <c r="G1182" t="e">
        <f>INDEX(#REF!,MATCH(P1182,#REF!,0),1)</f>
        <v>#REF!</v>
      </c>
      <c r="H1182" t="s">
        <v>1333</v>
      </c>
      <c r="J1182" t="s">
        <v>352</v>
      </c>
      <c r="K1182" t="s">
        <v>37</v>
      </c>
      <c r="L1182" t="s">
        <v>1334</v>
      </c>
      <c r="M1182" t="s">
        <v>6799</v>
      </c>
      <c r="N1182">
        <v>210</v>
      </c>
      <c r="O1182" t="s">
        <v>840</v>
      </c>
      <c r="P1182">
        <v>210</v>
      </c>
      <c r="Q1182" t="s">
        <v>840</v>
      </c>
      <c r="R1182" t="s">
        <v>844</v>
      </c>
      <c r="S1182" t="s">
        <v>845</v>
      </c>
      <c r="T1182" t="s">
        <v>44</v>
      </c>
      <c r="U1182" t="s">
        <v>81</v>
      </c>
      <c r="Y1182" t="s">
        <v>46</v>
      </c>
      <c r="Z1182" s="1">
        <v>42370</v>
      </c>
      <c r="AE1182" t="s">
        <v>47</v>
      </c>
    </row>
    <row r="1183" spans="1:33" x14ac:dyDescent="0.3">
      <c r="A1183">
        <v>3550</v>
      </c>
      <c r="B1183" t="s">
        <v>6800</v>
      </c>
      <c r="C1183" t="str">
        <f>"1100005286559"</f>
        <v>1100005286559</v>
      </c>
      <c r="D1183" t="str">
        <f>"1BALP0W00"</f>
        <v>1BALP0W00</v>
      </c>
      <c r="E1183" s="1">
        <v>42248</v>
      </c>
      <c r="F1183" t="s">
        <v>6801</v>
      </c>
      <c r="G1183" t="e">
        <f>INDEX(#REF!,MATCH(P1183,#REF!,0),1)</f>
        <v>#REF!</v>
      </c>
      <c r="H1183" t="s">
        <v>6802</v>
      </c>
      <c r="J1183" t="s">
        <v>6803</v>
      </c>
      <c r="K1183" t="s">
        <v>37</v>
      </c>
      <c r="L1183" t="s">
        <v>6804</v>
      </c>
      <c r="M1183" t="s">
        <v>6805</v>
      </c>
      <c r="N1183">
        <v>3548</v>
      </c>
      <c r="O1183" t="s">
        <v>2222</v>
      </c>
      <c r="P1183">
        <v>3548</v>
      </c>
      <c r="Q1183" t="s">
        <v>2222</v>
      </c>
      <c r="R1183" t="s">
        <v>335</v>
      </c>
      <c r="S1183" t="s">
        <v>336</v>
      </c>
      <c r="T1183" t="s">
        <v>44</v>
      </c>
      <c r="U1183" t="s">
        <v>45</v>
      </c>
      <c r="Y1183" t="s">
        <v>46</v>
      </c>
      <c r="Z1183" s="1">
        <v>42248</v>
      </c>
      <c r="AE1183" t="s">
        <v>47</v>
      </c>
      <c r="AG1183" t="s">
        <v>48</v>
      </c>
    </row>
    <row r="1184" spans="1:33" x14ac:dyDescent="0.3">
      <c r="A1184">
        <v>3551</v>
      </c>
      <c r="B1184" t="s">
        <v>6806</v>
      </c>
      <c r="C1184" t="str">
        <f>""</f>
        <v/>
      </c>
      <c r="D1184" t="str">
        <f>"140950J00"</f>
        <v>140950J00</v>
      </c>
      <c r="E1184" s="1">
        <v>35187</v>
      </c>
      <c r="F1184" t="s">
        <v>6807</v>
      </c>
      <c r="G1184" t="e">
        <f>INDEX(#REF!,MATCH(P1184,#REF!,0),1)</f>
        <v>#REF!</v>
      </c>
      <c r="H1184" t="s">
        <v>6808</v>
      </c>
      <c r="J1184" t="s">
        <v>6809</v>
      </c>
      <c r="K1184" t="s">
        <v>2004</v>
      </c>
      <c r="L1184" t="str">
        <f>"01904-1424"</f>
        <v>01904-1424</v>
      </c>
      <c r="M1184" t="s">
        <v>6810</v>
      </c>
      <c r="N1184">
        <v>2598</v>
      </c>
      <c r="O1184" t="s">
        <v>2136</v>
      </c>
      <c r="P1184">
        <v>37710</v>
      </c>
      <c r="Q1184" t="s">
        <v>6811</v>
      </c>
      <c r="R1184" t="s">
        <v>2492</v>
      </c>
      <c r="S1184" t="s">
        <v>2493</v>
      </c>
      <c r="T1184" t="s">
        <v>44</v>
      </c>
      <c r="U1184" t="s">
        <v>45</v>
      </c>
      <c r="AG1184" t="s">
        <v>48</v>
      </c>
    </row>
    <row r="1185" spans="1:33" x14ac:dyDescent="0.3">
      <c r="A1185">
        <v>3561</v>
      </c>
      <c r="B1185" t="s">
        <v>6812</v>
      </c>
      <c r="C1185" t="str">
        <f>"1100003960987"</f>
        <v>1100003960987</v>
      </c>
      <c r="D1185" t="str">
        <f>"KD88R1500"</f>
        <v>KD88R1500</v>
      </c>
      <c r="E1185" s="1">
        <v>42583</v>
      </c>
      <c r="F1185" t="s">
        <v>6813</v>
      </c>
      <c r="G1185" t="e">
        <f>INDEX(#REF!,MATCH(P1185,#REF!,0),1)</f>
        <v>#REF!</v>
      </c>
      <c r="H1185" t="s">
        <v>5252</v>
      </c>
      <c r="J1185" t="s">
        <v>5253</v>
      </c>
      <c r="K1185" t="s">
        <v>65</v>
      </c>
      <c r="L1185">
        <v>15009</v>
      </c>
      <c r="M1185" t="s">
        <v>3226</v>
      </c>
      <c r="N1185">
        <v>866167</v>
      </c>
      <c r="O1185" t="s">
        <v>938</v>
      </c>
      <c r="P1185">
        <v>237</v>
      </c>
      <c r="Q1185" t="s">
        <v>933</v>
      </c>
      <c r="R1185" t="s">
        <v>940</v>
      </c>
      <c r="S1185" t="s">
        <v>941</v>
      </c>
      <c r="T1185" t="s">
        <v>117</v>
      </c>
      <c r="U1185" t="s">
        <v>2479</v>
      </c>
    </row>
    <row r="1186" spans="1:33" x14ac:dyDescent="0.3">
      <c r="A1186">
        <v>3575</v>
      </c>
      <c r="B1186" t="s">
        <v>6814</v>
      </c>
      <c r="C1186" t="str">
        <f>"1100002536725"</f>
        <v>1100002536725</v>
      </c>
      <c r="D1186" t="str">
        <f>"RLP4XEG00"</f>
        <v>RLP4XEG00</v>
      </c>
      <c r="E1186" s="1">
        <v>44421</v>
      </c>
      <c r="F1186" t="s">
        <v>6815</v>
      </c>
      <c r="G1186" t="e">
        <f>INDEX(#REF!,MATCH(P1186,#REF!,0),1)</f>
        <v>#REF!</v>
      </c>
      <c r="H1186" t="s">
        <v>6816</v>
      </c>
      <c r="J1186" t="s">
        <v>6817</v>
      </c>
      <c r="K1186" t="s">
        <v>37</v>
      </c>
      <c r="L1186" t="s">
        <v>6818</v>
      </c>
      <c r="M1186" t="s">
        <v>6819</v>
      </c>
      <c r="N1186">
        <v>74360</v>
      </c>
      <c r="O1186" t="s">
        <v>5882</v>
      </c>
      <c r="P1186">
        <v>74360</v>
      </c>
      <c r="Q1186" t="s">
        <v>5882</v>
      </c>
      <c r="R1186" t="s">
        <v>6820</v>
      </c>
      <c r="S1186" t="s">
        <v>6821</v>
      </c>
      <c r="T1186" t="s">
        <v>117</v>
      </c>
      <c r="U1186" t="s">
        <v>2479</v>
      </c>
      <c r="V1186" t="s">
        <v>2215</v>
      </c>
      <c r="AD1186" t="s">
        <v>59</v>
      </c>
      <c r="AF1186" t="s">
        <v>5886</v>
      </c>
    </row>
    <row r="1187" spans="1:33" x14ac:dyDescent="0.3">
      <c r="A1187">
        <v>3581</v>
      </c>
      <c r="B1187" t="s">
        <v>6822</v>
      </c>
      <c r="C1187" t="str">
        <f>""</f>
        <v/>
      </c>
      <c r="D1187" t="str">
        <f>"7FQ5H8600"</f>
        <v>7FQ5H8600</v>
      </c>
      <c r="E1187" s="1">
        <v>44197</v>
      </c>
      <c r="F1187" t="s">
        <v>6823</v>
      </c>
      <c r="G1187" t="e">
        <f>INDEX(#REF!,MATCH(P1187,#REF!,0),1)</f>
        <v>#REF!</v>
      </c>
      <c r="H1187" t="s">
        <v>6824</v>
      </c>
      <c r="J1187" t="s">
        <v>3956</v>
      </c>
      <c r="K1187" t="s">
        <v>835</v>
      </c>
      <c r="L1187" t="s">
        <v>6825</v>
      </c>
      <c r="M1187" t="s">
        <v>6826</v>
      </c>
      <c r="N1187">
        <v>30537</v>
      </c>
      <c r="O1187" t="s">
        <v>838</v>
      </c>
      <c r="P1187">
        <v>2225</v>
      </c>
      <c r="Q1187" t="s">
        <v>4996</v>
      </c>
      <c r="R1187" t="s">
        <v>228</v>
      </c>
      <c r="S1187" t="s">
        <v>229</v>
      </c>
      <c r="T1187" t="s">
        <v>2277</v>
      </c>
      <c r="U1187" t="s">
        <v>2278</v>
      </c>
      <c r="AA1187" t="s">
        <v>119</v>
      </c>
      <c r="AE1187" t="s">
        <v>120</v>
      </c>
    </row>
    <row r="1188" spans="1:33" x14ac:dyDescent="0.3">
      <c r="A1188">
        <v>3582</v>
      </c>
      <c r="B1188" t="s">
        <v>6827</v>
      </c>
      <c r="C1188" t="str">
        <f>""</f>
        <v/>
      </c>
      <c r="D1188" t="str">
        <f>""</f>
        <v/>
      </c>
      <c r="E1188" s="1">
        <v>35156</v>
      </c>
      <c r="F1188" t="s">
        <v>199</v>
      </c>
      <c r="G1188" t="e">
        <f>INDEX(#REF!,MATCH(P1188,#REF!,0),1)</f>
        <v>#REF!</v>
      </c>
      <c r="H1188" t="s">
        <v>6828</v>
      </c>
      <c r="J1188" t="s">
        <v>1011</v>
      </c>
      <c r="K1188" t="s">
        <v>125</v>
      </c>
      <c r="L1188">
        <v>36532</v>
      </c>
      <c r="M1188" t="s">
        <v>3226</v>
      </c>
      <c r="N1188">
        <v>486</v>
      </c>
      <c r="O1188" t="s">
        <v>218</v>
      </c>
      <c r="P1188">
        <v>261</v>
      </c>
      <c r="Q1188" t="s">
        <v>1009</v>
      </c>
      <c r="R1188" t="s">
        <v>4838</v>
      </c>
      <c r="S1188" t="s">
        <v>4839</v>
      </c>
      <c r="T1188" t="s">
        <v>2277</v>
      </c>
      <c r="U1188" t="s">
        <v>2278</v>
      </c>
      <c r="V1188" t="s">
        <v>2215</v>
      </c>
      <c r="AA1188" t="s">
        <v>105</v>
      </c>
    </row>
    <row r="1189" spans="1:33" x14ac:dyDescent="0.3">
      <c r="A1189">
        <v>3587</v>
      </c>
      <c r="B1189" t="s">
        <v>6829</v>
      </c>
      <c r="C1189" t="str">
        <f>"1100005626645"</f>
        <v>1100005626645</v>
      </c>
      <c r="D1189" t="str">
        <f>"360840L00"</f>
        <v>360840L00</v>
      </c>
      <c r="E1189" s="1">
        <v>42583</v>
      </c>
      <c r="F1189" t="s">
        <v>6830</v>
      </c>
      <c r="G1189" t="e">
        <f>INDEX(#REF!,MATCH(P1189,#REF!,0),1)</f>
        <v>#REF!</v>
      </c>
      <c r="H1189" t="s">
        <v>6831</v>
      </c>
      <c r="J1189" t="s">
        <v>6832</v>
      </c>
      <c r="K1189" t="s">
        <v>384</v>
      </c>
      <c r="L1189" t="s">
        <v>6833</v>
      </c>
      <c r="M1189" t="s">
        <v>6834</v>
      </c>
      <c r="N1189">
        <v>55403</v>
      </c>
      <c r="O1189" t="s">
        <v>6835</v>
      </c>
      <c r="P1189">
        <v>55403</v>
      </c>
      <c r="Q1189" t="s">
        <v>6835</v>
      </c>
      <c r="R1189" t="s">
        <v>6836</v>
      </c>
      <c r="S1189" t="s">
        <v>6837</v>
      </c>
      <c r="T1189" t="s">
        <v>44</v>
      </c>
      <c r="U1189" t="s">
        <v>45</v>
      </c>
      <c r="AC1189" t="s">
        <v>6838</v>
      </c>
      <c r="AG1189" t="s">
        <v>48</v>
      </c>
    </row>
    <row r="1190" spans="1:33" x14ac:dyDescent="0.3">
      <c r="A1190">
        <v>3588</v>
      </c>
      <c r="B1190" t="s">
        <v>6839</v>
      </c>
      <c r="C1190" t="str">
        <f>""</f>
        <v/>
      </c>
      <c r="D1190" t="str">
        <f>"360720I00"</f>
        <v>360720I00</v>
      </c>
      <c r="E1190" s="1">
        <v>42583</v>
      </c>
      <c r="F1190" t="s">
        <v>6840</v>
      </c>
      <c r="G1190" t="e">
        <f>INDEX(#REF!,MATCH(P1190,#REF!,0),1)</f>
        <v>#REF!</v>
      </c>
      <c r="H1190" t="s">
        <v>6841</v>
      </c>
      <c r="J1190" t="s">
        <v>2337</v>
      </c>
      <c r="K1190" t="s">
        <v>384</v>
      </c>
      <c r="L1190">
        <v>27401</v>
      </c>
      <c r="M1190" t="s">
        <v>6842</v>
      </c>
      <c r="N1190">
        <v>2472612</v>
      </c>
      <c r="O1190" t="s">
        <v>2340</v>
      </c>
      <c r="P1190">
        <v>1805</v>
      </c>
      <c r="Q1190" t="s">
        <v>2341</v>
      </c>
      <c r="R1190" t="s">
        <v>2342</v>
      </c>
      <c r="S1190" t="s">
        <v>2343</v>
      </c>
      <c r="T1190" t="s">
        <v>44</v>
      </c>
      <c r="U1190" t="s">
        <v>45</v>
      </c>
    </row>
    <row r="1191" spans="1:33" x14ac:dyDescent="0.3">
      <c r="A1191">
        <v>3595</v>
      </c>
      <c r="B1191" t="s">
        <v>6843</v>
      </c>
      <c r="C1191" t="str">
        <f>""</f>
        <v/>
      </c>
      <c r="D1191" t="str">
        <f>""</f>
        <v/>
      </c>
      <c r="E1191" s="1">
        <v>44470</v>
      </c>
      <c r="F1191" t="s">
        <v>2296</v>
      </c>
      <c r="G1191" t="e">
        <f>INDEX(#REF!,MATCH(P1191,#REF!,0),1)</f>
        <v>#REF!</v>
      </c>
      <c r="H1191" t="s">
        <v>6844</v>
      </c>
      <c r="J1191" t="s">
        <v>2367</v>
      </c>
      <c r="K1191" t="s">
        <v>235</v>
      </c>
      <c r="L1191" t="s">
        <v>6845</v>
      </c>
      <c r="M1191" t="s">
        <v>3226</v>
      </c>
      <c r="N1191">
        <v>3595</v>
      </c>
      <c r="O1191" t="s">
        <v>2296</v>
      </c>
      <c r="P1191">
        <v>3595</v>
      </c>
      <c r="Q1191" t="s">
        <v>2296</v>
      </c>
      <c r="R1191" t="s">
        <v>237</v>
      </c>
      <c r="S1191" t="s">
        <v>238</v>
      </c>
      <c r="T1191" t="s">
        <v>44</v>
      </c>
      <c r="U1191" t="s">
        <v>1823</v>
      </c>
    </row>
    <row r="1192" spans="1:33" x14ac:dyDescent="0.3">
      <c r="A1192">
        <v>3596</v>
      </c>
      <c r="B1192" t="s">
        <v>6846</v>
      </c>
      <c r="C1192" t="str">
        <f>"1100005870925"</f>
        <v>1100005870925</v>
      </c>
      <c r="D1192" t="str">
        <f>"230230A00"</f>
        <v>230230A00</v>
      </c>
      <c r="E1192" s="1">
        <v>42583</v>
      </c>
      <c r="F1192" t="s">
        <v>2749</v>
      </c>
      <c r="G1192" t="e">
        <f>INDEX(#REF!,MATCH(P1192,#REF!,0),1)</f>
        <v>#REF!</v>
      </c>
      <c r="H1192" t="s">
        <v>6847</v>
      </c>
      <c r="J1192" t="s">
        <v>4980</v>
      </c>
      <c r="K1192" t="s">
        <v>65</v>
      </c>
      <c r="L1192">
        <v>18015</v>
      </c>
      <c r="M1192" t="s">
        <v>6848</v>
      </c>
      <c r="N1192">
        <v>3596</v>
      </c>
      <c r="O1192" t="s">
        <v>2749</v>
      </c>
      <c r="P1192">
        <v>3596</v>
      </c>
      <c r="Q1192" t="s">
        <v>2749</v>
      </c>
      <c r="R1192" t="s">
        <v>254</v>
      </c>
      <c r="S1192" t="s">
        <v>255</v>
      </c>
      <c r="T1192" t="s">
        <v>44</v>
      </c>
      <c r="U1192" t="s">
        <v>45</v>
      </c>
    </row>
    <row r="1193" spans="1:33" x14ac:dyDescent="0.3">
      <c r="A1193">
        <v>3600</v>
      </c>
      <c r="B1193" t="s">
        <v>6849</v>
      </c>
      <c r="C1193" t="str">
        <f>""</f>
        <v/>
      </c>
      <c r="D1193" t="str">
        <f>"10VTR9P00"</f>
        <v>10VTR9P00</v>
      </c>
      <c r="E1193" s="1">
        <v>42583</v>
      </c>
      <c r="F1193" t="s">
        <v>6850</v>
      </c>
      <c r="G1193" t="e">
        <f>INDEX(#REF!,MATCH(P1193,#REF!,0),1)</f>
        <v>#REF!</v>
      </c>
      <c r="H1193" t="s">
        <v>6851</v>
      </c>
      <c r="J1193" t="s">
        <v>6852</v>
      </c>
      <c r="K1193" t="s">
        <v>65</v>
      </c>
      <c r="L1193" t="s">
        <v>6853</v>
      </c>
      <c r="M1193" t="s">
        <v>6854</v>
      </c>
      <c r="N1193">
        <v>3600</v>
      </c>
      <c r="O1193" t="s">
        <v>6850</v>
      </c>
      <c r="P1193">
        <v>3600</v>
      </c>
      <c r="Q1193" t="s">
        <v>6850</v>
      </c>
      <c r="R1193" t="s">
        <v>245</v>
      </c>
      <c r="S1193" t="s">
        <v>246</v>
      </c>
      <c r="T1193" t="s">
        <v>44</v>
      </c>
      <c r="U1193" t="s">
        <v>45</v>
      </c>
    </row>
    <row r="1194" spans="1:33" x14ac:dyDescent="0.3">
      <c r="A1194">
        <v>3601</v>
      </c>
      <c r="B1194" t="s">
        <v>6855</v>
      </c>
      <c r="C1194" t="str">
        <f>"1100004992512"</f>
        <v>1100004992512</v>
      </c>
      <c r="D1194" t="str">
        <f>"LHP065200"</f>
        <v>LHP065200</v>
      </c>
      <c r="E1194" s="1">
        <v>42583</v>
      </c>
      <c r="F1194" t="s">
        <v>939</v>
      </c>
      <c r="G1194" t="e">
        <f>INDEX(#REF!,MATCH(P1194,#REF!,0),1)</f>
        <v>#REF!</v>
      </c>
      <c r="H1194" t="s">
        <v>5252</v>
      </c>
      <c r="J1194" t="s">
        <v>5253</v>
      </c>
      <c r="K1194" t="s">
        <v>65</v>
      </c>
      <c r="L1194">
        <v>15009</v>
      </c>
      <c r="M1194" t="s">
        <v>6856</v>
      </c>
      <c r="N1194">
        <v>866167</v>
      </c>
      <c r="O1194" t="s">
        <v>938</v>
      </c>
      <c r="P1194">
        <v>866167</v>
      </c>
      <c r="Q1194" t="s">
        <v>938</v>
      </c>
      <c r="R1194" t="s">
        <v>940</v>
      </c>
      <c r="S1194" t="s">
        <v>941</v>
      </c>
      <c r="T1194" t="s">
        <v>44</v>
      </c>
      <c r="U1194" t="s">
        <v>45</v>
      </c>
    </row>
    <row r="1195" spans="1:33" x14ac:dyDescent="0.3">
      <c r="A1195">
        <v>3602</v>
      </c>
      <c r="B1195" t="s">
        <v>6857</v>
      </c>
      <c r="C1195" t="str">
        <f>"1100003257735"</f>
        <v>1100003257735</v>
      </c>
      <c r="D1195" t="str">
        <f>"3FKX4AD00"</f>
        <v>3FKX4AD00</v>
      </c>
      <c r="E1195" s="1">
        <v>31335</v>
      </c>
      <c r="F1195" t="s">
        <v>1857</v>
      </c>
      <c r="G1195" t="e">
        <f>INDEX(#REF!,MATCH(P1195,#REF!,0),1)</f>
        <v>#REF!</v>
      </c>
      <c r="H1195" t="s">
        <v>1853</v>
      </c>
      <c r="J1195" t="s">
        <v>1854</v>
      </c>
      <c r="K1195" t="s">
        <v>177</v>
      </c>
      <c r="L1195" t="s">
        <v>6858</v>
      </c>
      <c r="M1195" t="s">
        <v>6859</v>
      </c>
      <c r="N1195">
        <v>3602</v>
      </c>
      <c r="O1195" t="s">
        <v>1857</v>
      </c>
      <c r="P1195">
        <v>3602</v>
      </c>
      <c r="Q1195" t="s">
        <v>1857</v>
      </c>
      <c r="R1195" t="s">
        <v>1309</v>
      </c>
      <c r="S1195" t="s">
        <v>1310</v>
      </c>
      <c r="T1195" t="s">
        <v>44</v>
      </c>
      <c r="U1195" t="s">
        <v>81</v>
      </c>
      <c r="AA1195" t="s">
        <v>119</v>
      </c>
      <c r="AE1195" t="s">
        <v>1522</v>
      </c>
    </row>
    <row r="1196" spans="1:33" x14ac:dyDescent="0.3">
      <c r="A1196">
        <v>3604</v>
      </c>
      <c r="B1196" t="s">
        <v>6860</v>
      </c>
      <c r="C1196" t="str">
        <f>""</f>
        <v/>
      </c>
      <c r="D1196" t="str">
        <f>"935550R00"</f>
        <v>935550R00</v>
      </c>
      <c r="E1196" s="1">
        <v>35217</v>
      </c>
      <c r="F1196" t="s">
        <v>6861</v>
      </c>
      <c r="G1196" t="e">
        <f>INDEX(#REF!,MATCH(P1196,#REF!,0),1)</f>
        <v>#REF!</v>
      </c>
      <c r="H1196" t="s">
        <v>6862</v>
      </c>
      <c r="J1196" t="s">
        <v>6863</v>
      </c>
      <c r="K1196" t="s">
        <v>88</v>
      </c>
      <c r="L1196" t="s">
        <v>6864</v>
      </c>
      <c r="M1196" t="s">
        <v>6865</v>
      </c>
      <c r="N1196">
        <v>251</v>
      </c>
      <c r="O1196" t="s">
        <v>90</v>
      </c>
      <c r="P1196">
        <v>251</v>
      </c>
      <c r="Q1196" t="s">
        <v>90</v>
      </c>
      <c r="R1196" t="s">
        <v>91</v>
      </c>
      <c r="S1196" t="s">
        <v>92</v>
      </c>
      <c r="T1196" t="s">
        <v>44</v>
      </c>
      <c r="U1196" t="s">
        <v>45</v>
      </c>
      <c r="AA1196" t="s">
        <v>93</v>
      </c>
      <c r="AC1196" t="s">
        <v>90</v>
      </c>
      <c r="AD1196" t="s">
        <v>94</v>
      </c>
      <c r="AE1196" t="s">
        <v>72</v>
      </c>
      <c r="AG1196" t="s">
        <v>48</v>
      </c>
    </row>
    <row r="1197" spans="1:33" x14ac:dyDescent="0.3">
      <c r="A1197">
        <v>3605</v>
      </c>
      <c r="B1197" t="s">
        <v>6866</v>
      </c>
      <c r="C1197" t="str">
        <f>"1100005734197"</f>
        <v>1100005734197</v>
      </c>
      <c r="D1197" t="str">
        <f>"630660L00"</f>
        <v>630660L00</v>
      </c>
      <c r="E1197" s="1">
        <v>35217</v>
      </c>
      <c r="F1197" t="s">
        <v>6867</v>
      </c>
      <c r="G1197" t="e">
        <f>INDEX(#REF!,MATCH(P1197,#REF!,0),1)</f>
        <v>#REF!</v>
      </c>
      <c r="H1197" t="s">
        <v>6868</v>
      </c>
      <c r="J1197" t="s">
        <v>1854</v>
      </c>
      <c r="K1197" t="s">
        <v>177</v>
      </c>
      <c r="L1197" t="s">
        <v>6869</v>
      </c>
      <c r="M1197" t="s">
        <v>6870</v>
      </c>
      <c r="N1197">
        <v>3602</v>
      </c>
      <c r="O1197" t="s">
        <v>1857</v>
      </c>
      <c r="P1197">
        <v>3602</v>
      </c>
      <c r="Q1197" t="s">
        <v>1857</v>
      </c>
      <c r="R1197" t="s">
        <v>1309</v>
      </c>
      <c r="S1197" t="s">
        <v>1310</v>
      </c>
      <c r="T1197" t="s">
        <v>44</v>
      </c>
      <c r="U1197" t="s">
        <v>45</v>
      </c>
      <c r="AA1197" t="s">
        <v>119</v>
      </c>
      <c r="AE1197" t="s">
        <v>348</v>
      </c>
    </row>
    <row r="1198" spans="1:33" x14ac:dyDescent="0.3">
      <c r="A1198">
        <v>3607</v>
      </c>
      <c r="B1198" t="s">
        <v>6871</v>
      </c>
      <c r="C1198" t="str">
        <f>"1100002701758"</f>
        <v>1100002701758</v>
      </c>
      <c r="D1198" t="str">
        <f>"19OM83V00"</f>
        <v>19OM83V00</v>
      </c>
      <c r="E1198" s="1">
        <v>35217</v>
      </c>
      <c r="F1198" t="s">
        <v>6872</v>
      </c>
      <c r="G1198" t="e">
        <f>INDEX(#REF!,MATCH(P1198,#REF!,0),1)</f>
        <v>#REF!</v>
      </c>
      <c r="H1198" t="s">
        <v>6873</v>
      </c>
      <c r="J1198" t="s">
        <v>6874</v>
      </c>
      <c r="K1198" t="s">
        <v>1603</v>
      </c>
      <c r="L1198" t="s">
        <v>6875</v>
      </c>
      <c r="M1198" t="s">
        <v>6876</v>
      </c>
      <c r="N1198">
        <v>871561</v>
      </c>
      <c r="O1198" t="s">
        <v>194</v>
      </c>
      <c r="P1198">
        <v>6179343</v>
      </c>
      <c r="Q1198" t="s">
        <v>1137</v>
      </c>
      <c r="R1198" t="s">
        <v>3864</v>
      </c>
      <c r="S1198" t="s">
        <v>3865</v>
      </c>
      <c r="T1198" t="s">
        <v>2214</v>
      </c>
      <c r="U1198" t="s">
        <v>2214</v>
      </c>
      <c r="V1198" t="s">
        <v>1824</v>
      </c>
      <c r="AA1198" t="s">
        <v>119</v>
      </c>
      <c r="AE1198" t="s">
        <v>120</v>
      </c>
      <c r="AG1198" t="s">
        <v>48</v>
      </c>
    </row>
    <row r="1199" spans="1:33" x14ac:dyDescent="0.3">
      <c r="A1199">
        <v>3609</v>
      </c>
      <c r="B1199" t="s">
        <v>6877</v>
      </c>
      <c r="C1199" t="str">
        <f>""</f>
        <v/>
      </c>
      <c r="D1199" t="str">
        <f>"80CRXAI00"</f>
        <v>80CRXAI00</v>
      </c>
      <c r="E1199" s="1">
        <v>41730</v>
      </c>
      <c r="F1199" t="s">
        <v>6878</v>
      </c>
      <c r="G1199" t="e">
        <f>INDEX(#REF!,MATCH(P1199,#REF!,0),1)</f>
        <v>#REF!</v>
      </c>
      <c r="H1199" t="s">
        <v>6879</v>
      </c>
      <c r="J1199" t="s">
        <v>6832</v>
      </c>
      <c r="K1199" t="s">
        <v>384</v>
      </c>
      <c r="L1199" t="s">
        <v>6880</v>
      </c>
      <c r="M1199" t="s">
        <v>6881</v>
      </c>
      <c r="N1199">
        <v>55403</v>
      </c>
      <c r="O1199" t="s">
        <v>6835</v>
      </c>
      <c r="P1199">
        <v>3587</v>
      </c>
      <c r="Q1199" t="s">
        <v>6830</v>
      </c>
      <c r="R1199" t="s">
        <v>6836</v>
      </c>
      <c r="S1199" t="s">
        <v>6837</v>
      </c>
      <c r="T1199" t="s">
        <v>117</v>
      </c>
      <c r="U1199" t="s">
        <v>2479</v>
      </c>
      <c r="V1199" t="s">
        <v>2215</v>
      </c>
      <c r="AC1199" t="s">
        <v>2333</v>
      </c>
      <c r="AG1199" t="s">
        <v>48</v>
      </c>
    </row>
    <row r="1200" spans="1:33" x14ac:dyDescent="0.3">
      <c r="A1200">
        <v>3616</v>
      </c>
      <c r="B1200" t="s">
        <v>6882</v>
      </c>
      <c r="C1200" t="str">
        <f>""</f>
        <v/>
      </c>
      <c r="D1200" t="str">
        <f>"936090R00"</f>
        <v>936090R00</v>
      </c>
      <c r="E1200" s="1">
        <v>42583</v>
      </c>
      <c r="F1200" t="s">
        <v>6883</v>
      </c>
      <c r="G1200" t="e">
        <f>INDEX(#REF!,MATCH(P1200,#REF!,0),1)</f>
        <v>#REF!</v>
      </c>
      <c r="H1200" t="s">
        <v>6884</v>
      </c>
      <c r="J1200" t="s">
        <v>6885</v>
      </c>
      <c r="K1200" t="s">
        <v>88</v>
      </c>
      <c r="L1200">
        <v>91786</v>
      </c>
      <c r="M1200" t="s">
        <v>6886</v>
      </c>
      <c r="N1200">
        <v>3616</v>
      </c>
      <c r="O1200" t="s">
        <v>6883</v>
      </c>
      <c r="P1200">
        <v>3616</v>
      </c>
      <c r="Q1200" t="s">
        <v>6883</v>
      </c>
      <c r="R1200" t="s">
        <v>1549</v>
      </c>
      <c r="S1200" t="s">
        <v>1550</v>
      </c>
      <c r="T1200" t="s">
        <v>44</v>
      </c>
      <c r="U1200" t="s">
        <v>45</v>
      </c>
      <c r="AA1200" t="s">
        <v>1032</v>
      </c>
      <c r="AD1200" t="s">
        <v>94</v>
      </c>
      <c r="AE1200" t="s">
        <v>72</v>
      </c>
    </row>
    <row r="1201" spans="1:33" x14ac:dyDescent="0.3">
      <c r="A1201">
        <v>3623</v>
      </c>
      <c r="B1201" t="s">
        <v>6887</v>
      </c>
      <c r="C1201" t="str">
        <f>""</f>
        <v/>
      </c>
      <c r="D1201" t="str">
        <f>""</f>
        <v/>
      </c>
      <c r="E1201" s="1">
        <v>41046</v>
      </c>
      <c r="F1201" t="s">
        <v>6888</v>
      </c>
      <c r="G1201" t="e">
        <f>INDEX(#REF!,MATCH(P1201,#REF!,0),1)</f>
        <v>#REF!</v>
      </c>
      <c r="H1201" t="s">
        <v>6889</v>
      </c>
      <c r="J1201" t="s">
        <v>6890</v>
      </c>
      <c r="K1201" t="s">
        <v>261</v>
      </c>
      <c r="L1201" t="s">
        <v>6891</v>
      </c>
      <c r="M1201" t="s">
        <v>6892</v>
      </c>
      <c r="N1201">
        <v>275</v>
      </c>
      <c r="O1201" t="s">
        <v>1061</v>
      </c>
      <c r="P1201">
        <v>275</v>
      </c>
      <c r="Q1201" t="s">
        <v>1061</v>
      </c>
      <c r="R1201" t="s">
        <v>310</v>
      </c>
      <c r="S1201" t="s">
        <v>311</v>
      </c>
      <c r="T1201" t="s">
        <v>44</v>
      </c>
      <c r="U1201" t="s">
        <v>45</v>
      </c>
    </row>
    <row r="1202" spans="1:33" x14ac:dyDescent="0.3">
      <c r="A1202">
        <v>3624</v>
      </c>
      <c r="B1202" t="s">
        <v>6893</v>
      </c>
      <c r="C1202" t="str">
        <f>"1100004030382"</f>
        <v>1100004030382</v>
      </c>
      <c r="D1202" t="str">
        <f>"630600F00"</f>
        <v>630600F00</v>
      </c>
      <c r="E1202" s="1">
        <v>43088</v>
      </c>
      <c r="F1202" t="s">
        <v>6894</v>
      </c>
      <c r="G1202" t="e">
        <f>INDEX(#REF!,MATCH(P1202,#REF!,0),1)</f>
        <v>#REF!</v>
      </c>
      <c r="H1202" t="s">
        <v>6895</v>
      </c>
      <c r="I1202" t="s">
        <v>6896</v>
      </c>
      <c r="J1202" t="s">
        <v>6897</v>
      </c>
      <c r="K1202" t="s">
        <v>177</v>
      </c>
      <c r="L1202">
        <v>65101</v>
      </c>
      <c r="M1202" t="s">
        <v>6898</v>
      </c>
      <c r="N1202">
        <v>774017</v>
      </c>
      <c r="O1202" t="s">
        <v>6899</v>
      </c>
      <c r="P1202">
        <v>774017</v>
      </c>
      <c r="Q1202" t="s">
        <v>6899</v>
      </c>
      <c r="R1202" t="s">
        <v>649</v>
      </c>
      <c r="S1202" t="s">
        <v>650</v>
      </c>
      <c r="T1202" t="s">
        <v>44</v>
      </c>
      <c r="U1202" t="s">
        <v>45</v>
      </c>
      <c r="AA1202" t="s">
        <v>105</v>
      </c>
      <c r="AC1202" t="s">
        <v>6900</v>
      </c>
      <c r="AG1202" t="s">
        <v>48</v>
      </c>
    </row>
    <row r="1203" spans="1:33" x14ac:dyDescent="0.3">
      <c r="A1203">
        <v>3632</v>
      </c>
      <c r="B1203" t="s">
        <v>6901</v>
      </c>
      <c r="C1203" t="str">
        <f>"1100004032355"</f>
        <v>1100004032355</v>
      </c>
      <c r="D1203" t="str">
        <f>"920320G00"</f>
        <v>920320G00</v>
      </c>
      <c r="E1203" s="1">
        <v>36312</v>
      </c>
      <c r="F1203" t="s">
        <v>6902</v>
      </c>
      <c r="G1203" t="e">
        <f>INDEX(#REF!,MATCH(P1203,#REF!,0),1)</f>
        <v>#REF!</v>
      </c>
      <c r="H1203" t="s">
        <v>6903</v>
      </c>
      <c r="J1203" t="s">
        <v>6904</v>
      </c>
      <c r="K1203" t="s">
        <v>1840</v>
      </c>
      <c r="L1203" t="s">
        <v>6905</v>
      </c>
      <c r="M1203" t="s">
        <v>6906</v>
      </c>
      <c r="N1203">
        <v>43193</v>
      </c>
      <c r="O1203" t="s">
        <v>1465</v>
      </c>
      <c r="P1203">
        <v>717194</v>
      </c>
      <c r="Q1203" t="s">
        <v>2537</v>
      </c>
      <c r="R1203" t="s">
        <v>1467</v>
      </c>
      <c r="S1203" t="s">
        <v>1468</v>
      </c>
      <c r="T1203" t="s">
        <v>44</v>
      </c>
      <c r="U1203" t="s">
        <v>45</v>
      </c>
      <c r="AA1203" t="s">
        <v>1031</v>
      </c>
      <c r="AE1203" t="s">
        <v>72</v>
      </c>
    </row>
    <row r="1204" spans="1:33" x14ac:dyDescent="0.3">
      <c r="A1204">
        <v>3634</v>
      </c>
      <c r="B1204" t="s">
        <v>6907</v>
      </c>
      <c r="C1204" t="str">
        <f>"1100005197145"</f>
        <v>1100005197145</v>
      </c>
      <c r="D1204" t="str">
        <f>"370170I00"</f>
        <v>370170I00</v>
      </c>
      <c r="E1204" s="1">
        <v>43862</v>
      </c>
      <c r="F1204" t="s">
        <v>6908</v>
      </c>
      <c r="G1204" t="e">
        <f>INDEX(#REF!,MATCH(P1204,#REF!,0),1)</f>
        <v>#REF!</v>
      </c>
      <c r="H1204" t="s">
        <v>6909</v>
      </c>
      <c r="J1204" t="s">
        <v>2367</v>
      </c>
      <c r="K1204" t="s">
        <v>2368</v>
      </c>
      <c r="L1204">
        <v>29414</v>
      </c>
      <c r="M1204" t="s">
        <v>6910</v>
      </c>
      <c r="N1204">
        <v>60195</v>
      </c>
      <c r="O1204" t="s">
        <v>2370</v>
      </c>
      <c r="P1204">
        <v>60195</v>
      </c>
      <c r="Q1204" t="s">
        <v>2370</v>
      </c>
      <c r="R1204" t="s">
        <v>917</v>
      </c>
      <c r="S1204" t="s">
        <v>918</v>
      </c>
      <c r="T1204" t="s">
        <v>44</v>
      </c>
      <c r="U1204" t="s">
        <v>45</v>
      </c>
      <c r="AA1204" t="s">
        <v>105</v>
      </c>
      <c r="AE1204" t="s">
        <v>106</v>
      </c>
    </row>
    <row r="1205" spans="1:33" x14ac:dyDescent="0.3">
      <c r="A1205">
        <v>3644</v>
      </c>
      <c r="B1205" t="s">
        <v>6911</v>
      </c>
      <c r="C1205" t="str">
        <f>""</f>
        <v/>
      </c>
      <c r="D1205" t="str">
        <f>""</f>
        <v/>
      </c>
      <c r="E1205" s="1">
        <v>44501</v>
      </c>
      <c r="F1205" t="s">
        <v>6912</v>
      </c>
      <c r="G1205" t="e">
        <f>INDEX(#REF!,MATCH(P1205,#REF!,0),1)</f>
        <v>#REF!</v>
      </c>
      <c r="H1205" t="s">
        <v>6913</v>
      </c>
      <c r="J1205" t="s">
        <v>958</v>
      </c>
      <c r="K1205" t="s">
        <v>2127</v>
      </c>
      <c r="L1205" t="s">
        <v>6914</v>
      </c>
      <c r="M1205" t="s">
        <v>3226</v>
      </c>
      <c r="N1205">
        <v>3644</v>
      </c>
      <c r="O1205" t="s">
        <v>6912</v>
      </c>
      <c r="P1205">
        <v>3644</v>
      </c>
      <c r="Q1205" t="s">
        <v>6912</v>
      </c>
      <c r="R1205" t="s">
        <v>245</v>
      </c>
      <c r="S1205" t="s">
        <v>246</v>
      </c>
      <c r="T1205" t="s">
        <v>44</v>
      </c>
      <c r="U1205" t="s">
        <v>45</v>
      </c>
    </row>
    <row r="1206" spans="1:33" x14ac:dyDescent="0.3">
      <c r="A1206">
        <v>3667</v>
      </c>
      <c r="B1206" t="s">
        <v>6915</v>
      </c>
      <c r="C1206" t="str">
        <f>"1100005676725"</f>
        <v>1100005676725</v>
      </c>
      <c r="D1206" t="str">
        <f>"611300B00"</f>
        <v>611300B00</v>
      </c>
      <c r="E1206" s="1">
        <v>37530</v>
      </c>
      <c r="F1206" t="s">
        <v>6916</v>
      </c>
      <c r="G1206" t="e">
        <f>INDEX(#REF!,MATCH(P1206,#REF!,0),1)</f>
        <v>#REF!</v>
      </c>
      <c r="H1206" t="s">
        <v>6917</v>
      </c>
      <c r="J1206" t="s">
        <v>6918</v>
      </c>
      <c r="K1206" t="s">
        <v>283</v>
      </c>
      <c r="L1206" t="s">
        <v>6919</v>
      </c>
      <c r="M1206" t="s">
        <v>6920</v>
      </c>
      <c r="N1206">
        <v>3667</v>
      </c>
      <c r="O1206" t="s">
        <v>6916</v>
      </c>
      <c r="P1206">
        <v>3667</v>
      </c>
      <c r="Q1206" t="s">
        <v>6916</v>
      </c>
      <c r="R1206" t="s">
        <v>419</v>
      </c>
      <c r="S1206" t="s">
        <v>420</v>
      </c>
      <c r="T1206" t="s">
        <v>44</v>
      </c>
      <c r="U1206" t="s">
        <v>45</v>
      </c>
      <c r="AA1206" t="s">
        <v>119</v>
      </c>
      <c r="AE1206" t="s">
        <v>120</v>
      </c>
    </row>
    <row r="1207" spans="1:33" x14ac:dyDescent="0.3">
      <c r="A1207">
        <v>3669</v>
      </c>
      <c r="B1207" t="s">
        <v>6921</v>
      </c>
      <c r="C1207" t="str">
        <f>"1100003695063"</f>
        <v>1100003695063</v>
      </c>
      <c r="D1207" t="str">
        <f>"421430E00"</f>
        <v>421430E00</v>
      </c>
      <c r="E1207" s="1">
        <v>35247</v>
      </c>
      <c r="F1207" t="s">
        <v>6922</v>
      </c>
      <c r="G1207" t="e">
        <f>INDEX(#REF!,MATCH(P1207,#REF!,0),1)</f>
        <v>#REF!</v>
      </c>
      <c r="H1207" t="s">
        <v>6923</v>
      </c>
      <c r="J1207" t="s">
        <v>6924</v>
      </c>
      <c r="K1207" t="s">
        <v>307</v>
      </c>
      <c r="L1207" t="s">
        <v>6925</v>
      </c>
      <c r="M1207" t="s">
        <v>6926</v>
      </c>
      <c r="N1207">
        <v>36874</v>
      </c>
      <c r="O1207" t="s">
        <v>710</v>
      </c>
      <c r="P1207">
        <v>36874</v>
      </c>
      <c r="Q1207" t="s">
        <v>710</v>
      </c>
      <c r="R1207" t="s">
        <v>711</v>
      </c>
      <c r="S1207" t="s">
        <v>712</v>
      </c>
      <c r="T1207" t="s">
        <v>44</v>
      </c>
      <c r="U1207" t="s">
        <v>45</v>
      </c>
      <c r="AD1207" t="s">
        <v>94</v>
      </c>
      <c r="AE1207" t="s">
        <v>60</v>
      </c>
      <c r="AG1207" t="s">
        <v>48</v>
      </c>
    </row>
    <row r="1208" spans="1:33" x14ac:dyDescent="0.3">
      <c r="A1208">
        <v>3670</v>
      </c>
      <c r="B1208" t="s">
        <v>6927</v>
      </c>
      <c r="C1208" t="str">
        <f>"1100004752642"</f>
        <v>1100004752642</v>
      </c>
      <c r="D1208" t="str">
        <f>"420840I00"</f>
        <v>420840I00</v>
      </c>
      <c r="E1208" s="1">
        <v>35247</v>
      </c>
      <c r="F1208" t="s">
        <v>6928</v>
      </c>
      <c r="G1208" t="e">
        <f>INDEX(#REF!,MATCH(P1208,#REF!,0),1)</f>
        <v>#REF!</v>
      </c>
      <c r="H1208" t="s">
        <v>6929</v>
      </c>
      <c r="J1208" t="s">
        <v>6930</v>
      </c>
      <c r="K1208" t="s">
        <v>307</v>
      </c>
      <c r="L1208" t="s">
        <v>6931</v>
      </c>
      <c r="M1208" t="s">
        <v>6932</v>
      </c>
      <c r="N1208">
        <v>67</v>
      </c>
      <c r="O1208" t="s">
        <v>304</v>
      </c>
      <c r="P1208">
        <v>67</v>
      </c>
      <c r="Q1208" t="s">
        <v>304</v>
      </c>
      <c r="R1208" t="s">
        <v>310</v>
      </c>
      <c r="S1208" t="s">
        <v>311</v>
      </c>
      <c r="T1208" t="s">
        <v>44</v>
      </c>
      <c r="U1208" t="s">
        <v>45</v>
      </c>
      <c r="AE1208" t="s">
        <v>269</v>
      </c>
    </row>
    <row r="1209" spans="1:33" x14ac:dyDescent="0.3">
      <c r="A1209">
        <v>3673</v>
      </c>
      <c r="B1209" t="s">
        <v>6933</v>
      </c>
      <c r="C1209" t="str">
        <f>"1100005884014"</f>
        <v>1100005884014</v>
      </c>
      <c r="D1209" t="str">
        <f>"669G56C00"</f>
        <v>669G56C00</v>
      </c>
      <c r="E1209" s="1">
        <v>35170</v>
      </c>
      <c r="F1209" t="s">
        <v>6934</v>
      </c>
      <c r="G1209" t="e">
        <f>INDEX(#REF!,MATCH(P1209,#REF!,0),1)</f>
        <v>#REF!</v>
      </c>
      <c r="H1209" t="s">
        <v>6935</v>
      </c>
      <c r="J1209" t="s">
        <v>726</v>
      </c>
      <c r="K1209" t="s">
        <v>727</v>
      </c>
      <c r="L1209">
        <v>68124</v>
      </c>
      <c r="M1209" t="s">
        <v>6936</v>
      </c>
      <c r="N1209">
        <v>3673</v>
      </c>
      <c r="O1209" t="s">
        <v>6934</v>
      </c>
      <c r="P1209">
        <v>3673</v>
      </c>
      <c r="Q1209" t="s">
        <v>6934</v>
      </c>
      <c r="R1209" t="s">
        <v>5329</v>
      </c>
      <c r="S1209" t="s">
        <v>5330</v>
      </c>
      <c r="T1209" t="s">
        <v>117</v>
      </c>
      <c r="U1209" t="s">
        <v>2479</v>
      </c>
      <c r="V1209" t="s">
        <v>2215</v>
      </c>
    </row>
    <row r="1210" spans="1:33" x14ac:dyDescent="0.3">
      <c r="A1210">
        <v>3675</v>
      </c>
      <c r="B1210" t="s">
        <v>6937</v>
      </c>
      <c r="C1210" t="str">
        <f>""</f>
        <v/>
      </c>
      <c r="D1210" t="str">
        <f>"140400900"</f>
        <v>140400900</v>
      </c>
      <c r="E1210" s="1">
        <v>42583</v>
      </c>
      <c r="F1210" t="s">
        <v>6938</v>
      </c>
      <c r="G1210" t="e">
        <f>INDEX(#REF!,MATCH(P1210,#REF!,0),1)</f>
        <v>#REF!</v>
      </c>
      <c r="H1210" t="s">
        <v>6939</v>
      </c>
      <c r="J1210" t="s">
        <v>4787</v>
      </c>
      <c r="K1210" t="s">
        <v>2004</v>
      </c>
      <c r="L1210" t="str">
        <f>"02301"</f>
        <v>02301</v>
      </c>
      <c r="M1210" t="s">
        <v>6940</v>
      </c>
      <c r="N1210">
        <v>42207</v>
      </c>
      <c r="O1210" t="s">
        <v>6941</v>
      </c>
      <c r="P1210">
        <v>42207</v>
      </c>
      <c r="Q1210" t="s">
        <v>6941</v>
      </c>
      <c r="R1210" t="s">
        <v>1301</v>
      </c>
      <c r="S1210" t="s">
        <v>1302</v>
      </c>
      <c r="T1210" t="s">
        <v>44</v>
      </c>
      <c r="U1210" t="s">
        <v>45</v>
      </c>
    </row>
    <row r="1211" spans="1:33" x14ac:dyDescent="0.3">
      <c r="A1211">
        <v>3677</v>
      </c>
      <c r="B1211" t="s">
        <v>6942</v>
      </c>
      <c r="C1211" t="str">
        <f>"1100004461520"</f>
        <v>1100004461520</v>
      </c>
      <c r="D1211" t="str">
        <f>"341630H00"</f>
        <v>341630H00</v>
      </c>
      <c r="E1211" s="1">
        <v>35247</v>
      </c>
      <c r="F1211" t="s">
        <v>6943</v>
      </c>
      <c r="G1211" t="e">
        <f>INDEX(#REF!,MATCH(P1211,#REF!,0),1)</f>
        <v>#REF!</v>
      </c>
      <c r="H1211" t="s">
        <v>6944</v>
      </c>
      <c r="J1211" t="s">
        <v>6945</v>
      </c>
      <c r="K1211" t="s">
        <v>77</v>
      </c>
      <c r="L1211" t="s">
        <v>6946</v>
      </c>
      <c r="M1211" t="s">
        <v>6947</v>
      </c>
      <c r="N1211">
        <v>9</v>
      </c>
      <c r="O1211" t="s">
        <v>74</v>
      </c>
      <c r="P1211">
        <v>9</v>
      </c>
      <c r="Q1211" t="s">
        <v>74</v>
      </c>
      <c r="R1211" t="s">
        <v>79</v>
      </c>
      <c r="S1211" t="s">
        <v>80</v>
      </c>
      <c r="T1211" t="s">
        <v>44</v>
      </c>
      <c r="U1211" t="s">
        <v>45</v>
      </c>
      <c r="AA1211" t="s">
        <v>82</v>
      </c>
      <c r="AE1211" t="s">
        <v>83</v>
      </c>
      <c r="AG1211" t="s">
        <v>48</v>
      </c>
    </row>
    <row r="1212" spans="1:33" x14ac:dyDescent="0.3">
      <c r="A1212">
        <v>3684</v>
      </c>
      <c r="B1212" t="s">
        <v>6948</v>
      </c>
      <c r="C1212" t="str">
        <f>"1100002186425"</f>
        <v>1100002186425</v>
      </c>
      <c r="D1212" t="str">
        <f>"K0FBGE400"</f>
        <v>K0FBGE400</v>
      </c>
      <c r="E1212" s="1">
        <v>35217</v>
      </c>
      <c r="F1212" t="s">
        <v>6949</v>
      </c>
      <c r="G1212" t="e">
        <f>INDEX(#REF!,MATCH(P1212,#REF!,0),1)</f>
        <v>#REF!</v>
      </c>
      <c r="H1212" t="s">
        <v>6950</v>
      </c>
      <c r="J1212" t="s">
        <v>36</v>
      </c>
      <c r="K1212" t="s">
        <v>37</v>
      </c>
      <c r="L1212">
        <v>44333</v>
      </c>
      <c r="M1212" t="s">
        <v>3226</v>
      </c>
      <c r="N1212">
        <v>770471</v>
      </c>
      <c r="O1212" t="s">
        <v>40</v>
      </c>
      <c r="P1212">
        <v>4</v>
      </c>
      <c r="Q1212" t="s">
        <v>34</v>
      </c>
      <c r="R1212" t="s">
        <v>3159</v>
      </c>
      <c r="S1212" t="s">
        <v>3160</v>
      </c>
      <c r="T1212" t="s">
        <v>117</v>
      </c>
      <c r="U1212" t="s">
        <v>6951</v>
      </c>
      <c r="V1212" t="s">
        <v>1824</v>
      </c>
      <c r="Y1212" t="s">
        <v>46</v>
      </c>
      <c r="Z1212" s="1">
        <v>41913</v>
      </c>
      <c r="AG1212" t="s">
        <v>48</v>
      </c>
    </row>
    <row r="1213" spans="1:33" x14ac:dyDescent="0.3">
      <c r="A1213">
        <v>3685</v>
      </c>
      <c r="B1213" t="s">
        <v>6952</v>
      </c>
      <c r="C1213" t="str">
        <f>"1100005007697"</f>
        <v>1100005007697</v>
      </c>
      <c r="D1213" t="str">
        <f>"5VXCG2R00"</f>
        <v>5VXCG2R00</v>
      </c>
      <c r="E1213" s="1">
        <v>35217</v>
      </c>
      <c r="F1213" t="s">
        <v>6953</v>
      </c>
      <c r="G1213" t="e">
        <f>INDEX(#REF!,MATCH(P1213,#REF!,0),1)</f>
        <v>#REF!</v>
      </c>
      <c r="H1213" t="s">
        <v>6954</v>
      </c>
      <c r="J1213" t="s">
        <v>36</v>
      </c>
      <c r="K1213" t="s">
        <v>37</v>
      </c>
      <c r="L1213" t="s">
        <v>6955</v>
      </c>
      <c r="M1213" t="s">
        <v>6956</v>
      </c>
      <c r="N1213">
        <v>770471</v>
      </c>
      <c r="O1213" t="s">
        <v>40</v>
      </c>
      <c r="P1213">
        <v>4</v>
      </c>
      <c r="Q1213" t="s">
        <v>34</v>
      </c>
      <c r="R1213" t="s">
        <v>3159</v>
      </c>
      <c r="S1213" t="s">
        <v>3160</v>
      </c>
      <c r="T1213" t="s">
        <v>117</v>
      </c>
      <c r="U1213" t="s">
        <v>2479</v>
      </c>
      <c r="V1213" t="s">
        <v>1824</v>
      </c>
      <c r="Y1213" t="s">
        <v>46</v>
      </c>
      <c r="Z1213" s="1">
        <v>41913</v>
      </c>
      <c r="AE1213" t="s">
        <v>47</v>
      </c>
      <c r="AG1213" t="s">
        <v>48</v>
      </c>
    </row>
    <row r="1214" spans="1:33" x14ac:dyDescent="0.3">
      <c r="A1214">
        <v>3686</v>
      </c>
      <c r="B1214" t="s">
        <v>6957</v>
      </c>
      <c r="C1214" t="str">
        <f>""</f>
        <v/>
      </c>
      <c r="D1214" t="str">
        <f>"670550N00"</f>
        <v>670550N00</v>
      </c>
      <c r="E1214" s="1">
        <v>35247</v>
      </c>
      <c r="F1214" t="s">
        <v>6958</v>
      </c>
      <c r="G1214" t="e">
        <f>INDEX(#REF!,MATCH(P1214,#REF!,0),1)</f>
        <v>#REF!</v>
      </c>
      <c r="H1214" t="s">
        <v>6959</v>
      </c>
      <c r="J1214" t="s">
        <v>6960</v>
      </c>
      <c r="K1214" t="s">
        <v>835</v>
      </c>
      <c r="L1214" t="s">
        <v>6961</v>
      </c>
      <c r="M1214" t="s">
        <v>6962</v>
      </c>
      <c r="N1214">
        <v>2599</v>
      </c>
      <c r="O1214" t="s">
        <v>1870</v>
      </c>
      <c r="P1214">
        <v>2599</v>
      </c>
      <c r="Q1214" t="s">
        <v>1870</v>
      </c>
      <c r="R1214" t="s">
        <v>1895</v>
      </c>
      <c r="S1214" t="s">
        <v>1896</v>
      </c>
      <c r="T1214" t="s">
        <v>44</v>
      </c>
      <c r="U1214" t="s">
        <v>45</v>
      </c>
      <c r="AA1214" t="s">
        <v>327</v>
      </c>
      <c r="AD1214" t="s">
        <v>94</v>
      </c>
      <c r="AE1214" t="s">
        <v>1522</v>
      </c>
    </row>
    <row r="1215" spans="1:33" x14ac:dyDescent="0.3">
      <c r="A1215">
        <v>3691</v>
      </c>
      <c r="B1215" t="s">
        <v>6963</v>
      </c>
      <c r="C1215" t="str">
        <f>"1100002353674"</f>
        <v>1100002353674</v>
      </c>
      <c r="D1215" t="str">
        <f>"430080F00"</f>
        <v>430080F00</v>
      </c>
      <c r="E1215" s="1">
        <v>43101</v>
      </c>
      <c r="F1215" t="s">
        <v>6964</v>
      </c>
      <c r="G1215" t="e">
        <f>INDEX(#REF!,MATCH(P1215,#REF!,0),1)</f>
        <v>#REF!</v>
      </c>
      <c r="H1215" t="s">
        <v>6965</v>
      </c>
      <c r="J1215" t="s">
        <v>6966</v>
      </c>
      <c r="K1215" t="s">
        <v>342</v>
      </c>
      <c r="L1215" t="s">
        <v>6967</v>
      </c>
      <c r="M1215" t="s">
        <v>6968</v>
      </c>
      <c r="N1215">
        <v>90</v>
      </c>
      <c r="O1215" t="s">
        <v>391</v>
      </c>
      <c r="P1215">
        <v>2625195</v>
      </c>
      <c r="Q1215" t="s">
        <v>6969</v>
      </c>
      <c r="R1215" t="s">
        <v>396</v>
      </c>
      <c r="S1215" t="s">
        <v>397</v>
      </c>
      <c r="T1215" t="s">
        <v>44</v>
      </c>
      <c r="U1215" t="s">
        <v>45</v>
      </c>
      <c r="AA1215" t="s">
        <v>119</v>
      </c>
      <c r="AE1215" t="s">
        <v>120</v>
      </c>
    </row>
    <row r="1216" spans="1:33" x14ac:dyDescent="0.3">
      <c r="A1216">
        <v>3695</v>
      </c>
      <c r="B1216" t="s">
        <v>6970</v>
      </c>
      <c r="C1216" t="str">
        <f>"1100002237615"</f>
        <v>1100002237615</v>
      </c>
      <c r="D1216" t="str">
        <f>""</f>
        <v/>
      </c>
      <c r="E1216" s="1">
        <v>35186</v>
      </c>
      <c r="F1216" t="s">
        <v>6971</v>
      </c>
      <c r="G1216" t="e">
        <f>INDEX(#REF!,MATCH(P1216,#REF!,0),1)</f>
        <v>#REF!</v>
      </c>
      <c r="H1216" t="s">
        <v>6972</v>
      </c>
      <c r="J1216" t="s">
        <v>6973</v>
      </c>
      <c r="K1216" t="s">
        <v>1840</v>
      </c>
      <c r="L1216" t="s">
        <v>6974</v>
      </c>
      <c r="M1216" t="s">
        <v>6975</v>
      </c>
      <c r="N1216">
        <v>3695</v>
      </c>
      <c r="O1216" t="s">
        <v>6971</v>
      </c>
      <c r="P1216">
        <v>3695</v>
      </c>
      <c r="Q1216" t="s">
        <v>6971</v>
      </c>
      <c r="R1216" t="s">
        <v>4689</v>
      </c>
      <c r="S1216" t="s">
        <v>4690</v>
      </c>
      <c r="T1216" t="s">
        <v>2277</v>
      </c>
      <c r="U1216" t="s">
        <v>2278</v>
      </c>
      <c r="V1216" t="s">
        <v>2215</v>
      </c>
    </row>
    <row r="1217" spans="1:33" x14ac:dyDescent="0.3">
      <c r="A1217">
        <v>3697</v>
      </c>
      <c r="B1217" t="s">
        <v>6976</v>
      </c>
      <c r="C1217" t="str">
        <f>""</f>
        <v/>
      </c>
      <c r="D1217" t="str">
        <f>""</f>
        <v/>
      </c>
      <c r="E1217" s="1">
        <v>35186</v>
      </c>
      <c r="F1217" t="s">
        <v>6977</v>
      </c>
      <c r="G1217" t="e">
        <f>INDEX(#REF!,MATCH(P1217,#REF!,0),1)</f>
        <v>#REF!</v>
      </c>
      <c r="H1217" t="s">
        <v>6978</v>
      </c>
      <c r="J1217" t="s">
        <v>1839</v>
      </c>
      <c r="K1217" t="s">
        <v>1840</v>
      </c>
      <c r="L1217" t="s">
        <v>6979</v>
      </c>
      <c r="M1217" t="s">
        <v>3226</v>
      </c>
      <c r="N1217">
        <v>34736</v>
      </c>
      <c r="O1217" t="s">
        <v>1843</v>
      </c>
      <c r="P1217">
        <v>497</v>
      </c>
      <c r="Q1217" t="s">
        <v>1837</v>
      </c>
      <c r="R1217" t="s">
        <v>3152</v>
      </c>
      <c r="S1217" t="s">
        <v>3153</v>
      </c>
      <c r="T1217" t="s">
        <v>2277</v>
      </c>
      <c r="U1217" t="s">
        <v>5622</v>
      </c>
      <c r="V1217" t="s">
        <v>1824</v>
      </c>
      <c r="AD1217" t="s">
        <v>94</v>
      </c>
      <c r="AG1217" t="s">
        <v>48</v>
      </c>
    </row>
    <row r="1218" spans="1:33" x14ac:dyDescent="0.3">
      <c r="A1218">
        <v>3698</v>
      </c>
      <c r="B1218" t="s">
        <v>6980</v>
      </c>
      <c r="C1218" t="str">
        <f>""</f>
        <v/>
      </c>
      <c r="D1218" t="str">
        <f>""</f>
        <v/>
      </c>
      <c r="E1218" s="1">
        <v>35186</v>
      </c>
      <c r="F1218" t="s">
        <v>6981</v>
      </c>
      <c r="G1218" t="e">
        <f>INDEX(#REF!,MATCH(P1218,#REF!,0),1)</f>
        <v>#REF!</v>
      </c>
      <c r="H1218" t="s">
        <v>6982</v>
      </c>
      <c r="J1218" t="s">
        <v>1839</v>
      </c>
      <c r="K1218" t="s">
        <v>1840</v>
      </c>
      <c r="L1218" t="s">
        <v>6983</v>
      </c>
      <c r="M1218" t="s">
        <v>3226</v>
      </c>
      <c r="N1218">
        <v>34736</v>
      </c>
      <c r="O1218" t="s">
        <v>1843</v>
      </c>
      <c r="P1218">
        <v>497</v>
      </c>
      <c r="Q1218" t="s">
        <v>1837</v>
      </c>
      <c r="R1218" t="s">
        <v>3152</v>
      </c>
      <c r="S1218" t="s">
        <v>3153</v>
      </c>
      <c r="T1218" t="s">
        <v>2277</v>
      </c>
      <c r="U1218" t="s">
        <v>4419</v>
      </c>
      <c r="V1218" t="s">
        <v>1824</v>
      </c>
      <c r="AD1218" t="s">
        <v>94</v>
      </c>
      <c r="AG1218" t="s">
        <v>48</v>
      </c>
    </row>
    <row r="1219" spans="1:33" x14ac:dyDescent="0.3">
      <c r="A1219">
        <v>3701</v>
      </c>
      <c r="B1219" t="s">
        <v>6984</v>
      </c>
      <c r="C1219" t="str">
        <f>"1100005293335"</f>
        <v>1100005293335</v>
      </c>
      <c r="D1219" t="str">
        <f>"29X7HTP00"</f>
        <v>29X7HTP00</v>
      </c>
      <c r="E1219" s="1">
        <v>41730</v>
      </c>
      <c r="F1219" t="s">
        <v>6985</v>
      </c>
      <c r="G1219" t="e">
        <f>INDEX(#REF!,MATCH(P1219,#REF!,0),1)</f>
        <v>#REF!</v>
      </c>
      <c r="H1219" t="s">
        <v>6986</v>
      </c>
      <c r="J1219" t="s">
        <v>6832</v>
      </c>
      <c r="K1219" t="s">
        <v>384</v>
      </c>
      <c r="L1219" t="s">
        <v>6987</v>
      </c>
      <c r="M1219" t="s">
        <v>6988</v>
      </c>
      <c r="N1219">
        <v>55403</v>
      </c>
      <c r="O1219" t="s">
        <v>6835</v>
      </c>
      <c r="P1219">
        <v>3587</v>
      </c>
      <c r="Q1219" t="s">
        <v>6830</v>
      </c>
      <c r="R1219" t="s">
        <v>6836</v>
      </c>
      <c r="S1219" t="s">
        <v>6837</v>
      </c>
      <c r="T1219" t="s">
        <v>2140</v>
      </c>
      <c r="U1219" t="s">
        <v>2141</v>
      </c>
      <c r="V1219" t="s">
        <v>2215</v>
      </c>
      <c r="AC1219" t="s">
        <v>2333</v>
      </c>
      <c r="AG1219" t="s">
        <v>48</v>
      </c>
    </row>
    <row r="1220" spans="1:33" x14ac:dyDescent="0.3">
      <c r="A1220">
        <v>3704</v>
      </c>
      <c r="B1220" t="s">
        <v>6989</v>
      </c>
      <c r="C1220" t="str">
        <f>"1100005892927"</f>
        <v>1100005892927</v>
      </c>
      <c r="D1220" t="str">
        <f>"H2MP59800"</f>
        <v>H2MP59800</v>
      </c>
      <c r="E1220" s="1">
        <v>42583</v>
      </c>
      <c r="F1220" t="s">
        <v>6990</v>
      </c>
      <c r="G1220" t="e">
        <f>INDEX(#REF!,MATCH(P1220,#REF!,0),1)</f>
        <v>#REF!</v>
      </c>
      <c r="H1220" t="s">
        <v>6991</v>
      </c>
      <c r="J1220" t="s">
        <v>6832</v>
      </c>
      <c r="K1220" t="s">
        <v>384</v>
      </c>
      <c r="L1220" t="s">
        <v>6992</v>
      </c>
      <c r="M1220" t="s">
        <v>6993</v>
      </c>
      <c r="N1220">
        <v>2821254</v>
      </c>
      <c r="O1220" t="s">
        <v>6994</v>
      </c>
      <c r="P1220">
        <v>2821254</v>
      </c>
      <c r="Q1220" t="s">
        <v>6994</v>
      </c>
      <c r="R1220" t="s">
        <v>6820</v>
      </c>
      <c r="S1220" t="s">
        <v>6821</v>
      </c>
      <c r="T1220" t="s">
        <v>3141</v>
      </c>
      <c r="U1220" t="s">
        <v>3142</v>
      </c>
      <c r="V1220" t="s">
        <v>2215</v>
      </c>
    </row>
    <row r="1221" spans="1:33" x14ac:dyDescent="0.3">
      <c r="A1221">
        <v>3711</v>
      </c>
      <c r="B1221" t="s">
        <v>6995</v>
      </c>
      <c r="C1221" t="str">
        <f>"1100095367114"</f>
        <v>1100095367114</v>
      </c>
      <c r="D1221" t="str">
        <f>"LQC03ND00"</f>
        <v>LQC03ND00</v>
      </c>
      <c r="E1221" s="1">
        <v>35186</v>
      </c>
      <c r="F1221" t="s">
        <v>6996</v>
      </c>
      <c r="G1221" t="e">
        <f>INDEX(#REF!,MATCH(P1221,#REF!,0),1)</f>
        <v>#REF!</v>
      </c>
      <c r="H1221" t="s">
        <v>6997</v>
      </c>
      <c r="J1221" t="s">
        <v>1440</v>
      </c>
      <c r="K1221" t="s">
        <v>111</v>
      </c>
      <c r="L1221" t="s">
        <v>6998</v>
      </c>
      <c r="M1221" t="s">
        <v>6999</v>
      </c>
      <c r="N1221">
        <v>1319</v>
      </c>
      <c r="O1221" t="s">
        <v>1443</v>
      </c>
      <c r="P1221">
        <v>1319</v>
      </c>
      <c r="Q1221" t="s">
        <v>1443</v>
      </c>
      <c r="R1221" t="s">
        <v>3751</v>
      </c>
      <c r="S1221" t="s">
        <v>3752</v>
      </c>
      <c r="T1221" t="s">
        <v>2277</v>
      </c>
      <c r="U1221" t="s">
        <v>4502</v>
      </c>
      <c r="V1221" t="s">
        <v>1824</v>
      </c>
      <c r="AA1221" t="s">
        <v>119</v>
      </c>
      <c r="AE1221" t="s">
        <v>120</v>
      </c>
    </row>
    <row r="1222" spans="1:33" x14ac:dyDescent="0.3">
      <c r="A1222">
        <v>3714</v>
      </c>
      <c r="B1222" t="s">
        <v>7000</v>
      </c>
      <c r="C1222" t="str">
        <f>""</f>
        <v/>
      </c>
      <c r="D1222" t="str">
        <f>"A6D124000"</f>
        <v>A6D124000</v>
      </c>
      <c r="E1222" s="1">
        <v>35247</v>
      </c>
      <c r="F1222" t="s">
        <v>7001</v>
      </c>
      <c r="G1222" t="e">
        <f>INDEX(#REF!,MATCH(P1222,#REF!,0),1)</f>
        <v>#REF!</v>
      </c>
      <c r="H1222" t="s">
        <v>2506</v>
      </c>
      <c r="J1222" t="s">
        <v>1465</v>
      </c>
      <c r="K1222" t="s">
        <v>2507</v>
      </c>
      <c r="L1222" t="str">
        <f>"02903-4923"</f>
        <v>02903-4923</v>
      </c>
      <c r="M1222" t="s">
        <v>7002</v>
      </c>
      <c r="N1222">
        <v>30853</v>
      </c>
      <c r="O1222" t="s">
        <v>2509</v>
      </c>
      <c r="P1222">
        <v>30853</v>
      </c>
      <c r="Q1222" t="s">
        <v>2509</v>
      </c>
      <c r="R1222" t="s">
        <v>2138</v>
      </c>
      <c r="S1222" t="s">
        <v>2139</v>
      </c>
      <c r="T1222" t="s">
        <v>3141</v>
      </c>
      <c r="U1222" t="s">
        <v>5806</v>
      </c>
      <c r="V1222" t="s">
        <v>1824</v>
      </c>
      <c r="AA1222" t="s">
        <v>119</v>
      </c>
      <c r="AE1222" t="s">
        <v>60</v>
      </c>
      <c r="AG1222" t="s">
        <v>48</v>
      </c>
    </row>
    <row r="1223" spans="1:33" x14ac:dyDescent="0.3">
      <c r="A1223">
        <v>3716</v>
      </c>
      <c r="B1223" t="s">
        <v>7003</v>
      </c>
      <c r="C1223" t="str">
        <f>""</f>
        <v/>
      </c>
      <c r="D1223" t="str">
        <f>"98F1J7N00"</f>
        <v>98F1J7N00</v>
      </c>
      <c r="E1223" s="1">
        <v>35247</v>
      </c>
      <c r="F1223" t="s">
        <v>7004</v>
      </c>
      <c r="G1223" t="e">
        <f>INDEX(#REF!,MATCH(P1223,#REF!,0),1)</f>
        <v>#REF!</v>
      </c>
      <c r="H1223" t="s">
        <v>7005</v>
      </c>
      <c r="J1223" t="s">
        <v>1465</v>
      </c>
      <c r="K1223" t="s">
        <v>2507</v>
      </c>
      <c r="L1223" t="str">
        <f>"02903-1042"</f>
        <v>02903-1042</v>
      </c>
      <c r="M1223" t="s">
        <v>3226</v>
      </c>
      <c r="N1223">
        <v>30853</v>
      </c>
      <c r="O1223" t="s">
        <v>2509</v>
      </c>
      <c r="P1223">
        <v>30853</v>
      </c>
      <c r="Q1223" t="s">
        <v>2509</v>
      </c>
      <c r="R1223" t="s">
        <v>2138</v>
      </c>
      <c r="S1223" t="s">
        <v>2139</v>
      </c>
      <c r="T1223" t="s">
        <v>3141</v>
      </c>
      <c r="U1223" t="s">
        <v>3142</v>
      </c>
      <c r="V1223" t="s">
        <v>1824</v>
      </c>
      <c r="AA1223" t="s">
        <v>119</v>
      </c>
      <c r="AE1223" t="s">
        <v>60</v>
      </c>
      <c r="AG1223" t="s">
        <v>48</v>
      </c>
    </row>
    <row r="1224" spans="1:33" x14ac:dyDescent="0.3">
      <c r="A1224">
        <v>3718</v>
      </c>
      <c r="B1224" t="s">
        <v>7006</v>
      </c>
      <c r="C1224" t="str">
        <f>"1100007007220"</f>
        <v>1100007007220</v>
      </c>
      <c r="D1224" t="str">
        <f>"650660N00"</f>
        <v>650660N00</v>
      </c>
      <c r="E1224" s="1">
        <v>35247</v>
      </c>
      <c r="F1224" t="s">
        <v>7007</v>
      </c>
      <c r="G1224" t="e">
        <f>INDEX(#REF!,MATCH(P1224,#REF!,0),1)</f>
        <v>#REF!</v>
      </c>
      <c r="H1224" t="s">
        <v>7008</v>
      </c>
      <c r="J1224" t="s">
        <v>7009</v>
      </c>
      <c r="K1224" t="s">
        <v>899</v>
      </c>
      <c r="L1224" t="s">
        <v>7010</v>
      </c>
      <c r="M1224" t="s">
        <v>7011</v>
      </c>
      <c r="N1224">
        <v>871561</v>
      </c>
      <c r="O1224" t="s">
        <v>194</v>
      </c>
      <c r="P1224">
        <v>102627</v>
      </c>
      <c r="Q1224" t="s">
        <v>3048</v>
      </c>
      <c r="R1224" t="s">
        <v>196</v>
      </c>
      <c r="S1224" t="s">
        <v>197</v>
      </c>
      <c r="T1224" t="s">
        <v>44</v>
      </c>
      <c r="U1224" t="s">
        <v>45</v>
      </c>
      <c r="AA1224" t="s">
        <v>119</v>
      </c>
      <c r="AE1224" t="s">
        <v>120</v>
      </c>
      <c r="AG1224" t="s">
        <v>48</v>
      </c>
    </row>
    <row r="1225" spans="1:33" x14ac:dyDescent="0.3">
      <c r="A1225">
        <v>3724</v>
      </c>
      <c r="B1225" t="s">
        <v>7012</v>
      </c>
      <c r="C1225" t="str">
        <f>"1100003456718"</f>
        <v>1100003456718</v>
      </c>
      <c r="D1225" t="str">
        <f>"933280P00"</f>
        <v>933280P00</v>
      </c>
      <c r="E1225" s="1">
        <v>42583</v>
      </c>
      <c r="F1225" t="s">
        <v>7013</v>
      </c>
      <c r="G1225" t="e">
        <f>INDEX(#REF!,MATCH(P1225,#REF!,0),1)</f>
        <v>#REF!</v>
      </c>
      <c r="H1225" t="s">
        <v>7014</v>
      </c>
      <c r="J1225" t="s">
        <v>7015</v>
      </c>
      <c r="K1225" t="s">
        <v>88</v>
      </c>
      <c r="L1225">
        <v>90640</v>
      </c>
      <c r="M1225" t="s">
        <v>7016</v>
      </c>
      <c r="N1225">
        <v>2449814</v>
      </c>
      <c r="O1225" t="s">
        <v>2083</v>
      </c>
      <c r="P1225">
        <v>2449814</v>
      </c>
      <c r="Q1225" t="s">
        <v>2083</v>
      </c>
      <c r="R1225" t="s">
        <v>266</v>
      </c>
      <c r="S1225" t="s">
        <v>267</v>
      </c>
      <c r="T1225" t="s">
        <v>44</v>
      </c>
      <c r="U1225" t="s">
        <v>45</v>
      </c>
      <c r="Y1225" t="s">
        <v>1317</v>
      </c>
      <c r="Z1225" s="1">
        <v>45292</v>
      </c>
      <c r="AC1225" t="s">
        <v>1318</v>
      </c>
      <c r="AD1225" t="s">
        <v>94</v>
      </c>
      <c r="AE1225" t="s">
        <v>72</v>
      </c>
    </row>
    <row r="1226" spans="1:33" x14ac:dyDescent="0.3">
      <c r="A1226">
        <v>3747</v>
      </c>
      <c r="B1226" t="s">
        <v>7017</v>
      </c>
      <c r="C1226" t="str">
        <f>"1100003278891"</f>
        <v>1100003278891</v>
      </c>
      <c r="D1226" t="str">
        <f>"G8MGWPB00"</f>
        <v>G8MGWPB00</v>
      </c>
      <c r="E1226" s="1">
        <v>35309</v>
      </c>
      <c r="F1226" t="s">
        <v>7018</v>
      </c>
      <c r="G1226" t="e">
        <f>INDEX(#REF!,MATCH(P1226,#REF!,0),1)</f>
        <v>#REF!</v>
      </c>
      <c r="H1226" t="s">
        <v>7019</v>
      </c>
      <c r="J1226" t="s">
        <v>7020</v>
      </c>
      <c r="K1226" t="s">
        <v>283</v>
      </c>
      <c r="L1226" t="s">
        <v>7021</v>
      </c>
      <c r="M1226" t="s">
        <v>7022</v>
      </c>
      <c r="N1226">
        <v>559</v>
      </c>
      <c r="O1226" t="s">
        <v>2041</v>
      </c>
      <c r="P1226">
        <v>3834</v>
      </c>
      <c r="Q1226" t="s">
        <v>4510</v>
      </c>
      <c r="R1226" t="s">
        <v>3864</v>
      </c>
      <c r="S1226" t="s">
        <v>3865</v>
      </c>
      <c r="T1226" t="s">
        <v>2277</v>
      </c>
      <c r="U1226" t="s">
        <v>2278</v>
      </c>
      <c r="V1226" t="s">
        <v>1824</v>
      </c>
      <c r="AD1226" t="s">
        <v>94</v>
      </c>
      <c r="AE1226" t="s">
        <v>120</v>
      </c>
    </row>
    <row r="1227" spans="1:33" x14ac:dyDescent="0.3">
      <c r="A1227">
        <v>3748</v>
      </c>
      <c r="B1227" t="s">
        <v>7023</v>
      </c>
      <c r="C1227" t="str">
        <f>"1100002158996"</f>
        <v>1100002158996</v>
      </c>
      <c r="D1227" t="str">
        <f>"6KDYCP200"</f>
        <v>6KDYCP200</v>
      </c>
      <c r="E1227" s="1">
        <v>35309</v>
      </c>
      <c r="F1227" t="s">
        <v>7024</v>
      </c>
      <c r="G1227" t="e">
        <f>INDEX(#REF!,MATCH(P1227,#REF!,0),1)</f>
        <v>#REF!</v>
      </c>
      <c r="H1227" t="s">
        <v>7025</v>
      </c>
      <c r="J1227" t="s">
        <v>7026</v>
      </c>
      <c r="K1227" t="s">
        <v>283</v>
      </c>
      <c r="L1227" t="s">
        <v>7027</v>
      </c>
      <c r="M1227" t="s">
        <v>7028</v>
      </c>
      <c r="N1227">
        <v>559</v>
      </c>
      <c r="O1227" t="s">
        <v>2041</v>
      </c>
      <c r="P1227">
        <v>3834</v>
      </c>
      <c r="Q1227" t="s">
        <v>4510</v>
      </c>
      <c r="R1227" t="s">
        <v>3864</v>
      </c>
      <c r="S1227" t="s">
        <v>3865</v>
      </c>
      <c r="T1227" t="s">
        <v>2277</v>
      </c>
      <c r="U1227" t="s">
        <v>2278</v>
      </c>
      <c r="V1227" t="s">
        <v>1824</v>
      </c>
      <c r="AD1227" t="s">
        <v>94</v>
      </c>
      <c r="AE1227" t="s">
        <v>120</v>
      </c>
    </row>
    <row r="1228" spans="1:33" x14ac:dyDescent="0.3">
      <c r="A1228">
        <v>3750</v>
      </c>
      <c r="B1228" t="s">
        <v>7029</v>
      </c>
      <c r="C1228" t="str">
        <f>""</f>
        <v/>
      </c>
      <c r="D1228" t="str">
        <f>"YBEB39A00"</f>
        <v>YBEB39A00</v>
      </c>
      <c r="E1228" s="1">
        <v>35309</v>
      </c>
      <c r="F1228" t="s">
        <v>7030</v>
      </c>
      <c r="G1228" t="e">
        <f>INDEX(#REF!,MATCH(P1228,#REF!,0),1)</f>
        <v>#REF!</v>
      </c>
      <c r="H1228" t="s">
        <v>7031</v>
      </c>
      <c r="J1228" t="s">
        <v>5245</v>
      </c>
      <c r="K1228" t="s">
        <v>283</v>
      </c>
      <c r="L1228" t="s">
        <v>7032</v>
      </c>
      <c r="M1228" t="s">
        <v>7033</v>
      </c>
      <c r="N1228">
        <v>559</v>
      </c>
      <c r="O1228" t="s">
        <v>2041</v>
      </c>
      <c r="P1228">
        <v>3834</v>
      </c>
      <c r="Q1228" t="s">
        <v>4510</v>
      </c>
      <c r="R1228" t="s">
        <v>3864</v>
      </c>
      <c r="S1228" t="s">
        <v>3865</v>
      </c>
      <c r="T1228" t="s">
        <v>2277</v>
      </c>
      <c r="U1228" t="s">
        <v>3103</v>
      </c>
      <c r="V1228" t="s">
        <v>1824</v>
      </c>
      <c r="AD1228" t="s">
        <v>94</v>
      </c>
      <c r="AE1228" t="s">
        <v>120</v>
      </c>
    </row>
    <row r="1229" spans="1:33" x14ac:dyDescent="0.3">
      <c r="A1229">
        <v>3754</v>
      </c>
      <c r="B1229" t="s">
        <v>7034</v>
      </c>
      <c r="C1229" t="str">
        <f>"1100005944596"</f>
        <v>1100005944596</v>
      </c>
      <c r="D1229" t="str">
        <f>"D2P546J00"</f>
        <v>D2P546J00</v>
      </c>
      <c r="E1229" s="1">
        <v>39031</v>
      </c>
      <c r="F1229" t="s">
        <v>7035</v>
      </c>
      <c r="G1229" t="e">
        <f>INDEX(#REF!,MATCH(P1229,#REF!,0),1)</f>
        <v>#REF!</v>
      </c>
      <c r="H1229" t="s">
        <v>7036</v>
      </c>
      <c r="J1229" t="s">
        <v>7037</v>
      </c>
      <c r="K1229" t="s">
        <v>283</v>
      </c>
      <c r="L1229" t="s">
        <v>7038</v>
      </c>
      <c r="M1229" t="s">
        <v>7039</v>
      </c>
      <c r="N1229">
        <v>559</v>
      </c>
      <c r="O1229" t="s">
        <v>2041</v>
      </c>
      <c r="P1229">
        <v>3834</v>
      </c>
      <c r="Q1229" t="s">
        <v>4510</v>
      </c>
      <c r="R1229" t="s">
        <v>3864</v>
      </c>
      <c r="S1229" t="s">
        <v>3865</v>
      </c>
      <c r="T1229" t="s">
        <v>2277</v>
      </c>
      <c r="U1229" t="s">
        <v>3103</v>
      </c>
      <c r="V1229" t="s">
        <v>1824</v>
      </c>
      <c r="AD1229" t="s">
        <v>94</v>
      </c>
      <c r="AE1229" t="s">
        <v>120</v>
      </c>
    </row>
    <row r="1230" spans="1:33" x14ac:dyDescent="0.3">
      <c r="A1230">
        <v>3757</v>
      </c>
      <c r="B1230" t="s">
        <v>7040</v>
      </c>
      <c r="C1230" t="str">
        <f>"1100003355431"</f>
        <v>1100003355431</v>
      </c>
      <c r="D1230" t="str">
        <f>"A5W4QQV00"</f>
        <v>A5W4QQV00</v>
      </c>
      <c r="E1230" s="1">
        <v>35309</v>
      </c>
      <c r="F1230" t="s">
        <v>7041</v>
      </c>
      <c r="G1230" t="e">
        <f>INDEX(#REF!,MATCH(P1230,#REF!,0),1)</f>
        <v>#REF!</v>
      </c>
      <c r="H1230" t="s">
        <v>7042</v>
      </c>
      <c r="J1230" t="s">
        <v>4159</v>
      </c>
      <c r="K1230" t="s">
        <v>283</v>
      </c>
      <c r="L1230">
        <v>55435</v>
      </c>
      <c r="M1230" t="s">
        <v>7043</v>
      </c>
      <c r="N1230">
        <v>559</v>
      </c>
      <c r="O1230" t="s">
        <v>2041</v>
      </c>
      <c r="P1230">
        <v>3834</v>
      </c>
      <c r="Q1230" t="s">
        <v>4510</v>
      </c>
      <c r="R1230" t="s">
        <v>3864</v>
      </c>
      <c r="S1230" t="s">
        <v>3865</v>
      </c>
      <c r="T1230" t="s">
        <v>2277</v>
      </c>
      <c r="U1230" t="s">
        <v>2278</v>
      </c>
      <c r="V1230" t="s">
        <v>1824</v>
      </c>
      <c r="AD1230" t="s">
        <v>94</v>
      </c>
      <c r="AE1230" t="s">
        <v>120</v>
      </c>
    </row>
    <row r="1231" spans="1:33" x14ac:dyDescent="0.3">
      <c r="A1231">
        <v>3758</v>
      </c>
      <c r="B1231" t="s">
        <v>7044</v>
      </c>
      <c r="C1231" t="str">
        <f>"1100005916043"</f>
        <v>1100005916043</v>
      </c>
      <c r="D1231" t="str">
        <f>"1EWNHGV00"</f>
        <v>1EWNHGV00</v>
      </c>
      <c r="E1231" s="1">
        <v>35309</v>
      </c>
      <c r="F1231" t="s">
        <v>7045</v>
      </c>
      <c r="G1231" t="e">
        <f>INDEX(#REF!,MATCH(P1231,#REF!,0),1)</f>
        <v>#REF!</v>
      </c>
      <c r="H1231" t="s">
        <v>7046</v>
      </c>
      <c r="J1231" t="s">
        <v>4451</v>
      </c>
      <c r="K1231" t="s">
        <v>283</v>
      </c>
      <c r="L1231" t="s">
        <v>7047</v>
      </c>
      <c r="M1231" t="s">
        <v>7048</v>
      </c>
      <c r="N1231">
        <v>559</v>
      </c>
      <c r="O1231" t="s">
        <v>2041</v>
      </c>
      <c r="P1231">
        <v>3834</v>
      </c>
      <c r="Q1231" t="s">
        <v>4510</v>
      </c>
      <c r="R1231" t="s">
        <v>3864</v>
      </c>
      <c r="S1231" t="s">
        <v>3865</v>
      </c>
      <c r="T1231" t="s">
        <v>2277</v>
      </c>
      <c r="U1231" t="s">
        <v>2278</v>
      </c>
      <c r="V1231" t="s">
        <v>1824</v>
      </c>
      <c r="AD1231" t="s">
        <v>94</v>
      </c>
      <c r="AE1231" t="s">
        <v>120</v>
      </c>
    </row>
    <row r="1232" spans="1:33" x14ac:dyDescent="0.3">
      <c r="A1232">
        <v>3759</v>
      </c>
      <c r="B1232" t="s">
        <v>7049</v>
      </c>
      <c r="C1232" t="str">
        <f>"1100003410260"</f>
        <v>1100003410260</v>
      </c>
      <c r="D1232" t="str">
        <f>"J54Q21L00"</f>
        <v>J54Q21L00</v>
      </c>
      <c r="E1232" s="1">
        <v>35309</v>
      </c>
      <c r="F1232" t="s">
        <v>7050</v>
      </c>
      <c r="G1232" t="e">
        <f>INDEX(#REF!,MATCH(P1232,#REF!,0),1)</f>
        <v>#REF!</v>
      </c>
      <c r="H1232" t="s">
        <v>7051</v>
      </c>
      <c r="J1232" t="s">
        <v>1772</v>
      </c>
      <c r="K1232" t="s">
        <v>283</v>
      </c>
      <c r="L1232" t="s">
        <v>7052</v>
      </c>
      <c r="M1232" t="s">
        <v>7053</v>
      </c>
      <c r="N1232">
        <v>559</v>
      </c>
      <c r="O1232" t="s">
        <v>2041</v>
      </c>
      <c r="P1232">
        <v>3834</v>
      </c>
      <c r="Q1232" t="s">
        <v>4510</v>
      </c>
      <c r="R1232" t="s">
        <v>3864</v>
      </c>
      <c r="S1232" t="s">
        <v>3865</v>
      </c>
      <c r="T1232" t="s">
        <v>2277</v>
      </c>
      <c r="U1232" t="s">
        <v>5622</v>
      </c>
      <c r="V1232" t="s">
        <v>1824</v>
      </c>
      <c r="AD1232" t="s">
        <v>94</v>
      </c>
      <c r="AE1232" t="s">
        <v>120</v>
      </c>
    </row>
    <row r="1233" spans="1:33" x14ac:dyDescent="0.3">
      <c r="A1233">
        <v>3761</v>
      </c>
      <c r="B1233" t="s">
        <v>7054</v>
      </c>
      <c r="C1233" t="str">
        <f>"1100004184467"</f>
        <v>1100004184467</v>
      </c>
      <c r="D1233" t="str">
        <f>"34JRNCG00"</f>
        <v>34JRNCG00</v>
      </c>
      <c r="E1233" s="1">
        <v>35309</v>
      </c>
      <c r="F1233" t="s">
        <v>7055</v>
      </c>
      <c r="G1233" t="e">
        <f>INDEX(#REF!,MATCH(P1233,#REF!,0),1)</f>
        <v>#REF!</v>
      </c>
      <c r="H1233" t="s">
        <v>7056</v>
      </c>
      <c r="J1233" t="s">
        <v>3997</v>
      </c>
      <c r="K1233" t="s">
        <v>283</v>
      </c>
      <c r="L1233" t="s">
        <v>7057</v>
      </c>
      <c r="M1233" t="s">
        <v>7058</v>
      </c>
      <c r="N1233">
        <v>559</v>
      </c>
      <c r="O1233" t="s">
        <v>2041</v>
      </c>
      <c r="P1233">
        <v>3834</v>
      </c>
      <c r="Q1233" t="s">
        <v>4510</v>
      </c>
      <c r="R1233" t="s">
        <v>3864</v>
      </c>
      <c r="S1233" t="s">
        <v>3865</v>
      </c>
      <c r="T1233" t="s">
        <v>2277</v>
      </c>
      <c r="U1233" t="s">
        <v>2278</v>
      </c>
      <c r="V1233" t="s">
        <v>1824</v>
      </c>
      <c r="AD1233" t="s">
        <v>94</v>
      </c>
      <c r="AE1233" t="s">
        <v>120</v>
      </c>
    </row>
    <row r="1234" spans="1:33" x14ac:dyDescent="0.3">
      <c r="A1234">
        <v>3762</v>
      </c>
      <c r="B1234" t="s">
        <v>7059</v>
      </c>
      <c r="C1234" t="str">
        <f>""</f>
        <v/>
      </c>
      <c r="D1234" t="str">
        <f>"220050900"</f>
        <v>220050900</v>
      </c>
      <c r="E1234" s="1">
        <v>42583</v>
      </c>
      <c r="F1234" t="s">
        <v>7060</v>
      </c>
      <c r="G1234" t="e">
        <f>INDEX(#REF!,MATCH(P1234,#REF!,0),1)</f>
        <v>#REF!</v>
      </c>
      <c r="H1234" t="s">
        <v>407</v>
      </c>
      <c r="J1234" t="s">
        <v>408</v>
      </c>
      <c r="K1234" t="s">
        <v>251</v>
      </c>
      <c r="L1234" t="str">
        <f>"07109"</f>
        <v>07109</v>
      </c>
      <c r="M1234" t="s">
        <v>409</v>
      </c>
      <c r="N1234">
        <v>3209841</v>
      </c>
      <c r="O1234" t="s">
        <v>410</v>
      </c>
      <c r="P1234">
        <v>3209841</v>
      </c>
      <c r="Q1234" t="s">
        <v>410</v>
      </c>
      <c r="R1234" t="s">
        <v>411</v>
      </c>
      <c r="S1234" t="s">
        <v>412</v>
      </c>
      <c r="T1234" t="s">
        <v>44</v>
      </c>
      <c r="U1234" t="s">
        <v>45</v>
      </c>
      <c r="Y1234" t="s">
        <v>46</v>
      </c>
      <c r="Z1234" s="1">
        <v>45170</v>
      </c>
      <c r="AE1234" t="s">
        <v>47</v>
      </c>
      <c r="AG1234" t="s">
        <v>48</v>
      </c>
    </row>
    <row r="1235" spans="1:33" x14ac:dyDescent="0.3">
      <c r="A1235">
        <v>3765</v>
      </c>
      <c r="B1235" t="s">
        <v>7061</v>
      </c>
      <c r="C1235" t="str">
        <f>"1100003542824"</f>
        <v>1100003542824</v>
      </c>
      <c r="D1235" t="str">
        <f>"UKER2TE00"</f>
        <v>UKER2TE00</v>
      </c>
      <c r="E1235" s="1">
        <v>35309</v>
      </c>
      <c r="F1235" t="s">
        <v>7062</v>
      </c>
      <c r="G1235" t="e">
        <f>INDEX(#REF!,MATCH(P1235,#REF!,0),1)</f>
        <v>#REF!</v>
      </c>
      <c r="H1235" t="s">
        <v>7063</v>
      </c>
      <c r="J1235" t="s">
        <v>1630</v>
      </c>
      <c r="K1235" t="s">
        <v>283</v>
      </c>
      <c r="L1235" t="s">
        <v>7064</v>
      </c>
      <c r="M1235" t="s">
        <v>7065</v>
      </c>
      <c r="N1235">
        <v>559</v>
      </c>
      <c r="O1235" t="s">
        <v>2041</v>
      </c>
      <c r="P1235">
        <v>3834</v>
      </c>
      <c r="Q1235" t="s">
        <v>4510</v>
      </c>
      <c r="R1235" t="s">
        <v>3864</v>
      </c>
      <c r="S1235" t="s">
        <v>3865</v>
      </c>
      <c r="T1235" t="s">
        <v>2277</v>
      </c>
      <c r="U1235" t="s">
        <v>2278</v>
      </c>
      <c r="V1235" t="s">
        <v>1824</v>
      </c>
      <c r="AD1235" t="s">
        <v>94</v>
      </c>
      <c r="AE1235" t="s">
        <v>120</v>
      </c>
    </row>
    <row r="1236" spans="1:33" x14ac:dyDescent="0.3">
      <c r="A1236">
        <v>3766</v>
      </c>
      <c r="B1236" t="s">
        <v>7066</v>
      </c>
      <c r="C1236" t="str">
        <f>""</f>
        <v/>
      </c>
      <c r="D1236" t="str">
        <f>"E34F6PV00"</f>
        <v>E34F6PV00</v>
      </c>
      <c r="E1236" s="1">
        <v>39500</v>
      </c>
      <c r="F1236" t="s">
        <v>7067</v>
      </c>
      <c r="G1236" t="e">
        <f>INDEX(#REF!,MATCH(P1236,#REF!,0),1)</f>
        <v>#REF!</v>
      </c>
      <c r="H1236" t="s">
        <v>7068</v>
      </c>
      <c r="J1236" t="s">
        <v>1630</v>
      </c>
      <c r="K1236" t="s">
        <v>283</v>
      </c>
      <c r="L1236">
        <v>55033</v>
      </c>
      <c r="M1236" t="s">
        <v>7069</v>
      </c>
      <c r="N1236">
        <v>559</v>
      </c>
      <c r="O1236" t="s">
        <v>2041</v>
      </c>
      <c r="P1236">
        <v>3834</v>
      </c>
      <c r="Q1236" t="s">
        <v>4510</v>
      </c>
      <c r="R1236" t="s">
        <v>3864</v>
      </c>
      <c r="S1236" t="s">
        <v>3865</v>
      </c>
      <c r="T1236" t="s">
        <v>2277</v>
      </c>
      <c r="U1236" t="s">
        <v>2278</v>
      </c>
      <c r="V1236" t="s">
        <v>1824</v>
      </c>
      <c r="AD1236" t="s">
        <v>94</v>
      </c>
      <c r="AE1236" t="s">
        <v>120</v>
      </c>
    </row>
    <row r="1237" spans="1:33" x14ac:dyDescent="0.3">
      <c r="A1237">
        <v>3773</v>
      </c>
      <c r="B1237" t="s">
        <v>7070</v>
      </c>
      <c r="C1237" t="str">
        <f>""</f>
        <v/>
      </c>
      <c r="D1237" t="str">
        <f>"4K6D1HP00"</f>
        <v>4K6D1HP00</v>
      </c>
      <c r="E1237" s="1">
        <v>35309</v>
      </c>
      <c r="F1237" t="s">
        <v>7071</v>
      </c>
      <c r="G1237" t="e">
        <f>INDEX(#REF!,MATCH(P1237,#REF!,0),1)</f>
        <v>#REF!</v>
      </c>
      <c r="H1237" t="s">
        <v>7072</v>
      </c>
      <c r="J1237" t="s">
        <v>7073</v>
      </c>
      <c r="K1237" t="s">
        <v>283</v>
      </c>
      <c r="L1237" t="s">
        <v>7074</v>
      </c>
      <c r="M1237" t="s">
        <v>7075</v>
      </c>
      <c r="N1237">
        <v>559</v>
      </c>
      <c r="O1237" t="s">
        <v>2041</v>
      </c>
      <c r="P1237">
        <v>3834</v>
      </c>
      <c r="Q1237" t="s">
        <v>4510</v>
      </c>
      <c r="R1237" t="s">
        <v>3864</v>
      </c>
      <c r="S1237" t="s">
        <v>3865</v>
      </c>
      <c r="T1237" t="s">
        <v>2277</v>
      </c>
      <c r="U1237" t="s">
        <v>2278</v>
      </c>
      <c r="V1237" t="s">
        <v>1824</v>
      </c>
      <c r="AD1237" t="s">
        <v>94</v>
      </c>
      <c r="AE1237" t="s">
        <v>120</v>
      </c>
    </row>
    <row r="1238" spans="1:33" x14ac:dyDescent="0.3">
      <c r="A1238">
        <v>3777</v>
      </c>
      <c r="B1238" t="s">
        <v>7076</v>
      </c>
      <c r="C1238" t="str">
        <f>"1100002683689"</f>
        <v>1100002683689</v>
      </c>
      <c r="D1238" t="str">
        <f>"KKNXP8L00"</f>
        <v>KKNXP8L00</v>
      </c>
      <c r="E1238" s="1">
        <v>35309</v>
      </c>
      <c r="F1238" t="s">
        <v>7077</v>
      </c>
      <c r="G1238" t="e">
        <f>INDEX(#REF!,MATCH(P1238,#REF!,0),1)</f>
        <v>#REF!</v>
      </c>
      <c r="H1238" t="s">
        <v>7078</v>
      </c>
      <c r="J1238" t="s">
        <v>282</v>
      </c>
      <c r="K1238" t="s">
        <v>283</v>
      </c>
      <c r="L1238" t="s">
        <v>7079</v>
      </c>
      <c r="M1238" t="s">
        <v>7080</v>
      </c>
      <c r="N1238">
        <v>559</v>
      </c>
      <c r="O1238" t="s">
        <v>2041</v>
      </c>
      <c r="P1238">
        <v>3834</v>
      </c>
      <c r="Q1238" t="s">
        <v>4510</v>
      </c>
      <c r="R1238" t="s">
        <v>3864</v>
      </c>
      <c r="S1238" t="s">
        <v>3865</v>
      </c>
      <c r="T1238" t="s">
        <v>2277</v>
      </c>
      <c r="U1238" t="s">
        <v>5622</v>
      </c>
      <c r="V1238" t="s">
        <v>1824</v>
      </c>
      <c r="AD1238" t="s">
        <v>94</v>
      </c>
      <c r="AE1238" t="s">
        <v>120</v>
      </c>
    </row>
    <row r="1239" spans="1:33" x14ac:dyDescent="0.3">
      <c r="A1239">
        <v>3779</v>
      </c>
      <c r="B1239" t="s">
        <v>7081</v>
      </c>
      <c r="C1239" t="str">
        <f>"1100003080289"</f>
        <v>1100003080289</v>
      </c>
      <c r="D1239" t="str">
        <f>"7ETJ2YX00"</f>
        <v>7ETJ2YX00</v>
      </c>
      <c r="E1239" s="1">
        <v>35309</v>
      </c>
      <c r="F1239" t="s">
        <v>7082</v>
      </c>
      <c r="G1239" t="e">
        <f>INDEX(#REF!,MATCH(P1239,#REF!,0),1)</f>
        <v>#REF!</v>
      </c>
      <c r="H1239" t="s">
        <v>7083</v>
      </c>
      <c r="J1239" t="s">
        <v>282</v>
      </c>
      <c r="K1239" t="s">
        <v>283</v>
      </c>
      <c r="L1239" t="s">
        <v>7084</v>
      </c>
      <c r="M1239" t="s">
        <v>7085</v>
      </c>
      <c r="N1239">
        <v>559</v>
      </c>
      <c r="O1239" t="s">
        <v>2041</v>
      </c>
      <c r="P1239">
        <v>3834</v>
      </c>
      <c r="Q1239" t="s">
        <v>4510</v>
      </c>
      <c r="R1239" t="s">
        <v>3864</v>
      </c>
      <c r="S1239" t="s">
        <v>3865</v>
      </c>
      <c r="T1239" t="s">
        <v>2277</v>
      </c>
      <c r="U1239" t="s">
        <v>4419</v>
      </c>
      <c r="V1239" t="s">
        <v>1824</v>
      </c>
      <c r="AD1239" t="s">
        <v>94</v>
      </c>
      <c r="AE1239" t="s">
        <v>120</v>
      </c>
    </row>
    <row r="1240" spans="1:33" x14ac:dyDescent="0.3">
      <c r="A1240">
        <v>3786</v>
      </c>
      <c r="B1240" t="s">
        <v>7086</v>
      </c>
      <c r="C1240" t="str">
        <f>"1100003738845"</f>
        <v>1100003738845</v>
      </c>
      <c r="D1240" t="str">
        <f>"JFODB6G00"</f>
        <v>JFODB6G00</v>
      </c>
      <c r="E1240" s="1">
        <v>39055</v>
      </c>
      <c r="F1240" t="s">
        <v>7087</v>
      </c>
      <c r="G1240" t="e">
        <f>INDEX(#REF!,MATCH(P1240,#REF!,0),1)</f>
        <v>#REF!</v>
      </c>
      <c r="H1240" t="s">
        <v>7088</v>
      </c>
      <c r="J1240" t="s">
        <v>7089</v>
      </c>
      <c r="K1240" t="s">
        <v>283</v>
      </c>
      <c r="L1240">
        <v>56003</v>
      </c>
      <c r="M1240" t="s">
        <v>7090</v>
      </c>
      <c r="N1240">
        <v>75245</v>
      </c>
      <c r="O1240" t="s">
        <v>1020</v>
      </c>
      <c r="P1240">
        <v>293</v>
      </c>
      <c r="Q1240" t="s">
        <v>1126</v>
      </c>
      <c r="R1240" t="s">
        <v>1821</v>
      </c>
      <c r="S1240" t="s">
        <v>1822</v>
      </c>
      <c r="T1240" t="s">
        <v>2277</v>
      </c>
      <c r="U1240" t="s">
        <v>5622</v>
      </c>
      <c r="V1240" t="s">
        <v>1824</v>
      </c>
      <c r="AA1240" t="s">
        <v>119</v>
      </c>
      <c r="AE1240" t="s">
        <v>120</v>
      </c>
      <c r="AG1240" t="s">
        <v>48</v>
      </c>
    </row>
    <row r="1241" spans="1:33" x14ac:dyDescent="0.3">
      <c r="A1241">
        <v>3787</v>
      </c>
      <c r="B1241" t="s">
        <v>7091</v>
      </c>
      <c r="C1241" t="str">
        <f>"1100002824785"</f>
        <v>1100002824785</v>
      </c>
      <c r="D1241" t="str">
        <f>"BRV9RIF00"</f>
        <v>BRV9RIF00</v>
      </c>
      <c r="E1241" s="1">
        <v>35309</v>
      </c>
      <c r="F1241" t="s">
        <v>7092</v>
      </c>
      <c r="G1241" t="e">
        <f>INDEX(#REF!,MATCH(P1241,#REF!,0),1)</f>
        <v>#REF!</v>
      </c>
      <c r="H1241" t="s">
        <v>7093</v>
      </c>
      <c r="J1241" t="s">
        <v>7094</v>
      </c>
      <c r="K1241" t="s">
        <v>283</v>
      </c>
      <c r="L1241" t="s">
        <v>7095</v>
      </c>
      <c r="M1241" t="s">
        <v>7096</v>
      </c>
      <c r="N1241">
        <v>559</v>
      </c>
      <c r="O1241" t="s">
        <v>2041</v>
      </c>
      <c r="P1241">
        <v>3834</v>
      </c>
      <c r="Q1241" t="s">
        <v>4510</v>
      </c>
      <c r="R1241" t="s">
        <v>3864</v>
      </c>
      <c r="S1241" t="s">
        <v>3865</v>
      </c>
      <c r="T1241" t="s">
        <v>2277</v>
      </c>
      <c r="U1241" t="s">
        <v>2278</v>
      </c>
      <c r="V1241" t="s">
        <v>1824</v>
      </c>
      <c r="AD1241" t="s">
        <v>94</v>
      </c>
      <c r="AE1241" t="s">
        <v>120</v>
      </c>
    </row>
    <row r="1242" spans="1:33" x14ac:dyDescent="0.3">
      <c r="A1242">
        <v>3791</v>
      </c>
      <c r="B1242" t="s">
        <v>7097</v>
      </c>
      <c r="C1242" t="str">
        <f>"1100005580572"</f>
        <v>1100005580572</v>
      </c>
      <c r="D1242" t="str">
        <f>"9RBK1PL00"</f>
        <v>9RBK1PL00</v>
      </c>
      <c r="E1242" s="1">
        <v>35309</v>
      </c>
      <c r="F1242" t="s">
        <v>7098</v>
      </c>
      <c r="G1242" t="e">
        <f>INDEX(#REF!,MATCH(P1242,#REF!,0),1)</f>
        <v>#REF!</v>
      </c>
      <c r="H1242" t="s">
        <v>7099</v>
      </c>
      <c r="J1242" t="s">
        <v>6119</v>
      </c>
      <c r="K1242" t="s">
        <v>283</v>
      </c>
      <c r="L1242" t="s">
        <v>7100</v>
      </c>
      <c r="M1242" t="s">
        <v>7101</v>
      </c>
      <c r="N1242">
        <v>559</v>
      </c>
      <c r="O1242" t="s">
        <v>2041</v>
      </c>
      <c r="P1242">
        <v>3834</v>
      </c>
      <c r="Q1242" t="s">
        <v>4510</v>
      </c>
      <c r="R1242" t="s">
        <v>3864</v>
      </c>
      <c r="S1242" t="s">
        <v>3865</v>
      </c>
      <c r="T1242" t="s">
        <v>2277</v>
      </c>
      <c r="U1242" t="s">
        <v>2278</v>
      </c>
      <c r="V1242" t="s">
        <v>1824</v>
      </c>
      <c r="AD1242" t="s">
        <v>94</v>
      </c>
      <c r="AE1242" t="s">
        <v>120</v>
      </c>
    </row>
    <row r="1243" spans="1:33" x14ac:dyDescent="0.3">
      <c r="A1243">
        <v>3792</v>
      </c>
      <c r="B1243" t="s">
        <v>7102</v>
      </c>
      <c r="C1243" t="str">
        <f>"1100003725432"</f>
        <v>1100003725432</v>
      </c>
      <c r="D1243" t="str">
        <f>"K1T6C5100"</f>
        <v>K1T6C5100</v>
      </c>
      <c r="E1243" s="1">
        <v>35309</v>
      </c>
      <c r="F1243" t="s">
        <v>7103</v>
      </c>
      <c r="G1243" t="e">
        <f>INDEX(#REF!,MATCH(P1243,#REF!,0),1)</f>
        <v>#REF!</v>
      </c>
      <c r="H1243" t="s">
        <v>7104</v>
      </c>
      <c r="J1243" t="s">
        <v>7105</v>
      </c>
      <c r="K1243" t="s">
        <v>283</v>
      </c>
      <c r="L1243" t="s">
        <v>7106</v>
      </c>
      <c r="M1243" t="s">
        <v>7107</v>
      </c>
      <c r="N1243">
        <v>559</v>
      </c>
      <c r="O1243" t="s">
        <v>2041</v>
      </c>
      <c r="P1243">
        <v>3834</v>
      </c>
      <c r="Q1243" t="s">
        <v>4510</v>
      </c>
      <c r="R1243" t="s">
        <v>3864</v>
      </c>
      <c r="S1243" t="s">
        <v>3865</v>
      </c>
      <c r="T1243" t="s">
        <v>2277</v>
      </c>
      <c r="U1243" t="s">
        <v>2278</v>
      </c>
      <c r="V1243" t="s">
        <v>1824</v>
      </c>
      <c r="AD1243" t="s">
        <v>94</v>
      </c>
      <c r="AE1243" t="s">
        <v>120</v>
      </c>
    </row>
    <row r="1244" spans="1:33" x14ac:dyDescent="0.3">
      <c r="A1244">
        <v>3799</v>
      </c>
      <c r="B1244" t="s">
        <v>7108</v>
      </c>
      <c r="C1244" t="str">
        <f>"1100003283802"</f>
        <v>1100003283802</v>
      </c>
      <c r="D1244" t="str">
        <f>"73D2E3600"</f>
        <v>73D2E3600</v>
      </c>
      <c r="E1244" s="1">
        <v>35309</v>
      </c>
      <c r="F1244" t="s">
        <v>7109</v>
      </c>
      <c r="G1244" t="e">
        <f>INDEX(#REF!,MATCH(P1244,#REF!,0),1)</f>
        <v>#REF!</v>
      </c>
      <c r="H1244" t="s">
        <v>7110</v>
      </c>
      <c r="J1244" t="s">
        <v>3956</v>
      </c>
      <c r="K1244" t="s">
        <v>283</v>
      </c>
      <c r="L1244" t="s">
        <v>7111</v>
      </c>
      <c r="M1244" t="s">
        <v>7112</v>
      </c>
      <c r="N1244">
        <v>559</v>
      </c>
      <c r="O1244" t="s">
        <v>2041</v>
      </c>
      <c r="P1244">
        <v>3834</v>
      </c>
      <c r="Q1244" t="s">
        <v>4510</v>
      </c>
      <c r="R1244" t="s">
        <v>3864</v>
      </c>
      <c r="S1244" t="s">
        <v>3865</v>
      </c>
      <c r="T1244" t="s">
        <v>2277</v>
      </c>
      <c r="U1244" t="s">
        <v>3103</v>
      </c>
      <c r="V1244" t="s">
        <v>1824</v>
      </c>
      <c r="AD1244" t="s">
        <v>94</v>
      </c>
      <c r="AE1244" t="s">
        <v>120</v>
      </c>
    </row>
    <row r="1245" spans="1:33" x14ac:dyDescent="0.3">
      <c r="A1245">
        <v>3801</v>
      </c>
      <c r="B1245" t="s">
        <v>7113</v>
      </c>
      <c r="C1245" t="str">
        <f>"1100002874162"</f>
        <v>1100002874162</v>
      </c>
      <c r="D1245" t="str">
        <f>"JBB5C7T00"</f>
        <v>JBB5C7T00</v>
      </c>
      <c r="E1245" s="1">
        <v>38565</v>
      </c>
      <c r="F1245" t="s">
        <v>7114</v>
      </c>
      <c r="G1245" t="e">
        <f>INDEX(#REF!,MATCH(P1245,#REF!,0),1)</f>
        <v>#REF!</v>
      </c>
      <c r="H1245" t="s">
        <v>7115</v>
      </c>
      <c r="J1245" t="s">
        <v>3956</v>
      </c>
      <c r="K1245" t="s">
        <v>283</v>
      </c>
      <c r="L1245" t="s">
        <v>7116</v>
      </c>
      <c r="M1245" t="s">
        <v>7117</v>
      </c>
      <c r="N1245">
        <v>559</v>
      </c>
      <c r="O1245" t="s">
        <v>2041</v>
      </c>
      <c r="P1245">
        <v>3834</v>
      </c>
      <c r="Q1245" t="s">
        <v>4510</v>
      </c>
      <c r="R1245" t="s">
        <v>3864</v>
      </c>
      <c r="S1245" t="s">
        <v>3865</v>
      </c>
      <c r="T1245" t="s">
        <v>2277</v>
      </c>
      <c r="U1245" t="s">
        <v>4419</v>
      </c>
      <c r="V1245" t="s">
        <v>1824</v>
      </c>
      <c r="AD1245" t="s">
        <v>94</v>
      </c>
      <c r="AE1245" t="s">
        <v>120</v>
      </c>
    </row>
    <row r="1246" spans="1:33" x14ac:dyDescent="0.3">
      <c r="A1246">
        <v>3803</v>
      </c>
      <c r="B1246" t="s">
        <v>7118</v>
      </c>
      <c r="C1246" t="str">
        <f>"1100004833716"</f>
        <v>1100004833716</v>
      </c>
      <c r="D1246" t="str">
        <f>"NZYZHDD00"</f>
        <v>NZYZHDD00</v>
      </c>
      <c r="E1246" s="1">
        <v>35309</v>
      </c>
      <c r="F1246" t="s">
        <v>7119</v>
      </c>
      <c r="G1246" t="e">
        <f>INDEX(#REF!,MATCH(P1246,#REF!,0),1)</f>
        <v>#REF!</v>
      </c>
      <c r="H1246" t="s">
        <v>7120</v>
      </c>
      <c r="J1246" t="s">
        <v>7121</v>
      </c>
      <c r="K1246" t="s">
        <v>283</v>
      </c>
      <c r="L1246">
        <v>56082</v>
      </c>
      <c r="M1246" t="s">
        <v>7122</v>
      </c>
      <c r="N1246">
        <v>75245</v>
      </c>
      <c r="O1246" t="s">
        <v>1020</v>
      </c>
      <c r="P1246">
        <v>75245</v>
      </c>
      <c r="Q1246" t="s">
        <v>1020</v>
      </c>
      <c r="R1246" t="s">
        <v>1821</v>
      </c>
      <c r="S1246" t="s">
        <v>1822</v>
      </c>
      <c r="T1246" t="s">
        <v>2277</v>
      </c>
      <c r="U1246" t="s">
        <v>5622</v>
      </c>
      <c r="V1246" t="s">
        <v>1824</v>
      </c>
      <c r="AA1246" t="s">
        <v>119</v>
      </c>
      <c r="AE1246" t="s">
        <v>120</v>
      </c>
      <c r="AG1246" t="s">
        <v>48</v>
      </c>
    </row>
    <row r="1247" spans="1:33" x14ac:dyDescent="0.3">
      <c r="A1247">
        <v>3805</v>
      </c>
      <c r="B1247" t="s">
        <v>7123</v>
      </c>
      <c r="C1247" t="str">
        <f>"1100003954511"</f>
        <v>1100003954511</v>
      </c>
      <c r="D1247" t="str">
        <f>"ABBR1PD00"</f>
        <v>ABBR1PD00</v>
      </c>
      <c r="E1247" s="1">
        <v>35309</v>
      </c>
      <c r="F1247" t="s">
        <v>7124</v>
      </c>
      <c r="G1247" t="e">
        <f>INDEX(#REF!,MATCH(P1247,#REF!,0),1)</f>
        <v>#REF!</v>
      </c>
      <c r="H1247" t="s">
        <v>7125</v>
      </c>
      <c r="I1247" t="s">
        <v>7126</v>
      </c>
      <c r="J1247" t="s">
        <v>7127</v>
      </c>
      <c r="K1247" t="s">
        <v>283</v>
      </c>
      <c r="L1247" t="s">
        <v>7128</v>
      </c>
      <c r="M1247" t="s">
        <v>7129</v>
      </c>
      <c r="N1247">
        <v>559</v>
      </c>
      <c r="O1247" t="s">
        <v>2041</v>
      </c>
      <c r="P1247">
        <v>3834</v>
      </c>
      <c r="Q1247" t="s">
        <v>4510</v>
      </c>
      <c r="R1247" t="s">
        <v>3864</v>
      </c>
      <c r="S1247" t="s">
        <v>3865</v>
      </c>
      <c r="T1247" t="s">
        <v>2277</v>
      </c>
      <c r="U1247" t="s">
        <v>2278</v>
      </c>
      <c r="V1247" t="s">
        <v>1824</v>
      </c>
      <c r="AD1247" t="s">
        <v>94</v>
      </c>
      <c r="AE1247" t="s">
        <v>120</v>
      </c>
    </row>
    <row r="1248" spans="1:33" x14ac:dyDescent="0.3">
      <c r="A1248">
        <v>3829</v>
      </c>
      <c r="B1248" t="s">
        <v>7130</v>
      </c>
      <c r="C1248" t="str">
        <f>"1100004921826"</f>
        <v>1100004921826</v>
      </c>
      <c r="D1248" t="str">
        <f>"320400900"</f>
        <v>320400900</v>
      </c>
      <c r="E1248" s="1">
        <v>42795</v>
      </c>
      <c r="F1248" t="s">
        <v>7131</v>
      </c>
      <c r="G1248" t="e">
        <f>INDEX(#REF!,MATCH(P1248,#REF!,0),1)</f>
        <v>#REF!</v>
      </c>
      <c r="H1248" t="s">
        <v>7132</v>
      </c>
      <c r="J1248" t="s">
        <v>1328</v>
      </c>
      <c r="K1248" t="s">
        <v>982</v>
      </c>
      <c r="L1248">
        <v>21613</v>
      </c>
      <c r="M1248" t="s">
        <v>7133</v>
      </c>
      <c r="N1248">
        <v>767189</v>
      </c>
      <c r="O1248" t="s">
        <v>985</v>
      </c>
      <c r="P1248">
        <v>767189</v>
      </c>
      <c r="Q1248" t="s">
        <v>985</v>
      </c>
      <c r="R1248" t="s">
        <v>986</v>
      </c>
      <c r="S1248" t="s">
        <v>987</v>
      </c>
      <c r="T1248" t="s">
        <v>44</v>
      </c>
      <c r="U1248" t="s">
        <v>45</v>
      </c>
      <c r="Y1248" t="s">
        <v>46</v>
      </c>
      <c r="Z1248" s="1">
        <v>44805</v>
      </c>
      <c r="AA1248" t="s">
        <v>219</v>
      </c>
      <c r="AB1248" t="s">
        <v>93</v>
      </c>
      <c r="AE1248" t="s">
        <v>220</v>
      </c>
      <c r="AG1248" t="s">
        <v>48</v>
      </c>
    </row>
    <row r="1249" spans="1:33" x14ac:dyDescent="0.3">
      <c r="A1249">
        <v>3830</v>
      </c>
      <c r="B1249" t="s">
        <v>7134</v>
      </c>
      <c r="C1249" t="str">
        <f>""</f>
        <v/>
      </c>
      <c r="D1249" t="str">
        <f>"PGWA45K00"</f>
        <v>PGWA45K00</v>
      </c>
      <c r="E1249" s="1">
        <v>35309</v>
      </c>
      <c r="F1249" t="s">
        <v>7135</v>
      </c>
      <c r="G1249" t="e">
        <f>INDEX(#REF!,MATCH(P1249,#REF!,0),1)</f>
        <v>#REF!</v>
      </c>
      <c r="H1249" t="s">
        <v>7136</v>
      </c>
      <c r="J1249" t="s">
        <v>1811</v>
      </c>
      <c r="K1249" t="s">
        <v>167</v>
      </c>
      <c r="L1249" t="s">
        <v>7137</v>
      </c>
      <c r="M1249" t="s">
        <v>7138</v>
      </c>
      <c r="N1249">
        <v>770471</v>
      </c>
      <c r="O1249" t="s">
        <v>40</v>
      </c>
      <c r="P1249">
        <v>1146</v>
      </c>
      <c r="Q1249" t="s">
        <v>1814</v>
      </c>
      <c r="R1249" t="s">
        <v>42</v>
      </c>
      <c r="S1249" t="s">
        <v>43</v>
      </c>
      <c r="T1249" t="s">
        <v>44</v>
      </c>
      <c r="U1249" t="s">
        <v>45</v>
      </c>
      <c r="Y1249" t="s">
        <v>46</v>
      </c>
      <c r="Z1249" s="1">
        <v>43466</v>
      </c>
      <c r="AE1249" t="s">
        <v>47</v>
      </c>
      <c r="AG1249" t="s">
        <v>48</v>
      </c>
    </row>
    <row r="1250" spans="1:33" x14ac:dyDescent="0.3">
      <c r="A1250">
        <v>3831</v>
      </c>
      <c r="B1250" t="s">
        <v>7139</v>
      </c>
      <c r="C1250" t="str">
        <f>""</f>
        <v/>
      </c>
      <c r="D1250" t="str">
        <f>"745580T00"</f>
        <v>745580T00</v>
      </c>
      <c r="E1250" s="1">
        <v>35309</v>
      </c>
      <c r="F1250" t="s">
        <v>7140</v>
      </c>
      <c r="G1250" t="e">
        <f>INDEX(#REF!,MATCH(P1250,#REF!,0),1)</f>
        <v>#REF!</v>
      </c>
      <c r="H1250" t="s">
        <v>7141</v>
      </c>
      <c r="J1250" t="s">
        <v>7142</v>
      </c>
      <c r="K1250" t="s">
        <v>676</v>
      </c>
      <c r="L1250" t="s">
        <v>7143</v>
      </c>
      <c r="M1250" t="s">
        <v>7144</v>
      </c>
      <c r="N1250">
        <v>3831</v>
      </c>
      <c r="O1250" t="s">
        <v>7140</v>
      </c>
      <c r="P1250">
        <v>3831</v>
      </c>
      <c r="Q1250" t="s">
        <v>7140</v>
      </c>
      <c r="R1250" t="s">
        <v>356</v>
      </c>
      <c r="S1250" t="s">
        <v>357</v>
      </c>
      <c r="T1250" t="s">
        <v>44</v>
      </c>
      <c r="U1250" t="s">
        <v>45</v>
      </c>
    </row>
    <row r="1251" spans="1:33" x14ac:dyDescent="0.3">
      <c r="A1251">
        <v>3834</v>
      </c>
      <c r="B1251" t="s">
        <v>7145</v>
      </c>
      <c r="C1251" t="str">
        <f>""</f>
        <v/>
      </c>
      <c r="D1251" t="str">
        <f>"957VTPY00"</f>
        <v>957VTPY00</v>
      </c>
      <c r="E1251" s="1">
        <v>35309</v>
      </c>
      <c r="F1251" t="s">
        <v>4510</v>
      </c>
      <c r="G1251" t="e">
        <f>INDEX(#REF!,MATCH(P1251,#REF!,0),1)</f>
        <v>#REF!</v>
      </c>
      <c r="H1251" t="s">
        <v>7125</v>
      </c>
      <c r="J1251" t="s">
        <v>7127</v>
      </c>
      <c r="K1251" t="s">
        <v>283</v>
      </c>
      <c r="L1251" t="s">
        <v>7128</v>
      </c>
      <c r="M1251" t="s">
        <v>7129</v>
      </c>
      <c r="N1251">
        <v>559</v>
      </c>
      <c r="O1251" t="s">
        <v>2041</v>
      </c>
      <c r="P1251">
        <v>559</v>
      </c>
      <c r="Q1251" t="s">
        <v>2041</v>
      </c>
      <c r="R1251" t="s">
        <v>3864</v>
      </c>
      <c r="S1251" t="s">
        <v>3865</v>
      </c>
      <c r="T1251" t="s">
        <v>117</v>
      </c>
      <c r="U1251" t="s">
        <v>3374</v>
      </c>
      <c r="V1251" t="s">
        <v>1824</v>
      </c>
      <c r="AD1251" t="s">
        <v>94</v>
      </c>
      <c r="AE1251" t="s">
        <v>120</v>
      </c>
    </row>
    <row r="1252" spans="1:33" x14ac:dyDescent="0.3">
      <c r="A1252">
        <v>3836</v>
      </c>
      <c r="B1252" t="s">
        <v>7146</v>
      </c>
      <c r="C1252" t="str">
        <f>""</f>
        <v/>
      </c>
      <c r="D1252" t="str">
        <f>"83683G800"</f>
        <v>83683G800</v>
      </c>
      <c r="E1252" s="1">
        <v>40817</v>
      </c>
      <c r="F1252" t="s">
        <v>7147</v>
      </c>
      <c r="G1252" t="e">
        <f>INDEX(#REF!,MATCH(P1252,#REF!,0),1)</f>
        <v>#REF!</v>
      </c>
      <c r="H1252" t="s">
        <v>7148</v>
      </c>
      <c r="I1252" t="s">
        <v>7149</v>
      </c>
      <c r="J1252" t="s">
        <v>1217</v>
      </c>
      <c r="K1252" t="s">
        <v>342</v>
      </c>
      <c r="L1252" t="s">
        <v>7150</v>
      </c>
      <c r="M1252" t="s">
        <v>7151</v>
      </c>
      <c r="N1252">
        <v>2449830</v>
      </c>
      <c r="O1252" t="s">
        <v>1220</v>
      </c>
      <c r="P1252">
        <v>105628</v>
      </c>
      <c r="Q1252" t="s">
        <v>7152</v>
      </c>
      <c r="R1252" t="s">
        <v>2550</v>
      </c>
      <c r="S1252" t="s">
        <v>2551</v>
      </c>
      <c r="T1252" t="s">
        <v>2277</v>
      </c>
      <c r="U1252" t="s">
        <v>2278</v>
      </c>
      <c r="V1252" t="s">
        <v>1824</v>
      </c>
      <c r="AD1252" t="s">
        <v>94</v>
      </c>
      <c r="AG1252" t="s">
        <v>48</v>
      </c>
    </row>
    <row r="1253" spans="1:33" x14ac:dyDescent="0.3">
      <c r="A1253">
        <v>3837</v>
      </c>
      <c r="B1253" t="s">
        <v>7153</v>
      </c>
      <c r="C1253" t="str">
        <f>""</f>
        <v/>
      </c>
      <c r="D1253" t="str">
        <f>"HAA4VLL00"</f>
        <v>HAA4VLL00</v>
      </c>
      <c r="E1253" s="1">
        <v>40817</v>
      </c>
      <c r="F1253" t="s">
        <v>7154</v>
      </c>
      <c r="G1253" t="e">
        <f>INDEX(#REF!,MATCH(P1253,#REF!,0),1)</f>
        <v>#REF!</v>
      </c>
      <c r="H1253" t="s">
        <v>7155</v>
      </c>
      <c r="J1253" t="s">
        <v>7156</v>
      </c>
      <c r="K1253" t="s">
        <v>342</v>
      </c>
      <c r="L1253">
        <v>60015</v>
      </c>
      <c r="M1253" t="s">
        <v>7157</v>
      </c>
      <c r="N1253">
        <v>2449830</v>
      </c>
      <c r="O1253" t="s">
        <v>1220</v>
      </c>
      <c r="P1253">
        <v>3836</v>
      </c>
      <c r="Q1253" t="s">
        <v>7147</v>
      </c>
      <c r="R1253" t="s">
        <v>2550</v>
      </c>
      <c r="S1253" t="s">
        <v>2551</v>
      </c>
      <c r="T1253" t="s">
        <v>2277</v>
      </c>
      <c r="U1253" t="s">
        <v>2278</v>
      </c>
      <c r="V1253" t="s">
        <v>1824</v>
      </c>
      <c r="AD1253" t="s">
        <v>94</v>
      </c>
      <c r="AG1253" t="s">
        <v>48</v>
      </c>
    </row>
    <row r="1254" spans="1:33" x14ac:dyDescent="0.3">
      <c r="A1254">
        <v>3838</v>
      </c>
      <c r="B1254" t="s">
        <v>7158</v>
      </c>
      <c r="C1254" t="str">
        <f>""</f>
        <v/>
      </c>
      <c r="D1254" t="str">
        <f>"L3CW0KG00"</f>
        <v>L3CW0KG00</v>
      </c>
      <c r="E1254" s="1">
        <v>40817</v>
      </c>
      <c r="F1254" t="s">
        <v>7154</v>
      </c>
      <c r="G1254" t="e">
        <f>INDEX(#REF!,MATCH(P1254,#REF!,0),1)</f>
        <v>#REF!</v>
      </c>
      <c r="H1254" t="s">
        <v>7159</v>
      </c>
      <c r="J1254" t="s">
        <v>7160</v>
      </c>
      <c r="K1254" t="s">
        <v>342</v>
      </c>
      <c r="L1254" t="s">
        <v>7161</v>
      </c>
      <c r="M1254" t="s">
        <v>7162</v>
      </c>
      <c r="N1254">
        <v>2449830</v>
      </c>
      <c r="O1254" t="s">
        <v>1220</v>
      </c>
      <c r="P1254">
        <v>324</v>
      </c>
      <c r="Q1254" t="s">
        <v>1215</v>
      </c>
      <c r="R1254" t="s">
        <v>2550</v>
      </c>
      <c r="S1254" t="s">
        <v>2551</v>
      </c>
      <c r="T1254" t="s">
        <v>2277</v>
      </c>
      <c r="U1254" t="s">
        <v>2278</v>
      </c>
      <c r="V1254" t="s">
        <v>1824</v>
      </c>
      <c r="AD1254" t="s">
        <v>94</v>
      </c>
      <c r="AG1254" t="s">
        <v>48</v>
      </c>
    </row>
    <row r="1255" spans="1:33" x14ac:dyDescent="0.3">
      <c r="A1255">
        <v>3841</v>
      </c>
      <c r="B1255" t="s">
        <v>7163</v>
      </c>
      <c r="C1255" t="str">
        <f>""</f>
        <v/>
      </c>
      <c r="D1255" t="str">
        <f>"DKW862900"</f>
        <v>DKW862900</v>
      </c>
      <c r="E1255" s="1">
        <v>35309</v>
      </c>
      <c r="F1255" t="s">
        <v>7164</v>
      </c>
      <c r="G1255" t="e">
        <f>INDEX(#REF!,MATCH(P1255,#REF!,0),1)</f>
        <v>#REF!</v>
      </c>
      <c r="H1255" t="s">
        <v>7165</v>
      </c>
      <c r="J1255" t="s">
        <v>622</v>
      </c>
      <c r="K1255" t="s">
        <v>77</v>
      </c>
      <c r="L1255" t="s">
        <v>7166</v>
      </c>
      <c r="M1255" t="s">
        <v>7167</v>
      </c>
      <c r="N1255">
        <v>1131</v>
      </c>
      <c r="O1255" t="s">
        <v>625</v>
      </c>
      <c r="P1255">
        <v>100991</v>
      </c>
      <c r="Q1255" t="s">
        <v>7168</v>
      </c>
      <c r="R1255" t="s">
        <v>2275</v>
      </c>
      <c r="S1255" t="s">
        <v>2276</v>
      </c>
      <c r="T1255" t="s">
        <v>117</v>
      </c>
      <c r="U1255" t="s">
        <v>2479</v>
      </c>
      <c r="V1255" t="s">
        <v>1824</v>
      </c>
      <c r="AC1255" t="s">
        <v>590</v>
      </c>
      <c r="AD1255" t="s">
        <v>94</v>
      </c>
      <c r="AE1255" t="s">
        <v>591</v>
      </c>
    </row>
    <row r="1256" spans="1:33" x14ac:dyDescent="0.3">
      <c r="A1256">
        <v>3843</v>
      </c>
      <c r="B1256" t="s">
        <v>7169</v>
      </c>
      <c r="C1256" t="str">
        <f>""</f>
        <v/>
      </c>
      <c r="D1256" t="str">
        <f>"LG99PQY00"</f>
        <v>LG99PQY00</v>
      </c>
      <c r="E1256" s="1">
        <v>35309</v>
      </c>
      <c r="F1256" t="s">
        <v>7170</v>
      </c>
      <c r="G1256" t="e">
        <f>INDEX(#REF!,MATCH(P1256,#REF!,0),1)</f>
        <v>#REF!</v>
      </c>
      <c r="H1256" t="s">
        <v>7171</v>
      </c>
      <c r="J1256" t="s">
        <v>696</v>
      </c>
      <c r="K1256" t="s">
        <v>111</v>
      </c>
      <c r="L1256" t="s">
        <v>7172</v>
      </c>
      <c r="M1256" t="s">
        <v>7173</v>
      </c>
      <c r="N1256">
        <v>174</v>
      </c>
      <c r="O1256" t="s">
        <v>694</v>
      </c>
      <c r="P1256">
        <v>174</v>
      </c>
      <c r="Q1256" t="s">
        <v>694</v>
      </c>
      <c r="R1256" t="s">
        <v>3751</v>
      </c>
      <c r="S1256" t="s">
        <v>3752</v>
      </c>
      <c r="T1256" t="s">
        <v>4245</v>
      </c>
      <c r="U1256" t="s">
        <v>4832</v>
      </c>
      <c r="V1256" t="s">
        <v>1824</v>
      </c>
      <c r="AA1256" t="s">
        <v>119</v>
      </c>
      <c r="AE1256" t="s">
        <v>120</v>
      </c>
    </row>
    <row r="1257" spans="1:33" x14ac:dyDescent="0.3">
      <c r="A1257">
        <v>3844</v>
      </c>
      <c r="B1257" t="s">
        <v>7174</v>
      </c>
      <c r="C1257" t="str">
        <f>""</f>
        <v/>
      </c>
      <c r="D1257" t="str">
        <f>"9JUSE8000"</f>
        <v>9JUSE8000</v>
      </c>
      <c r="E1257" s="1">
        <v>39345</v>
      </c>
      <c r="F1257" t="s">
        <v>7175</v>
      </c>
      <c r="G1257" t="e">
        <f>INDEX(#REF!,MATCH(P1257,#REF!,0),1)</f>
        <v>#REF!</v>
      </c>
      <c r="H1257" t="s">
        <v>7176</v>
      </c>
      <c r="J1257" t="s">
        <v>7177</v>
      </c>
      <c r="K1257" t="s">
        <v>111</v>
      </c>
      <c r="L1257" t="s">
        <v>7178</v>
      </c>
      <c r="M1257" t="s">
        <v>7179</v>
      </c>
      <c r="N1257">
        <v>174</v>
      </c>
      <c r="O1257" t="s">
        <v>694</v>
      </c>
      <c r="P1257">
        <v>174</v>
      </c>
      <c r="Q1257" t="s">
        <v>694</v>
      </c>
      <c r="R1257" t="s">
        <v>3751</v>
      </c>
      <c r="S1257" t="s">
        <v>3752</v>
      </c>
      <c r="T1257" t="s">
        <v>2277</v>
      </c>
      <c r="U1257" t="s">
        <v>2278</v>
      </c>
      <c r="V1257" t="s">
        <v>1824</v>
      </c>
      <c r="AA1257" t="s">
        <v>119</v>
      </c>
      <c r="AE1257" t="s">
        <v>120</v>
      </c>
    </row>
    <row r="1258" spans="1:33" x14ac:dyDescent="0.3">
      <c r="A1258">
        <v>3848</v>
      </c>
      <c r="B1258" t="s">
        <v>7180</v>
      </c>
      <c r="C1258" t="str">
        <f>"1100002177874"</f>
        <v>1100002177874</v>
      </c>
      <c r="D1258" t="str">
        <f>"DDG9E3W00"</f>
        <v>DDG9E3W00</v>
      </c>
      <c r="E1258" s="1">
        <v>35309</v>
      </c>
      <c r="F1258" t="s">
        <v>7181</v>
      </c>
      <c r="G1258" t="e">
        <f>INDEX(#REF!,MATCH(P1258,#REF!,0),1)</f>
        <v>#REF!</v>
      </c>
      <c r="H1258" t="s">
        <v>7182</v>
      </c>
      <c r="J1258" t="s">
        <v>1788</v>
      </c>
      <c r="K1258" t="s">
        <v>125</v>
      </c>
      <c r="L1258" t="s">
        <v>7183</v>
      </c>
      <c r="M1258" t="s">
        <v>7184</v>
      </c>
      <c r="N1258">
        <v>3848</v>
      </c>
      <c r="O1258" t="s">
        <v>7181</v>
      </c>
      <c r="P1258">
        <v>3848</v>
      </c>
      <c r="Q1258" t="s">
        <v>7181</v>
      </c>
      <c r="R1258" t="s">
        <v>3101</v>
      </c>
      <c r="S1258" t="s">
        <v>3102</v>
      </c>
      <c r="T1258" t="s">
        <v>2277</v>
      </c>
      <c r="U1258" t="s">
        <v>5622</v>
      </c>
      <c r="V1258" t="s">
        <v>2215</v>
      </c>
    </row>
    <row r="1259" spans="1:33" x14ac:dyDescent="0.3">
      <c r="A1259">
        <v>3850</v>
      </c>
      <c r="B1259" t="s">
        <v>7185</v>
      </c>
      <c r="C1259" t="str">
        <f>""</f>
        <v/>
      </c>
      <c r="D1259" t="str">
        <f>"3YKJKAY00"</f>
        <v>3YKJKAY00</v>
      </c>
      <c r="E1259" s="1">
        <v>35309</v>
      </c>
      <c r="F1259" t="s">
        <v>7186</v>
      </c>
      <c r="G1259" t="e">
        <f>INDEX(#REF!,MATCH(P1259,#REF!,0),1)</f>
        <v>#REF!</v>
      </c>
      <c r="H1259" t="s">
        <v>7187</v>
      </c>
      <c r="J1259" t="s">
        <v>1788</v>
      </c>
      <c r="K1259" t="s">
        <v>125</v>
      </c>
      <c r="L1259" t="s">
        <v>7188</v>
      </c>
      <c r="M1259" t="s">
        <v>7189</v>
      </c>
      <c r="N1259">
        <v>3850</v>
      </c>
      <c r="O1259" t="s">
        <v>7186</v>
      </c>
      <c r="P1259">
        <v>3850</v>
      </c>
      <c r="Q1259" t="s">
        <v>7186</v>
      </c>
      <c r="R1259" t="s">
        <v>3101</v>
      </c>
      <c r="S1259" t="s">
        <v>3102</v>
      </c>
      <c r="T1259" t="s">
        <v>2277</v>
      </c>
      <c r="U1259" t="s">
        <v>5651</v>
      </c>
      <c r="V1259" t="s">
        <v>2215</v>
      </c>
    </row>
    <row r="1260" spans="1:33" x14ac:dyDescent="0.3">
      <c r="A1260">
        <v>3854</v>
      </c>
      <c r="B1260" t="s">
        <v>7190</v>
      </c>
      <c r="C1260" t="str">
        <f>"1100003874499"</f>
        <v>1100003874499</v>
      </c>
      <c r="D1260" t="str">
        <f>"F89371700"</f>
        <v>F89371700</v>
      </c>
      <c r="E1260" s="1">
        <v>35309</v>
      </c>
      <c r="F1260" t="s">
        <v>7191</v>
      </c>
      <c r="G1260" t="e">
        <f>INDEX(#REF!,MATCH(P1260,#REF!,0),1)</f>
        <v>#REF!</v>
      </c>
      <c r="H1260" t="s">
        <v>7192</v>
      </c>
      <c r="J1260" t="s">
        <v>7193</v>
      </c>
      <c r="K1260" t="s">
        <v>125</v>
      </c>
      <c r="L1260" t="s">
        <v>7194</v>
      </c>
      <c r="M1260" t="s">
        <v>7195</v>
      </c>
      <c r="N1260">
        <v>1667</v>
      </c>
      <c r="O1260" t="s">
        <v>1791</v>
      </c>
      <c r="P1260">
        <v>1667</v>
      </c>
      <c r="Q1260" t="s">
        <v>1791</v>
      </c>
      <c r="R1260" t="s">
        <v>3751</v>
      </c>
      <c r="S1260" t="s">
        <v>3752</v>
      </c>
      <c r="T1260" t="s">
        <v>2277</v>
      </c>
      <c r="U1260" t="s">
        <v>5622</v>
      </c>
      <c r="V1260" t="s">
        <v>1824</v>
      </c>
      <c r="AA1260" t="s">
        <v>105</v>
      </c>
      <c r="AE1260" t="s">
        <v>106</v>
      </c>
    </row>
    <row r="1261" spans="1:33" x14ac:dyDescent="0.3">
      <c r="A1261">
        <v>3861</v>
      </c>
      <c r="B1261" t="s">
        <v>7196</v>
      </c>
      <c r="C1261" t="str">
        <f>""</f>
        <v/>
      </c>
      <c r="D1261" t="str">
        <f>"3VCWA8O00"</f>
        <v>3VCWA8O00</v>
      </c>
      <c r="E1261" s="1">
        <v>35309</v>
      </c>
      <c r="F1261" t="s">
        <v>7197</v>
      </c>
      <c r="G1261" t="e">
        <f>INDEX(#REF!,MATCH(P1261,#REF!,0),1)</f>
        <v>#REF!</v>
      </c>
      <c r="H1261" t="s">
        <v>7198</v>
      </c>
      <c r="I1261" t="s">
        <v>7199</v>
      </c>
      <c r="J1261" t="s">
        <v>2100</v>
      </c>
      <c r="K1261" t="s">
        <v>125</v>
      </c>
      <c r="L1261" t="s">
        <v>7200</v>
      </c>
      <c r="M1261" t="s">
        <v>7201</v>
      </c>
      <c r="N1261">
        <v>3861</v>
      </c>
      <c r="O1261" t="s">
        <v>7197</v>
      </c>
      <c r="P1261">
        <v>3861</v>
      </c>
      <c r="Q1261" t="s">
        <v>7197</v>
      </c>
      <c r="R1261" t="s">
        <v>3101</v>
      </c>
      <c r="S1261" t="s">
        <v>3102</v>
      </c>
      <c r="T1261" t="s">
        <v>2277</v>
      </c>
      <c r="U1261" t="s">
        <v>5622</v>
      </c>
      <c r="V1261" t="s">
        <v>2215</v>
      </c>
      <c r="AD1261" t="s">
        <v>59</v>
      </c>
    </row>
    <row r="1262" spans="1:33" x14ac:dyDescent="0.3">
      <c r="A1262">
        <v>3863</v>
      </c>
      <c r="B1262" t="s">
        <v>7202</v>
      </c>
      <c r="C1262" t="str">
        <f>""</f>
        <v/>
      </c>
      <c r="D1262" t="str">
        <f>"F2ET8PL00"</f>
        <v>F2ET8PL00</v>
      </c>
      <c r="E1262" s="1">
        <v>35309</v>
      </c>
      <c r="F1262" t="s">
        <v>7203</v>
      </c>
      <c r="G1262" t="e">
        <f>INDEX(#REF!,MATCH(P1262,#REF!,0),1)</f>
        <v>#REF!</v>
      </c>
      <c r="H1262" t="s">
        <v>7204</v>
      </c>
      <c r="J1262" t="s">
        <v>341</v>
      </c>
      <c r="K1262" t="s">
        <v>125</v>
      </c>
      <c r="L1262" t="s">
        <v>7205</v>
      </c>
      <c r="M1262" t="s">
        <v>7206</v>
      </c>
      <c r="N1262">
        <v>1667</v>
      </c>
      <c r="O1262" t="s">
        <v>1791</v>
      </c>
      <c r="P1262">
        <v>1667</v>
      </c>
      <c r="Q1262" t="s">
        <v>1791</v>
      </c>
      <c r="R1262" t="s">
        <v>3751</v>
      </c>
      <c r="S1262" t="s">
        <v>3752</v>
      </c>
      <c r="T1262" t="s">
        <v>2277</v>
      </c>
      <c r="U1262" t="s">
        <v>2278</v>
      </c>
      <c r="V1262" t="s">
        <v>1824</v>
      </c>
      <c r="AA1262" t="s">
        <v>105</v>
      </c>
      <c r="AE1262" t="s">
        <v>106</v>
      </c>
    </row>
    <row r="1263" spans="1:33" x14ac:dyDescent="0.3">
      <c r="A1263">
        <v>3868</v>
      </c>
      <c r="B1263" t="s">
        <v>7207</v>
      </c>
      <c r="C1263" t="str">
        <f>""</f>
        <v/>
      </c>
      <c r="D1263" t="str">
        <f>"725199X00"</f>
        <v>725199X00</v>
      </c>
      <c r="E1263" s="1">
        <v>41836</v>
      </c>
      <c r="F1263" t="s">
        <v>7208</v>
      </c>
      <c r="G1263" t="e">
        <f>INDEX(#REF!,MATCH(P1263,#REF!,0),1)</f>
        <v>#REF!</v>
      </c>
      <c r="H1263" t="s">
        <v>7209</v>
      </c>
      <c r="J1263" t="s">
        <v>1478</v>
      </c>
      <c r="K1263" t="s">
        <v>307</v>
      </c>
      <c r="L1263" t="s">
        <v>7210</v>
      </c>
      <c r="M1263" t="s">
        <v>7211</v>
      </c>
      <c r="N1263">
        <v>36874</v>
      </c>
      <c r="O1263" t="s">
        <v>710</v>
      </c>
      <c r="P1263">
        <v>36874</v>
      </c>
      <c r="Q1263" t="s">
        <v>710</v>
      </c>
      <c r="R1263" t="s">
        <v>3807</v>
      </c>
      <c r="S1263" t="s">
        <v>3808</v>
      </c>
      <c r="T1263" t="s">
        <v>2140</v>
      </c>
      <c r="U1263" t="s">
        <v>2141</v>
      </c>
      <c r="V1263" t="s">
        <v>1824</v>
      </c>
      <c r="AD1263" t="s">
        <v>94</v>
      </c>
      <c r="AE1263" t="s">
        <v>60</v>
      </c>
      <c r="AG1263" t="s">
        <v>48</v>
      </c>
    </row>
    <row r="1264" spans="1:33" x14ac:dyDescent="0.3">
      <c r="A1264">
        <v>3870</v>
      </c>
      <c r="B1264" t="s">
        <v>7212</v>
      </c>
      <c r="C1264" t="str">
        <f>""</f>
        <v/>
      </c>
      <c r="D1264" t="str">
        <f>"211030700"</f>
        <v>211030700</v>
      </c>
      <c r="E1264" s="1">
        <v>36678</v>
      </c>
      <c r="F1264" t="s">
        <v>7213</v>
      </c>
      <c r="G1264" t="e">
        <f>INDEX(#REF!,MATCH(P1264,#REF!,0),1)</f>
        <v>#REF!</v>
      </c>
      <c r="H1264" t="s">
        <v>7214</v>
      </c>
      <c r="J1264" t="s">
        <v>7215</v>
      </c>
      <c r="K1264" t="s">
        <v>2244</v>
      </c>
      <c r="L1264">
        <v>14830</v>
      </c>
      <c r="M1264" t="s">
        <v>7216</v>
      </c>
      <c r="N1264">
        <v>1922</v>
      </c>
      <c r="O1264" t="s">
        <v>883</v>
      </c>
      <c r="P1264">
        <v>1922</v>
      </c>
      <c r="Q1264" t="s">
        <v>883</v>
      </c>
      <c r="R1264" t="s">
        <v>884</v>
      </c>
      <c r="S1264" t="s">
        <v>885</v>
      </c>
      <c r="T1264" t="s">
        <v>44</v>
      </c>
      <c r="U1264" t="s">
        <v>45</v>
      </c>
      <c r="AA1264" t="s">
        <v>119</v>
      </c>
      <c r="AE1264" t="s">
        <v>564</v>
      </c>
      <c r="AG1264" t="s">
        <v>48</v>
      </c>
    </row>
    <row r="1265" spans="1:33" x14ac:dyDescent="0.3">
      <c r="A1265">
        <v>3877</v>
      </c>
      <c r="B1265" t="s">
        <v>7217</v>
      </c>
      <c r="C1265" t="str">
        <f>""</f>
        <v/>
      </c>
      <c r="D1265" t="str">
        <f>"M7D7YR200"</f>
        <v>M7D7YR200</v>
      </c>
      <c r="E1265" s="1">
        <v>45469</v>
      </c>
      <c r="F1265" t="s">
        <v>7218</v>
      </c>
      <c r="G1265" t="e">
        <f>INDEX(#REF!,MATCH(P1265,#REF!,0),1)</f>
        <v>#REF!</v>
      </c>
      <c r="H1265" t="s">
        <v>7219</v>
      </c>
      <c r="J1265" t="s">
        <v>7220</v>
      </c>
      <c r="K1265" t="s">
        <v>167</v>
      </c>
      <c r="L1265" t="s">
        <v>7221</v>
      </c>
      <c r="M1265" t="s">
        <v>7222</v>
      </c>
      <c r="N1265">
        <v>2624236</v>
      </c>
      <c r="O1265" t="s">
        <v>378</v>
      </c>
      <c r="P1265">
        <v>3425018</v>
      </c>
      <c r="Q1265" t="s">
        <v>7223</v>
      </c>
      <c r="R1265" t="s">
        <v>245</v>
      </c>
      <c r="S1265" t="s">
        <v>246</v>
      </c>
      <c r="T1265" t="s">
        <v>2277</v>
      </c>
      <c r="U1265" t="s">
        <v>2278</v>
      </c>
      <c r="AA1265" t="s">
        <v>378</v>
      </c>
    </row>
    <row r="1266" spans="1:33" x14ac:dyDescent="0.3">
      <c r="A1266">
        <v>3888</v>
      </c>
      <c r="B1266" t="s">
        <v>7224</v>
      </c>
      <c r="C1266" t="str">
        <f>"1100004324955"</f>
        <v>1100004324955</v>
      </c>
      <c r="D1266" t="str">
        <f>""</f>
        <v/>
      </c>
      <c r="E1266" s="1">
        <v>41883</v>
      </c>
      <c r="F1266" t="s">
        <v>7225</v>
      </c>
      <c r="G1266" t="e">
        <f>INDEX(#REF!,MATCH(P1266,#REF!,0),1)</f>
        <v>#REF!</v>
      </c>
      <c r="H1266" t="s">
        <v>7226</v>
      </c>
      <c r="J1266" t="s">
        <v>7227</v>
      </c>
      <c r="K1266" t="s">
        <v>77</v>
      </c>
      <c r="L1266">
        <v>24592</v>
      </c>
      <c r="M1266" t="s">
        <v>7228</v>
      </c>
      <c r="N1266">
        <v>9</v>
      </c>
      <c r="O1266" t="s">
        <v>74</v>
      </c>
      <c r="P1266">
        <v>9</v>
      </c>
      <c r="Q1266" t="s">
        <v>74</v>
      </c>
      <c r="R1266" t="s">
        <v>79</v>
      </c>
      <c r="S1266" t="s">
        <v>80</v>
      </c>
      <c r="T1266" t="s">
        <v>44</v>
      </c>
      <c r="U1266" t="s">
        <v>81</v>
      </c>
      <c r="AA1266" t="s">
        <v>82</v>
      </c>
      <c r="AG1266" t="s">
        <v>48</v>
      </c>
    </row>
    <row r="1267" spans="1:33" x14ac:dyDescent="0.3">
      <c r="A1267">
        <v>3900</v>
      </c>
      <c r="B1267" t="s">
        <v>7229</v>
      </c>
      <c r="C1267" t="str">
        <f>""</f>
        <v/>
      </c>
      <c r="D1267" t="str">
        <f>"G4HBQEG00"</f>
        <v>G4HBQEG00</v>
      </c>
      <c r="E1267" s="1">
        <v>43398</v>
      </c>
      <c r="F1267" t="s">
        <v>7230</v>
      </c>
      <c r="G1267" t="e">
        <f>INDEX(#REF!,MATCH(P1267,#REF!,0),1)</f>
        <v>#REF!</v>
      </c>
      <c r="H1267" t="s">
        <v>7231</v>
      </c>
      <c r="J1267" t="s">
        <v>446</v>
      </c>
      <c r="K1267" t="s">
        <v>99</v>
      </c>
      <c r="L1267" t="s">
        <v>7232</v>
      </c>
      <c r="M1267" t="s">
        <v>7233</v>
      </c>
      <c r="N1267">
        <v>2623343</v>
      </c>
      <c r="O1267" t="s">
        <v>1513</v>
      </c>
      <c r="P1267">
        <v>35676</v>
      </c>
      <c r="Q1267" t="s">
        <v>5781</v>
      </c>
      <c r="R1267" t="s">
        <v>5782</v>
      </c>
      <c r="S1267" t="s">
        <v>5783</v>
      </c>
      <c r="T1267" t="s">
        <v>2140</v>
      </c>
      <c r="U1267" t="s">
        <v>2141</v>
      </c>
      <c r="V1267" t="s">
        <v>1824</v>
      </c>
      <c r="AD1267" t="s">
        <v>94</v>
      </c>
      <c r="AE1267" t="s">
        <v>72</v>
      </c>
    </row>
    <row r="1268" spans="1:33" x14ac:dyDescent="0.3">
      <c r="A1268">
        <v>3901</v>
      </c>
      <c r="B1268" t="s">
        <v>7234</v>
      </c>
      <c r="C1268" t="str">
        <f>"1100003228773"</f>
        <v>1100003228773</v>
      </c>
      <c r="D1268" t="str">
        <f>"D8GJ3J600"</f>
        <v>D8GJ3J600</v>
      </c>
      <c r="E1268" s="1">
        <v>35309</v>
      </c>
      <c r="F1268" t="s">
        <v>7235</v>
      </c>
      <c r="G1268" t="e">
        <f>INDEX(#REF!,MATCH(P1268,#REF!,0),1)</f>
        <v>#REF!</v>
      </c>
      <c r="H1268" t="s">
        <v>7236</v>
      </c>
      <c r="J1268" t="s">
        <v>7237</v>
      </c>
      <c r="K1268" t="s">
        <v>99</v>
      </c>
      <c r="L1268">
        <v>31078</v>
      </c>
      <c r="M1268" t="s">
        <v>7238</v>
      </c>
      <c r="N1268">
        <v>2281780</v>
      </c>
      <c r="O1268" t="s">
        <v>7239</v>
      </c>
      <c r="P1268">
        <v>2281780</v>
      </c>
      <c r="Q1268" t="s">
        <v>7239</v>
      </c>
      <c r="R1268" t="s">
        <v>7240</v>
      </c>
      <c r="S1268" t="s">
        <v>7241</v>
      </c>
      <c r="T1268" t="s">
        <v>2277</v>
      </c>
      <c r="U1268" t="s">
        <v>5622</v>
      </c>
      <c r="V1268" t="s">
        <v>2215</v>
      </c>
    </row>
    <row r="1269" spans="1:33" x14ac:dyDescent="0.3">
      <c r="A1269">
        <v>3917</v>
      </c>
      <c r="B1269" t="s">
        <v>7242</v>
      </c>
      <c r="C1269" t="str">
        <f>"1100005620674"</f>
        <v>1100005620674</v>
      </c>
      <c r="D1269" t="str">
        <f>"530XB8O00"</f>
        <v>530XB8O00</v>
      </c>
      <c r="E1269" s="1">
        <v>35309</v>
      </c>
      <c r="F1269" t="s">
        <v>7243</v>
      </c>
      <c r="G1269" t="e">
        <f>INDEX(#REF!,MATCH(P1269,#REF!,0),1)</f>
        <v>#REF!</v>
      </c>
      <c r="H1269" t="s">
        <v>7244</v>
      </c>
      <c r="J1269" t="s">
        <v>5854</v>
      </c>
      <c r="K1269" t="s">
        <v>88</v>
      </c>
      <c r="L1269" t="s">
        <v>7245</v>
      </c>
      <c r="M1269" t="s">
        <v>7246</v>
      </c>
      <c r="N1269">
        <v>3691153</v>
      </c>
      <c r="O1269" t="s">
        <v>1639</v>
      </c>
      <c r="P1269">
        <v>455</v>
      </c>
      <c r="Q1269" t="s">
        <v>1634</v>
      </c>
      <c r="R1269" t="s">
        <v>5924</v>
      </c>
      <c r="S1269" t="s">
        <v>5925</v>
      </c>
      <c r="T1269" t="s">
        <v>2140</v>
      </c>
      <c r="U1269" t="s">
        <v>2141</v>
      </c>
      <c r="V1269" t="s">
        <v>1824</v>
      </c>
      <c r="AD1269" t="s">
        <v>94</v>
      </c>
      <c r="AE1269" t="s">
        <v>1033</v>
      </c>
      <c r="AG1269" t="s">
        <v>48</v>
      </c>
    </row>
    <row r="1270" spans="1:33" x14ac:dyDescent="0.3">
      <c r="A1270">
        <v>3918</v>
      </c>
      <c r="B1270" t="s">
        <v>7247</v>
      </c>
      <c r="C1270" t="str">
        <f>"1100002305895"</f>
        <v>1100002305895</v>
      </c>
      <c r="D1270" t="str">
        <f>"GG6PK1C00"</f>
        <v>GG6PK1C00</v>
      </c>
      <c r="E1270" s="1">
        <v>35339</v>
      </c>
      <c r="F1270" t="s">
        <v>7248</v>
      </c>
      <c r="G1270" t="e">
        <f>INDEX(#REF!,MATCH(P1270,#REF!,0),1)</f>
        <v>#REF!</v>
      </c>
      <c r="H1270" t="s">
        <v>7249</v>
      </c>
      <c r="J1270" t="s">
        <v>7250</v>
      </c>
      <c r="K1270" t="s">
        <v>307</v>
      </c>
      <c r="L1270" t="s">
        <v>7251</v>
      </c>
      <c r="M1270" t="s">
        <v>7252</v>
      </c>
      <c r="N1270">
        <v>36874</v>
      </c>
      <c r="O1270" t="s">
        <v>710</v>
      </c>
      <c r="P1270">
        <v>401</v>
      </c>
      <c r="Q1270" t="s">
        <v>1476</v>
      </c>
      <c r="R1270" t="s">
        <v>3807</v>
      </c>
      <c r="S1270" t="s">
        <v>3808</v>
      </c>
      <c r="T1270" t="s">
        <v>2140</v>
      </c>
      <c r="U1270" t="s">
        <v>2141</v>
      </c>
      <c r="V1270" t="s">
        <v>1824</v>
      </c>
      <c r="AD1270" t="s">
        <v>94</v>
      </c>
      <c r="AE1270" t="s">
        <v>60</v>
      </c>
      <c r="AG1270" t="s">
        <v>48</v>
      </c>
    </row>
    <row r="1271" spans="1:33" x14ac:dyDescent="0.3">
      <c r="A1271">
        <v>3948</v>
      </c>
      <c r="B1271" t="s">
        <v>7253</v>
      </c>
      <c r="C1271" t="str">
        <f>"1100005543515"</f>
        <v>1100005543515</v>
      </c>
      <c r="D1271" t="str">
        <f>"CVFD6TY00"</f>
        <v>CVFD6TY00</v>
      </c>
      <c r="E1271" s="1">
        <v>39846</v>
      </c>
      <c r="F1271" t="s">
        <v>7254</v>
      </c>
      <c r="G1271" t="e">
        <f>INDEX(#REF!,MATCH(P1271,#REF!,0),1)</f>
        <v>#REF!</v>
      </c>
      <c r="H1271" t="s">
        <v>7255</v>
      </c>
      <c r="J1271" t="s">
        <v>2741</v>
      </c>
      <c r="K1271" t="s">
        <v>384</v>
      </c>
      <c r="L1271">
        <v>28025</v>
      </c>
      <c r="M1271" t="s">
        <v>7256</v>
      </c>
      <c r="N1271">
        <v>5949</v>
      </c>
      <c r="O1271" t="s">
        <v>2330</v>
      </c>
      <c r="P1271">
        <v>3269</v>
      </c>
      <c r="Q1271" t="s">
        <v>6466</v>
      </c>
      <c r="R1271" t="s">
        <v>2331</v>
      </c>
      <c r="S1271" t="s">
        <v>2332</v>
      </c>
      <c r="T1271" t="s">
        <v>3141</v>
      </c>
      <c r="U1271" t="s">
        <v>3738</v>
      </c>
      <c r="V1271" t="s">
        <v>2215</v>
      </c>
      <c r="AC1271" t="s">
        <v>2333</v>
      </c>
    </row>
    <row r="1272" spans="1:33" x14ac:dyDescent="0.3">
      <c r="A1272">
        <v>3949</v>
      </c>
      <c r="B1272" t="s">
        <v>7257</v>
      </c>
      <c r="C1272" t="str">
        <f>""</f>
        <v/>
      </c>
      <c r="D1272" t="str">
        <f>"YOSPCBQF0"</f>
        <v>YOSPCBQF0</v>
      </c>
      <c r="E1272" s="1">
        <v>39846</v>
      </c>
      <c r="F1272" t="s">
        <v>7258</v>
      </c>
      <c r="G1272" t="e">
        <f>INDEX(#REF!,MATCH(P1272,#REF!,0),1)</f>
        <v>#REF!</v>
      </c>
      <c r="H1272" t="s">
        <v>7259</v>
      </c>
      <c r="J1272" t="s">
        <v>2741</v>
      </c>
      <c r="K1272" t="s">
        <v>384</v>
      </c>
      <c r="L1272">
        <v>28025</v>
      </c>
      <c r="M1272" t="s">
        <v>7260</v>
      </c>
      <c r="N1272">
        <v>5949</v>
      </c>
      <c r="O1272" t="s">
        <v>2330</v>
      </c>
      <c r="P1272">
        <v>3948</v>
      </c>
      <c r="Q1272" t="s">
        <v>7254</v>
      </c>
      <c r="R1272" t="s">
        <v>2331</v>
      </c>
      <c r="S1272" t="s">
        <v>2332</v>
      </c>
      <c r="T1272" t="s">
        <v>2140</v>
      </c>
      <c r="U1272" t="s">
        <v>2141</v>
      </c>
      <c r="V1272" t="s">
        <v>2215</v>
      </c>
      <c r="AC1272" t="s">
        <v>2333</v>
      </c>
    </row>
    <row r="1273" spans="1:33" x14ac:dyDescent="0.3">
      <c r="A1273">
        <v>3951</v>
      </c>
      <c r="B1273" t="s">
        <v>7261</v>
      </c>
      <c r="C1273" t="str">
        <f>""</f>
        <v/>
      </c>
      <c r="D1273" t="str">
        <f>"053HCAB00"</f>
        <v>053HCAB00</v>
      </c>
      <c r="E1273" s="1">
        <v>28417</v>
      </c>
      <c r="F1273" t="s">
        <v>954</v>
      </c>
      <c r="G1273" t="e">
        <f>INDEX(#REF!,MATCH(P1273,#REF!,0),1)</f>
        <v>#REF!</v>
      </c>
      <c r="H1273" t="s">
        <v>7262</v>
      </c>
      <c r="J1273" t="s">
        <v>951</v>
      </c>
      <c r="K1273" t="s">
        <v>177</v>
      </c>
      <c r="L1273" t="s">
        <v>7263</v>
      </c>
      <c r="M1273" t="s">
        <v>7264</v>
      </c>
      <c r="N1273">
        <v>6104582</v>
      </c>
      <c r="O1273" t="s">
        <v>180</v>
      </c>
      <c r="P1273">
        <v>6104582</v>
      </c>
      <c r="Q1273" t="s">
        <v>180</v>
      </c>
      <c r="R1273" t="s">
        <v>182</v>
      </c>
      <c r="S1273" t="s">
        <v>183</v>
      </c>
      <c r="T1273" t="s">
        <v>44</v>
      </c>
      <c r="U1273" t="s">
        <v>81</v>
      </c>
      <c r="AD1273" t="s">
        <v>94</v>
      </c>
      <c r="AE1273" t="s">
        <v>186</v>
      </c>
      <c r="AG1273" t="s">
        <v>48</v>
      </c>
    </row>
    <row r="1274" spans="1:33" x14ac:dyDescent="0.3">
      <c r="A1274">
        <v>3954</v>
      </c>
      <c r="B1274" t="s">
        <v>7265</v>
      </c>
      <c r="C1274" t="str">
        <f>"1100005110823"</f>
        <v>1100005110823</v>
      </c>
      <c r="D1274" t="str">
        <f>"3L9AYW100"</f>
        <v>3L9AYW100</v>
      </c>
      <c r="E1274" s="1">
        <v>43009</v>
      </c>
      <c r="F1274" t="s">
        <v>7266</v>
      </c>
      <c r="G1274" t="e">
        <f>INDEX(#REF!,MATCH(P1274,#REF!,0),1)</f>
        <v>#REF!</v>
      </c>
      <c r="H1274" t="s">
        <v>980</v>
      </c>
      <c r="J1274" t="s">
        <v>981</v>
      </c>
      <c r="K1274" t="s">
        <v>982</v>
      </c>
      <c r="L1274">
        <v>21601</v>
      </c>
      <c r="M1274" t="s">
        <v>984</v>
      </c>
      <c r="N1274">
        <v>767189</v>
      </c>
      <c r="O1274" t="s">
        <v>985</v>
      </c>
      <c r="P1274">
        <v>25684</v>
      </c>
      <c r="Q1274" t="s">
        <v>5431</v>
      </c>
      <c r="R1274" t="s">
        <v>986</v>
      </c>
      <c r="S1274" t="s">
        <v>987</v>
      </c>
      <c r="T1274" t="s">
        <v>44</v>
      </c>
      <c r="U1274" t="s">
        <v>81</v>
      </c>
      <c r="Y1274" t="s">
        <v>46</v>
      </c>
      <c r="Z1274" s="1">
        <v>44805</v>
      </c>
      <c r="AA1274" t="s">
        <v>219</v>
      </c>
      <c r="AB1274" t="s">
        <v>93</v>
      </c>
      <c r="AE1274" t="s">
        <v>220</v>
      </c>
      <c r="AG1274" t="s">
        <v>48</v>
      </c>
    </row>
    <row r="1275" spans="1:33" x14ac:dyDescent="0.3">
      <c r="A1275">
        <v>3956</v>
      </c>
      <c r="B1275" t="s">
        <v>7267</v>
      </c>
      <c r="C1275" t="str">
        <f>""</f>
        <v/>
      </c>
      <c r="D1275" t="str">
        <f>"140590J00"</f>
        <v>140590J00</v>
      </c>
      <c r="E1275" s="1">
        <v>42005</v>
      </c>
      <c r="F1275" t="s">
        <v>7268</v>
      </c>
      <c r="G1275" t="e">
        <f>INDEX(#REF!,MATCH(P1275,#REF!,0),1)</f>
        <v>#REF!</v>
      </c>
      <c r="H1275" t="s">
        <v>7269</v>
      </c>
      <c r="J1275" t="s">
        <v>7270</v>
      </c>
      <c r="K1275" t="s">
        <v>2004</v>
      </c>
      <c r="L1275" t="str">
        <f>"02149"</f>
        <v>02149</v>
      </c>
      <c r="M1275" t="s">
        <v>7271</v>
      </c>
      <c r="N1275">
        <v>75676</v>
      </c>
      <c r="O1275" t="s">
        <v>7272</v>
      </c>
      <c r="P1275">
        <v>75676</v>
      </c>
      <c r="Q1275" t="s">
        <v>7272</v>
      </c>
      <c r="R1275" t="s">
        <v>658</v>
      </c>
      <c r="S1275" t="s">
        <v>659</v>
      </c>
      <c r="T1275" t="s">
        <v>44</v>
      </c>
      <c r="U1275" t="s">
        <v>45</v>
      </c>
      <c r="AA1275" t="s">
        <v>119</v>
      </c>
      <c r="AE1275" t="s">
        <v>120</v>
      </c>
      <c r="AG1275" t="s">
        <v>48</v>
      </c>
    </row>
    <row r="1276" spans="1:33" x14ac:dyDescent="0.3">
      <c r="A1276">
        <v>3958</v>
      </c>
      <c r="B1276" t="s">
        <v>7273</v>
      </c>
      <c r="C1276" t="str">
        <f>"1100002376093"</f>
        <v>1100002376093</v>
      </c>
      <c r="D1276" t="str">
        <f>"650110D00"</f>
        <v>650110D00</v>
      </c>
      <c r="E1276" s="1">
        <v>35339</v>
      </c>
      <c r="F1276" t="s">
        <v>7274</v>
      </c>
      <c r="G1276" t="e">
        <f>INDEX(#REF!,MATCH(P1276,#REF!,0),1)</f>
        <v>#REF!</v>
      </c>
      <c r="H1276" t="s">
        <v>7275</v>
      </c>
      <c r="J1276" t="s">
        <v>7276</v>
      </c>
      <c r="K1276" t="s">
        <v>899</v>
      </c>
      <c r="L1276" t="s">
        <v>7277</v>
      </c>
      <c r="M1276" t="s">
        <v>7278</v>
      </c>
      <c r="N1276">
        <v>871561</v>
      </c>
      <c r="O1276" t="s">
        <v>194</v>
      </c>
      <c r="P1276">
        <v>102627</v>
      </c>
      <c r="Q1276" t="s">
        <v>3048</v>
      </c>
      <c r="R1276" t="s">
        <v>196</v>
      </c>
      <c r="S1276" t="s">
        <v>197</v>
      </c>
      <c r="T1276" t="s">
        <v>44</v>
      </c>
      <c r="U1276" t="s">
        <v>45</v>
      </c>
      <c r="AA1276" t="s">
        <v>119</v>
      </c>
      <c r="AE1276" t="s">
        <v>120</v>
      </c>
      <c r="AG1276" t="s">
        <v>48</v>
      </c>
    </row>
    <row r="1277" spans="1:33" x14ac:dyDescent="0.3">
      <c r="A1277">
        <v>3962</v>
      </c>
      <c r="B1277" t="s">
        <v>7279</v>
      </c>
      <c r="C1277" t="str">
        <f>"1100002966157"</f>
        <v>1100002966157</v>
      </c>
      <c r="D1277" t="str">
        <f>"TOV5TBLF5"</f>
        <v>TOV5TBLF5</v>
      </c>
      <c r="E1277" s="1">
        <v>43405</v>
      </c>
      <c r="F1277" t="s">
        <v>7280</v>
      </c>
      <c r="G1277" t="e">
        <f>INDEX(#REF!,MATCH(P1277,#REF!,0),1)</f>
        <v>#REF!</v>
      </c>
      <c r="H1277" t="s">
        <v>7281</v>
      </c>
      <c r="J1277" t="s">
        <v>607</v>
      </c>
      <c r="K1277" t="s">
        <v>208</v>
      </c>
      <c r="L1277" t="s">
        <v>7282</v>
      </c>
      <c r="M1277" t="s">
        <v>7283</v>
      </c>
      <c r="N1277">
        <v>40357</v>
      </c>
      <c r="O1277" t="s">
        <v>610</v>
      </c>
      <c r="P1277">
        <v>40357</v>
      </c>
      <c r="Q1277" t="s">
        <v>610</v>
      </c>
      <c r="R1277" t="s">
        <v>2550</v>
      </c>
      <c r="S1277" t="s">
        <v>2551</v>
      </c>
      <c r="T1277" t="s">
        <v>117</v>
      </c>
      <c r="U1277" t="s">
        <v>2479</v>
      </c>
      <c r="V1277" t="s">
        <v>1824</v>
      </c>
      <c r="AD1277" t="s">
        <v>94</v>
      </c>
      <c r="AE1277" t="s">
        <v>186</v>
      </c>
      <c r="AG1277" t="s">
        <v>48</v>
      </c>
    </row>
    <row r="1278" spans="1:33" x14ac:dyDescent="0.3">
      <c r="A1278">
        <v>3964</v>
      </c>
      <c r="B1278" t="s">
        <v>7284</v>
      </c>
      <c r="C1278" t="str">
        <f>""</f>
        <v/>
      </c>
      <c r="D1278" t="str">
        <f>"15RGF6Y00"</f>
        <v>15RGF6Y00</v>
      </c>
      <c r="E1278" s="1">
        <v>35339</v>
      </c>
      <c r="F1278" t="s">
        <v>7285</v>
      </c>
      <c r="G1278" t="e">
        <f>INDEX(#REF!,MATCH(P1278,#REF!,0),1)</f>
        <v>#REF!</v>
      </c>
      <c r="H1278" t="s">
        <v>7286</v>
      </c>
      <c r="J1278" t="s">
        <v>2900</v>
      </c>
      <c r="K1278" t="s">
        <v>2507</v>
      </c>
      <c r="L1278" t="str">
        <f>"02840"</f>
        <v>02840</v>
      </c>
      <c r="M1278" t="s">
        <v>7287</v>
      </c>
      <c r="N1278">
        <v>30853</v>
      </c>
      <c r="O1278" t="s">
        <v>2509</v>
      </c>
      <c r="P1278">
        <v>853</v>
      </c>
      <c r="Q1278" t="s">
        <v>2898</v>
      </c>
      <c r="R1278" t="s">
        <v>2138</v>
      </c>
      <c r="S1278" t="s">
        <v>2139</v>
      </c>
      <c r="T1278" t="s">
        <v>2277</v>
      </c>
      <c r="U1278" t="s">
        <v>2278</v>
      </c>
      <c r="V1278" t="s">
        <v>1824</v>
      </c>
      <c r="AA1278" t="s">
        <v>119</v>
      </c>
      <c r="AE1278" t="s">
        <v>60</v>
      </c>
      <c r="AG1278" t="s">
        <v>48</v>
      </c>
    </row>
    <row r="1279" spans="1:33" x14ac:dyDescent="0.3">
      <c r="A1279">
        <v>3968</v>
      </c>
      <c r="B1279" t="s">
        <v>7288</v>
      </c>
      <c r="C1279" t="str">
        <f>"1100093441731"</f>
        <v>1100093441731</v>
      </c>
      <c r="D1279" t="str">
        <f>"33TBK1V00"</f>
        <v>33TBK1V00</v>
      </c>
      <c r="E1279" s="1">
        <v>35339</v>
      </c>
      <c r="F1279" t="s">
        <v>7289</v>
      </c>
      <c r="G1279" t="e">
        <f>INDEX(#REF!,MATCH(P1279,#REF!,0),1)</f>
        <v>#REF!</v>
      </c>
      <c r="H1279" t="s">
        <v>7290</v>
      </c>
      <c r="J1279" t="s">
        <v>2145</v>
      </c>
      <c r="K1279" t="s">
        <v>2451</v>
      </c>
      <c r="L1279" t="s">
        <v>7291</v>
      </c>
      <c r="M1279" t="s">
        <v>7292</v>
      </c>
      <c r="N1279">
        <v>60113</v>
      </c>
      <c r="O1279" t="s">
        <v>2453</v>
      </c>
      <c r="P1279">
        <v>659</v>
      </c>
      <c r="Q1279" t="s">
        <v>2449</v>
      </c>
      <c r="R1279" t="s">
        <v>2477</v>
      </c>
      <c r="S1279" t="s">
        <v>2478</v>
      </c>
      <c r="T1279" t="s">
        <v>117</v>
      </c>
      <c r="U1279" t="s">
        <v>2479</v>
      </c>
      <c r="V1279" t="s">
        <v>1824</v>
      </c>
      <c r="Y1279" t="s">
        <v>1317</v>
      </c>
      <c r="Z1279" s="1">
        <v>45474</v>
      </c>
      <c r="AA1279" t="s">
        <v>82</v>
      </c>
      <c r="AD1279" t="s">
        <v>94</v>
      </c>
      <c r="AE1279" t="s">
        <v>83</v>
      </c>
      <c r="AG1279" t="s">
        <v>48</v>
      </c>
    </row>
    <row r="1280" spans="1:33" x14ac:dyDescent="0.3">
      <c r="A1280">
        <v>3976</v>
      </c>
      <c r="B1280" t="s">
        <v>7293</v>
      </c>
      <c r="C1280" t="str">
        <f>"1100003180507"</f>
        <v>1100003180507</v>
      </c>
      <c r="D1280" t="str">
        <f>"OMB6KEP00"</f>
        <v>OMB6KEP00</v>
      </c>
      <c r="E1280" s="1">
        <v>35339</v>
      </c>
      <c r="F1280" t="s">
        <v>7294</v>
      </c>
      <c r="G1280" t="e">
        <f>INDEX(#REF!,MATCH(P1280,#REF!,0),1)</f>
        <v>#REF!</v>
      </c>
      <c r="H1280" t="s">
        <v>7295</v>
      </c>
      <c r="I1280" t="s">
        <v>7296</v>
      </c>
      <c r="J1280" t="s">
        <v>7297</v>
      </c>
      <c r="K1280" t="s">
        <v>425</v>
      </c>
      <c r="L1280" t="str">
        <f>"05255-8913"</f>
        <v>05255-8913</v>
      </c>
      <c r="M1280" t="s">
        <v>7298</v>
      </c>
      <c r="N1280">
        <v>155</v>
      </c>
      <c r="O1280" t="s">
        <v>55</v>
      </c>
      <c r="P1280">
        <v>7057</v>
      </c>
      <c r="Q1280" t="s">
        <v>820</v>
      </c>
      <c r="R1280" t="s">
        <v>2138</v>
      </c>
      <c r="S1280" t="s">
        <v>2139</v>
      </c>
      <c r="T1280" t="s">
        <v>2277</v>
      </c>
      <c r="U1280" t="s">
        <v>2278</v>
      </c>
      <c r="V1280" t="s">
        <v>1824</v>
      </c>
      <c r="AA1280" t="s">
        <v>58</v>
      </c>
      <c r="AE1280" t="s">
        <v>60</v>
      </c>
    </row>
    <row r="1281" spans="1:33" x14ac:dyDescent="0.3">
      <c r="A1281">
        <v>3979</v>
      </c>
      <c r="B1281" t="s">
        <v>7299</v>
      </c>
      <c r="C1281" t="str">
        <f>"1100003009822"</f>
        <v>1100003009822</v>
      </c>
      <c r="D1281" t="str">
        <f>"G0RVD5K00"</f>
        <v>G0RVD5K00</v>
      </c>
      <c r="E1281" s="1">
        <v>35339</v>
      </c>
      <c r="F1281" t="s">
        <v>7300</v>
      </c>
      <c r="G1281" t="e">
        <f>INDEX(#REF!,MATCH(P1281,#REF!,0),1)</f>
        <v>#REF!</v>
      </c>
      <c r="H1281" t="s">
        <v>7301</v>
      </c>
      <c r="J1281" t="s">
        <v>818</v>
      </c>
      <c r="K1281" t="s">
        <v>425</v>
      </c>
      <c r="L1281" t="str">
        <f>"05201-5002"</f>
        <v>05201-5002</v>
      </c>
      <c r="M1281" t="s">
        <v>7302</v>
      </c>
      <c r="N1281">
        <v>155</v>
      </c>
      <c r="O1281" t="s">
        <v>55</v>
      </c>
      <c r="P1281">
        <v>7057</v>
      </c>
      <c r="Q1281" t="s">
        <v>820</v>
      </c>
      <c r="R1281" t="s">
        <v>2138</v>
      </c>
      <c r="S1281" t="s">
        <v>2139</v>
      </c>
      <c r="T1281" t="s">
        <v>2277</v>
      </c>
      <c r="U1281" t="s">
        <v>4611</v>
      </c>
      <c r="V1281" t="s">
        <v>1824</v>
      </c>
      <c r="AA1281" t="s">
        <v>58</v>
      </c>
      <c r="AE1281" t="s">
        <v>60</v>
      </c>
    </row>
    <row r="1282" spans="1:33" x14ac:dyDescent="0.3">
      <c r="A1282">
        <v>3980</v>
      </c>
      <c r="B1282" t="s">
        <v>7303</v>
      </c>
      <c r="C1282" t="str">
        <f>""</f>
        <v/>
      </c>
      <c r="D1282" t="str">
        <f>""</f>
        <v/>
      </c>
      <c r="E1282" s="1">
        <v>41091</v>
      </c>
      <c r="F1282" t="s">
        <v>7304</v>
      </c>
      <c r="G1282" t="e">
        <f>INDEX(#REF!,MATCH(P1282,#REF!,0),1)</f>
        <v>#REF!</v>
      </c>
      <c r="H1282" t="s">
        <v>7305</v>
      </c>
      <c r="J1282" t="s">
        <v>726</v>
      </c>
      <c r="K1282" t="s">
        <v>727</v>
      </c>
      <c r="L1282" t="s">
        <v>7306</v>
      </c>
      <c r="M1282" t="s">
        <v>7307</v>
      </c>
      <c r="N1282">
        <v>444</v>
      </c>
      <c r="O1282" t="s">
        <v>1593</v>
      </c>
      <c r="P1282">
        <v>444</v>
      </c>
      <c r="Q1282" t="s">
        <v>1593</v>
      </c>
      <c r="R1282" t="s">
        <v>1597</v>
      </c>
      <c r="S1282" t="s">
        <v>1598</v>
      </c>
      <c r="T1282" t="s">
        <v>3141</v>
      </c>
      <c r="U1282" t="s">
        <v>3142</v>
      </c>
      <c r="V1282" t="s">
        <v>1824</v>
      </c>
      <c r="X1282" t="s">
        <v>289</v>
      </c>
      <c r="AA1282" t="s">
        <v>290</v>
      </c>
      <c r="AG1282" t="s">
        <v>48</v>
      </c>
    </row>
    <row r="1283" spans="1:33" x14ac:dyDescent="0.3">
      <c r="A1283">
        <v>3987</v>
      </c>
      <c r="B1283" t="s">
        <v>7308</v>
      </c>
      <c r="C1283" t="str">
        <f>"1100002924706"</f>
        <v>1100002924706</v>
      </c>
      <c r="D1283" t="str">
        <f>"160170F00"</f>
        <v>160170F00</v>
      </c>
      <c r="E1283" s="1">
        <v>42583</v>
      </c>
      <c r="F1283" t="s">
        <v>7309</v>
      </c>
      <c r="G1283" t="e">
        <f>INDEX(#REF!,MATCH(P1283,#REF!,0),1)</f>
        <v>#REF!</v>
      </c>
      <c r="H1283" t="s">
        <v>7310</v>
      </c>
      <c r="J1283" t="s">
        <v>6225</v>
      </c>
      <c r="K1283" t="s">
        <v>1109</v>
      </c>
      <c r="L1283" t="str">
        <f>"06105"</f>
        <v>06105</v>
      </c>
      <c r="M1283" t="s">
        <v>7311</v>
      </c>
      <c r="N1283">
        <v>3987</v>
      </c>
      <c r="O1283" t="s">
        <v>7309</v>
      </c>
      <c r="P1283">
        <v>3987</v>
      </c>
      <c r="Q1283" t="s">
        <v>7309</v>
      </c>
      <c r="R1283" t="s">
        <v>1301</v>
      </c>
      <c r="S1283" t="s">
        <v>1302</v>
      </c>
      <c r="T1283" t="s">
        <v>44</v>
      </c>
      <c r="U1283" t="s">
        <v>45</v>
      </c>
    </row>
    <row r="1284" spans="1:33" x14ac:dyDescent="0.3">
      <c r="A1284">
        <v>3990</v>
      </c>
      <c r="B1284" t="s">
        <v>7312</v>
      </c>
      <c r="C1284" t="str">
        <f>"1100002290139"</f>
        <v>1100002290139</v>
      </c>
      <c r="D1284" t="str">
        <f>""</f>
        <v/>
      </c>
      <c r="E1284" s="1">
        <v>44562</v>
      </c>
      <c r="F1284" t="s">
        <v>7313</v>
      </c>
      <c r="G1284" t="e">
        <f>INDEX(#REF!,MATCH(P1284,#REF!,0),1)</f>
        <v>#REF!</v>
      </c>
      <c r="H1284" t="s">
        <v>7314</v>
      </c>
      <c r="J1284" t="s">
        <v>166</v>
      </c>
      <c r="K1284" t="s">
        <v>167</v>
      </c>
      <c r="L1284" t="s">
        <v>7315</v>
      </c>
      <c r="M1284" t="s">
        <v>3226</v>
      </c>
      <c r="N1284">
        <v>2869215</v>
      </c>
      <c r="O1284" t="s">
        <v>7316</v>
      </c>
      <c r="P1284">
        <v>2869215</v>
      </c>
      <c r="Q1284" t="s">
        <v>7316</v>
      </c>
      <c r="R1284" t="s">
        <v>365</v>
      </c>
      <c r="S1284" t="s">
        <v>366</v>
      </c>
      <c r="T1284" t="s">
        <v>44</v>
      </c>
      <c r="U1284" t="s">
        <v>45</v>
      </c>
    </row>
    <row r="1285" spans="1:33" x14ac:dyDescent="0.3">
      <c r="A1285">
        <v>4000</v>
      </c>
      <c r="B1285" t="s">
        <v>7317</v>
      </c>
      <c r="C1285" t="str">
        <f>"1100005788206"</f>
        <v>1100005788206</v>
      </c>
      <c r="D1285" t="str">
        <f>"361120D00"</f>
        <v>361120D00</v>
      </c>
      <c r="E1285" s="1">
        <v>35370</v>
      </c>
      <c r="F1285" t="s">
        <v>7318</v>
      </c>
      <c r="G1285" t="e">
        <f>INDEX(#REF!,MATCH(P1285,#REF!,0),1)</f>
        <v>#REF!</v>
      </c>
      <c r="H1285" t="s">
        <v>7319</v>
      </c>
      <c r="J1285" t="s">
        <v>7320</v>
      </c>
      <c r="K1285" t="s">
        <v>384</v>
      </c>
      <c r="L1285" t="s">
        <v>7321</v>
      </c>
      <c r="M1285" t="s">
        <v>7322</v>
      </c>
      <c r="N1285">
        <v>4000</v>
      </c>
      <c r="O1285" t="s">
        <v>7318</v>
      </c>
      <c r="P1285">
        <v>4000</v>
      </c>
      <c r="Q1285" t="s">
        <v>7318</v>
      </c>
      <c r="R1285" t="s">
        <v>588</v>
      </c>
      <c r="S1285" t="s">
        <v>589</v>
      </c>
      <c r="T1285" t="s">
        <v>44</v>
      </c>
      <c r="U1285" t="s">
        <v>45</v>
      </c>
      <c r="AA1285" t="s">
        <v>119</v>
      </c>
      <c r="AE1285" t="s">
        <v>591</v>
      </c>
    </row>
    <row r="1286" spans="1:33" x14ac:dyDescent="0.3">
      <c r="A1286">
        <v>4003</v>
      </c>
      <c r="B1286" t="s">
        <v>7323</v>
      </c>
      <c r="C1286" t="str">
        <f>""</f>
        <v/>
      </c>
      <c r="D1286" t="str">
        <f>"911300E00"</f>
        <v>911300E00</v>
      </c>
      <c r="E1286" s="1">
        <v>35370</v>
      </c>
      <c r="F1286" t="s">
        <v>7324</v>
      </c>
      <c r="G1286" t="e">
        <f>INDEX(#REF!,MATCH(P1286,#REF!,0),1)</f>
        <v>#REF!</v>
      </c>
      <c r="H1286" t="s">
        <v>7325</v>
      </c>
      <c r="J1286" t="s">
        <v>7326</v>
      </c>
      <c r="K1286" t="s">
        <v>2127</v>
      </c>
      <c r="L1286" t="s">
        <v>7327</v>
      </c>
      <c r="M1286" t="s">
        <v>7328</v>
      </c>
      <c r="N1286">
        <v>41172</v>
      </c>
      <c r="O1286" t="s">
        <v>2130</v>
      </c>
      <c r="P1286">
        <v>41172</v>
      </c>
      <c r="Q1286" t="s">
        <v>2130</v>
      </c>
      <c r="R1286" t="s">
        <v>1844</v>
      </c>
      <c r="S1286" t="s">
        <v>1845</v>
      </c>
      <c r="T1286" t="s">
        <v>44</v>
      </c>
      <c r="U1286" t="s">
        <v>45</v>
      </c>
      <c r="AC1286" t="s">
        <v>538</v>
      </c>
      <c r="AD1286" t="s">
        <v>94</v>
      </c>
      <c r="AE1286" t="s">
        <v>539</v>
      </c>
    </row>
    <row r="1287" spans="1:33" x14ac:dyDescent="0.3">
      <c r="A1287">
        <v>4007</v>
      </c>
      <c r="B1287" t="s">
        <v>7329</v>
      </c>
      <c r="C1287" t="str">
        <f>"1100004889386"</f>
        <v>1100004889386</v>
      </c>
      <c r="D1287" t="str">
        <f>""</f>
        <v/>
      </c>
      <c r="E1287" s="1">
        <v>35370</v>
      </c>
      <c r="F1287" t="s">
        <v>276</v>
      </c>
      <c r="G1287" t="e">
        <f>INDEX(#REF!,MATCH(P1287,#REF!,0),1)</f>
        <v>#REF!</v>
      </c>
      <c r="H1287" t="s">
        <v>7330</v>
      </c>
      <c r="J1287" t="s">
        <v>786</v>
      </c>
      <c r="K1287" t="s">
        <v>65</v>
      </c>
      <c r="L1287">
        <v>19104</v>
      </c>
      <c r="M1287" t="s">
        <v>3244</v>
      </c>
      <c r="N1287">
        <v>4007</v>
      </c>
      <c r="O1287" t="s">
        <v>276</v>
      </c>
      <c r="P1287">
        <v>4007</v>
      </c>
      <c r="Q1287" t="s">
        <v>276</v>
      </c>
      <c r="R1287" t="s">
        <v>277</v>
      </c>
      <c r="S1287" t="s">
        <v>278</v>
      </c>
      <c r="T1287" t="s">
        <v>44</v>
      </c>
      <c r="U1287" t="s">
        <v>81</v>
      </c>
      <c r="AG1287" t="s">
        <v>48</v>
      </c>
    </row>
    <row r="1288" spans="1:33" x14ac:dyDescent="0.3">
      <c r="A1288">
        <v>4008</v>
      </c>
      <c r="B1288" t="s">
        <v>7331</v>
      </c>
      <c r="C1288" t="str">
        <f>""</f>
        <v/>
      </c>
      <c r="D1288" t="str">
        <f>"412520E00"</f>
        <v>412520E00</v>
      </c>
      <c r="E1288" s="1">
        <v>31093</v>
      </c>
      <c r="F1288" t="s">
        <v>7332</v>
      </c>
      <c r="G1288" t="e">
        <f>INDEX(#REF!,MATCH(P1288,#REF!,0),1)</f>
        <v>#REF!</v>
      </c>
      <c r="H1288" t="s">
        <v>7333</v>
      </c>
      <c r="J1288" t="s">
        <v>7334</v>
      </c>
      <c r="K1288" t="s">
        <v>37</v>
      </c>
      <c r="L1288" t="s">
        <v>7335</v>
      </c>
      <c r="M1288" t="s">
        <v>7336</v>
      </c>
      <c r="N1288">
        <v>210</v>
      </c>
      <c r="O1288" t="s">
        <v>840</v>
      </c>
      <c r="P1288">
        <v>210</v>
      </c>
      <c r="Q1288" t="s">
        <v>840</v>
      </c>
      <c r="R1288" t="s">
        <v>844</v>
      </c>
      <c r="S1288" t="s">
        <v>845</v>
      </c>
      <c r="T1288" t="s">
        <v>44</v>
      </c>
      <c r="U1288" t="s">
        <v>45</v>
      </c>
      <c r="Y1288" t="s">
        <v>46</v>
      </c>
      <c r="Z1288" s="1">
        <v>43466</v>
      </c>
      <c r="AC1288" t="s">
        <v>846</v>
      </c>
      <c r="AE1288" t="s">
        <v>404</v>
      </c>
    </row>
    <row r="1289" spans="1:33" x14ac:dyDescent="0.3">
      <c r="A1289">
        <v>4011</v>
      </c>
      <c r="B1289" t="s">
        <v>7337</v>
      </c>
      <c r="C1289" t="str">
        <f>""</f>
        <v/>
      </c>
      <c r="D1289" t="str">
        <f>"231100700"</f>
        <v>231100700</v>
      </c>
      <c r="E1289" s="1">
        <v>42583</v>
      </c>
      <c r="F1289" t="s">
        <v>7338</v>
      </c>
      <c r="G1289" t="e">
        <f>INDEX(#REF!,MATCH(P1289,#REF!,0),1)</f>
        <v>#REF!</v>
      </c>
      <c r="H1289" t="s">
        <v>314</v>
      </c>
      <c r="J1289" t="s">
        <v>315</v>
      </c>
      <c r="K1289" t="s">
        <v>65</v>
      </c>
      <c r="L1289">
        <v>15905</v>
      </c>
      <c r="M1289" t="s">
        <v>7339</v>
      </c>
      <c r="N1289">
        <v>53913</v>
      </c>
      <c r="O1289" t="s">
        <v>318</v>
      </c>
      <c r="P1289">
        <v>53913</v>
      </c>
      <c r="Q1289" t="s">
        <v>318</v>
      </c>
      <c r="R1289" t="s">
        <v>245</v>
      </c>
      <c r="S1289" t="s">
        <v>246</v>
      </c>
      <c r="T1289" t="s">
        <v>44</v>
      </c>
      <c r="U1289" t="s">
        <v>184</v>
      </c>
    </row>
    <row r="1290" spans="1:33" x14ac:dyDescent="0.3">
      <c r="A1290">
        <v>4016</v>
      </c>
      <c r="B1290" t="s">
        <v>7340</v>
      </c>
      <c r="C1290" t="str">
        <f>""</f>
        <v/>
      </c>
      <c r="D1290" t="str">
        <f>"C4N4AVC00"</f>
        <v>C4N4AVC00</v>
      </c>
      <c r="E1290" s="1">
        <v>35370</v>
      </c>
      <c r="F1290" t="s">
        <v>7341</v>
      </c>
      <c r="G1290" t="e">
        <f>INDEX(#REF!,MATCH(P1290,#REF!,0),1)</f>
        <v>#REF!</v>
      </c>
      <c r="H1290" t="s">
        <v>3277</v>
      </c>
      <c r="J1290" t="s">
        <v>1248</v>
      </c>
      <c r="K1290" t="s">
        <v>65</v>
      </c>
      <c r="L1290">
        <v>19064</v>
      </c>
      <c r="M1290" t="s">
        <v>7342</v>
      </c>
      <c r="N1290">
        <v>2623550</v>
      </c>
      <c r="O1290" t="s">
        <v>1767</v>
      </c>
      <c r="P1290">
        <v>1202</v>
      </c>
      <c r="Q1290" t="s">
        <v>1768</v>
      </c>
      <c r="R1290" t="s">
        <v>5064</v>
      </c>
      <c r="S1290" t="s">
        <v>5065</v>
      </c>
      <c r="T1290" t="s">
        <v>2277</v>
      </c>
      <c r="U1290" t="s">
        <v>2278</v>
      </c>
      <c r="V1290" t="s">
        <v>1824</v>
      </c>
      <c r="AE1290" t="s">
        <v>564</v>
      </c>
    </row>
    <row r="1291" spans="1:33" x14ac:dyDescent="0.3">
      <c r="A1291">
        <v>4017</v>
      </c>
      <c r="B1291" t="s">
        <v>7343</v>
      </c>
      <c r="C1291" t="str">
        <f>""</f>
        <v/>
      </c>
      <c r="D1291" t="str">
        <f>"BYTO8MK00"</f>
        <v>BYTO8MK00</v>
      </c>
      <c r="E1291" s="1">
        <v>35370</v>
      </c>
      <c r="F1291" t="s">
        <v>7344</v>
      </c>
      <c r="G1291" t="e">
        <f>INDEX(#REF!,MATCH(P1291,#REF!,0),1)</f>
        <v>#REF!</v>
      </c>
      <c r="H1291" t="s">
        <v>7345</v>
      </c>
      <c r="J1291" t="s">
        <v>7346</v>
      </c>
      <c r="K1291" t="s">
        <v>208</v>
      </c>
      <c r="L1291" t="s">
        <v>7347</v>
      </c>
      <c r="M1291" t="s">
        <v>7348</v>
      </c>
      <c r="N1291">
        <v>722704</v>
      </c>
      <c r="O1291" t="s">
        <v>648</v>
      </c>
      <c r="P1291">
        <v>465</v>
      </c>
      <c r="Q1291" t="s">
        <v>1686</v>
      </c>
      <c r="R1291" t="s">
        <v>2550</v>
      </c>
      <c r="S1291" t="s">
        <v>2551</v>
      </c>
      <c r="T1291" t="s">
        <v>2277</v>
      </c>
      <c r="U1291" t="s">
        <v>2278</v>
      </c>
      <c r="V1291" t="s">
        <v>1824</v>
      </c>
      <c r="AA1291" t="s">
        <v>119</v>
      </c>
      <c r="AE1291" t="s">
        <v>120</v>
      </c>
    </row>
    <row r="1292" spans="1:33" x14ac:dyDescent="0.3">
      <c r="A1292">
        <v>4018</v>
      </c>
      <c r="B1292" t="s">
        <v>7349</v>
      </c>
      <c r="C1292" t="str">
        <f>"1100005930032"</f>
        <v>1100005930032</v>
      </c>
      <c r="D1292" t="str">
        <f>"1M411MF00"</f>
        <v>1M411MF00</v>
      </c>
      <c r="E1292" s="1">
        <v>35370</v>
      </c>
      <c r="F1292" t="s">
        <v>7350</v>
      </c>
      <c r="G1292" t="e">
        <f>INDEX(#REF!,MATCH(P1292,#REF!,0),1)</f>
        <v>#REF!</v>
      </c>
      <c r="H1292" t="s">
        <v>7351</v>
      </c>
      <c r="J1292" t="s">
        <v>622</v>
      </c>
      <c r="K1292" t="s">
        <v>77</v>
      </c>
      <c r="L1292">
        <v>22401</v>
      </c>
      <c r="M1292" t="s">
        <v>7352</v>
      </c>
      <c r="N1292">
        <v>1131</v>
      </c>
      <c r="O1292" t="s">
        <v>625</v>
      </c>
      <c r="P1292">
        <v>100991</v>
      </c>
      <c r="Q1292" t="s">
        <v>7168</v>
      </c>
      <c r="R1292" t="s">
        <v>171</v>
      </c>
      <c r="S1292" t="s">
        <v>172</v>
      </c>
      <c r="T1292" t="s">
        <v>44</v>
      </c>
      <c r="U1292" t="s">
        <v>1823</v>
      </c>
      <c r="AC1292" t="s">
        <v>590</v>
      </c>
      <c r="AD1292" t="s">
        <v>94</v>
      </c>
      <c r="AE1292" t="s">
        <v>591</v>
      </c>
    </row>
    <row r="1293" spans="1:33" x14ac:dyDescent="0.3">
      <c r="A1293">
        <v>4019</v>
      </c>
      <c r="B1293" t="s">
        <v>7353</v>
      </c>
      <c r="C1293" t="str">
        <f>""</f>
        <v/>
      </c>
      <c r="D1293" t="str">
        <f>"E3TCD4300"</f>
        <v>E3TCD4300</v>
      </c>
      <c r="E1293" s="1">
        <v>35370</v>
      </c>
      <c r="F1293" t="s">
        <v>7354</v>
      </c>
      <c r="G1293" t="e">
        <f>INDEX(#REF!,MATCH(P1293,#REF!,0),1)</f>
        <v>#REF!</v>
      </c>
      <c r="H1293" t="s">
        <v>7355</v>
      </c>
      <c r="J1293" t="s">
        <v>622</v>
      </c>
      <c r="K1293" t="s">
        <v>77</v>
      </c>
      <c r="L1293">
        <v>22401</v>
      </c>
      <c r="M1293" t="s">
        <v>7356</v>
      </c>
      <c r="N1293">
        <v>1131</v>
      </c>
      <c r="O1293" t="s">
        <v>625</v>
      </c>
      <c r="P1293">
        <v>56635</v>
      </c>
      <c r="Q1293" t="s">
        <v>3789</v>
      </c>
      <c r="R1293" t="s">
        <v>2275</v>
      </c>
      <c r="S1293" t="s">
        <v>2276</v>
      </c>
      <c r="T1293" t="s">
        <v>117</v>
      </c>
      <c r="U1293" t="s">
        <v>4072</v>
      </c>
      <c r="V1293" t="s">
        <v>1824</v>
      </c>
      <c r="AC1293" t="s">
        <v>590</v>
      </c>
      <c r="AD1293" t="s">
        <v>94</v>
      </c>
      <c r="AE1293" t="s">
        <v>591</v>
      </c>
    </row>
    <row r="1294" spans="1:33" x14ac:dyDescent="0.3">
      <c r="A1294">
        <v>4023</v>
      </c>
      <c r="B1294" t="s">
        <v>7357</v>
      </c>
      <c r="C1294" t="str">
        <f>"1100004216724"</f>
        <v>1100004216724</v>
      </c>
      <c r="D1294" t="str">
        <f>"620380J00"</f>
        <v>620380J00</v>
      </c>
      <c r="E1294" s="1">
        <v>38473</v>
      </c>
      <c r="F1294" t="s">
        <v>7358</v>
      </c>
      <c r="G1294" t="e">
        <f>INDEX(#REF!,MATCH(P1294,#REF!,0),1)</f>
        <v>#REF!</v>
      </c>
      <c r="H1294" t="s">
        <v>7359</v>
      </c>
      <c r="J1294" t="s">
        <v>7360</v>
      </c>
      <c r="K1294" t="s">
        <v>1603</v>
      </c>
      <c r="L1294" t="s">
        <v>7361</v>
      </c>
      <c r="M1294" t="s">
        <v>7362</v>
      </c>
      <c r="N1294">
        <v>75245</v>
      </c>
      <c r="O1294" t="s">
        <v>1020</v>
      </c>
      <c r="P1294">
        <v>75245</v>
      </c>
      <c r="Q1294" t="s">
        <v>1020</v>
      </c>
      <c r="R1294" t="s">
        <v>1021</v>
      </c>
      <c r="S1294" t="s">
        <v>1022</v>
      </c>
      <c r="T1294" t="s">
        <v>44</v>
      </c>
      <c r="U1294" t="s">
        <v>45</v>
      </c>
      <c r="AA1294" t="s">
        <v>119</v>
      </c>
      <c r="AE1294" t="s">
        <v>120</v>
      </c>
      <c r="AG1294" t="s">
        <v>48</v>
      </c>
    </row>
    <row r="1295" spans="1:33" x14ac:dyDescent="0.3">
      <c r="A1295">
        <v>4027</v>
      </c>
      <c r="B1295" t="s">
        <v>7363</v>
      </c>
      <c r="C1295" t="str">
        <f>"1100002788117"</f>
        <v>1100002788117</v>
      </c>
      <c r="D1295" t="str">
        <f>"431200A00"</f>
        <v>431200A00</v>
      </c>
      <c r="E1295" s="1">
        <v>41430</v>
      </c>
      <c r="F1295" t="s">
        <v>7364</v>
      </c>
      <c r="G1295" t="e">
        <f>INDEX(#REF!,MATCH(P1295,#REF!,0),1)</f>
        <v>#REF!</v>
      </c>
      <c r="H1295" t="s">
        <v>7365</v>
      </c>
      <c r="J1295" t="s">
        <v>7366</v>
      </c>
      <c r="K1295" t="s">
        <v>342</v>
      </c>
      <c r="L1295" t="s">
        <v>7367</v>
      </c>
      <c r="M1295" t="s">
        <v>7368</v>
      </c>
      <c r="N1295">
        <v>75</v>
      </c>
      <c r="O1295" t="s">
        <v>330</v>
      </c>
      <c r="P1295">
        <v>75</v>
      </c>
      <c r="Q1295" t="s">
        <v>330</v>
      </c>
      <c r="R1295" t="s">
        <v>335</v>
      </c>
      <c r="S1295" t="s">
        <v>336</v>
      </c>
      <c r="T1295" t="s">
        <v>44</v>
      </c>
      <c r="U1295" t="s">
        <v>45</v>
      </c>
      <c r="AA1295" t="s">
        <v>337</v>
      </c>
      <c r="AD1295" t="s">
        <v>94</v>
      </c>
      <c r="AE1295" t="s">
        <v>269</v>
      </c>
    </row>
    <row r="1296" spans="1:33" x14ac:dyDescent="0.3">
      <c r="A1296">
        <v>4028</v>
      </c>
      <c r="B1296" t="s">
        <v>7369</v>
      </c>
      <c r="C1296" t="str">
        <f>"1100002018764"</f>
        <v>1100002018764</v>
      </c>
      <c r="D1296" t="str">
        <f>"211710C00"</f>
        <v>211710C00</v>
      </c>
      <c r="E1296" s="1">
        <v>42583</v>
      </c>
      <c r="F1296" t="s">
        <v>7370</v>
      </c>
      <c r="G1296" t="e">
        <f>INDEX(#REF!,MATCH(P1296,#REF!,0),1)</f>
        <v>#REF!</v>
      </c>
      <c r="H1296" t="s">
        <v>7371</v>
      </c>
      <c r="J1296" t="s">
        <v>4950</v>
      </c>
      <c r="K1296" t="s">
        <v>2244</v>
      </c>
      <c r="L1296" t="s">
        <v>7372</v>
      </c>
      <c r="M1296" t="s">
        <v>7373</v>
      </c>
      <c r="N1296">
        <v>2449817</v>
      </c>
      <c r="O1296" t="s">
        <v>2363</v>
      </c>
      <c r="P1296">
        <v>2449817</v>
      </c>
      <c r="Q1296" t="s">
        <v>2363</v>
      </c>
      <c r="R1296" t="s">
        <v>884</v>
      </c>
      <c r="S1296" t="s">
        <v>885</v>
      </c>
      <c r="T1296" t="s">
        <v>44</v>
      </c>
      <c r="U1296" t="s">
        <v>45</v>
      </c>
      <c r="AA1296" t="s">
        <v>119</v>
      </c>
      <c r="AE1296" t="s">
        <v>120</v>
      </c>
    </row>
    <row r="1297" spans="1:33" x14ac:dyDescent="0.3">
      <c r="A1297">
        <v>4030</v>
      </c>
      <c r="B1297" t="s">
        <v>7374</v>
      </c>
      <c r="C1297" t="str">
        <f>"1100003271595"</f>
        <v>1100003271595</v>
      </c>
      <c r="D1297" t="str">
        <f>"73F0D3500"</f>
        <v>73F0D3500</v>
      </c>
      <c r="E1297" s="1">
        <v>42583</v>
      </c>
      <c r="F1297" t="s">
        <v>7375</v>
      </c>
      <c r="G1297" t="e">
        <f>INDEX(#REF!,MATCH(P1297,#REF!,0),1)</f>
        <v>#REF!</v>
      </c>
      <c r="H1297" t="s">
        <v>7376</v>
      </c>
      <c r="J1297" t="s">
        <v>3464</v>
      </c>
      <c r="K1297" t="s">
        <v>2244</v>
      </c>
      <c r="L1297" t="s">
        <v>7377</v>
      </c>
      <c r="M1297" t="s">
        <v>7378</v>
      </c>
      <c r="N1297">
        <v>1317</v>
      </c>
      <c r="O1297" t="s">
        <v>3461</v>
      </c>
      <c r="P1297">
        <v>1317</v>
      </c>
      <c r="Q1297" t="s">
        <v>3461</v>
      </c>
      <c r="R1297" t="s">
        <v>940</v>
      </c>
      <c r="S1297" t="s">
        <v>941</v>
      </c>
      <c r="T1297" t="s">
        <v>2214</v>
      </c>
      <c r="U1297" t="s">
        <v>2214</v>
      </c>
    </row>
    <row r="1298" spans="1:33" x14ac:dyDescent="0.3">
      <c r="A1298">
        <v>4031</v>
      </c>
      <c r="B1298" t="s">
        <v>7379</v>
      </c>
      <c r="C1298" t="str">
        <f>"1100004495716"</f>
        <v>1100004495716</v>
      </c>
      <c r="D1298" t="str">
        <f>"50ERJG900"</f>
        <v>50ERJG900</v>
      </c>
      <c r="E1298" s="1">
        <v>44901</v>
      </c>
      <c r="F1298" t="s">
        <v>7380</v>
      </c>
      <c r="G1298" t="e">
        <f>INDEX(#REF!,MATCH(P1298,#REF!,0),1)</f>
        <v>#REF!</v>
      </c>
      <c r="H1298" t="s">
        <v>7381</v>
      </c>
      <c r="J1298" t="s">
        <v>818</v>
      </c>
      <c r="K1298" t="s">
        <v>425</v>
      </c>
      <c r="L1298" t="str">
        <f>"05201-2279"</f>
        <v>05201-2279</v>
      </c>
      <c r="M1298" t="s">
        <v>7382</v>
      </c>
      <c r="N1298">
        <v>3492841</v>
      </c>
      <c r="O1298" t="s">
        <v>7383</v>
      </c>
      <c r="P1298">
        <v>3492841</v>
      </c>
      <c r="Q1298" t="s">
        <v>7383</v>
      </c>
      <c r="R1298" t="s">
        <v>7384</v>
      </c>
      <c r="S1298" t="s">
        <v>7385</v>
      </c>
      <c r="T1298" t="s">
        <v>2214</v>
      </c>
      <c r="U1298" t="s">
        <v>2214</v>
      </c>
      <c r="V1298" t="s">
        <v>2215</v>
      </c>
    </row>
    <row r="1299" spans="1:33" x14ac:dyDescent="0.3">
      <c r="A1299">
        <v>4041</v>
      </c>
      <c r="B1299" t="s">
        <v>7386</v>
      </c>
      <c r="C1299" t="str">
        <f>"1100093334415"</f>
        <v>1100093334415</v>
      </c>
      <c r="D1299" t="str">
        <f>"7G5TV9P00"</f>
        <v>7G5TV9P00</v>
      </c>
      <c r="E1299" s="1">
        <v>35431</v>
      </c>
      <c r="F1299" t="s">
        <v>7387</v>
      </c>
      <c r="G1299" t="e">
        <f>INDEX(#REF!,MATCH(P1299,#REF!,0),1)</f>
        <v>#REF!</v>
      </c>
      <c r="H1299" t="s">
        <v>7388</v>
      </c>
      <c r="J1299" t="s">
        <v>76</v>
      </c>
      <c r="K1299" t="s">
        <v>77</v>
      </c>
      <c r="L1299" t="s">
        <v>7389</v>
      </c>
      <c r="M1299" t="s">
        <v>7390</v>
      </c>
      <c r="N1299">
        <v>9</v>
      </c>
      <c r="O1299" t="s">
        <v>74</v>
      </c>
      <c r="P1299">
        <v>9</v>
      </c>
      <c r="Q1299" t="s">
        <v>74</v>
      </c>
      <c r="R1299" t="s">
        <v>2477</v>
      </c>
      <c r="S1299" t="s">
        <v>2478</v>
      </c>
      <c r="T1299" t="s">
        <v>117</v>
      </c>
      <c r="U1299" t="s">
        <v>7391</v>
      </c>
      <c r="V1299" t="s">
        <v>1824</v>
      </c>
      <c r="AA1299" t="s">
        <v>82</v>
      </c>
      <c r="AE1299" t="s">
        <v>83</v>
      </c>
      <c r="AG1299" t="s">
        <v>48</v>
      </c>
    </row>
    <row r="1300" spans="1:33" x14ac:dyDescent="0.3">
      <c r="A1300">
        <v>4042</v>
      </c>
      <c r="B1300" t="s">
        <v>7392</v>
      </c>
      <c r="C1300" t="str">
        <f>"1100003618581"</f>
        <v>1100003618581</v>
      </c>
      <c r="D1300" t="str">
        <f>"57JMBVN00"</f>
        <v>57JMBVN00</v>
      </c>
      <c r="E1300" s="1">
        <v>35431</v>
      </c>
      <c r="F1300" t="s">
        <v>7393</v>
      </c>
      <c r="G1300" t="e">
        <f>INDEX(#REF!,MATCH(P1300,#REF!,0),1)</f>
        <v>#REF!</v>
      </c>
      <c r="H1300" t="s">
        <v>7394</v>
      </c>
      <c r="J1300" t="s">
        <v>76</v>
      </c>
      <c r="K1300" t="s">
        <v>77</v>
      </c>
      <c r="L1300" t="s">
        <v>7395</v>
      </c>
      <c r="M1300" t="s">
        <v>7396</v>
      </c>
      <c r="N1300">
        <v>9</v>
      </c>
      <c r="O1300" t="s">
        <v>74</v>
      </c>
      <c r="P1300">
        <v>4041</v>
      </c>
      <c r="Q1300" t="s">
        <v>7387</v>
      </c>
      <c r="R1300" t="s">
        <v>2477</v>
      </c>
      <c r="S1300" t="s">
        <v>2478</v>
      </c>
      <c r="T1300" t="s">
        <v>2277</v>
      </c>
      <c r="U1300" t="s">
        <v>5622</v>
      </c>
      <c r="V1300" t="s">
        <v>1824</v>
      </c>
      <c r="AA1300" t="s">
        <v>82</v>
      </c>
      <c r="AE1300" t="s">
        <v>83</v>
      </c>
      <c r="AG1300" t="s">
        <v>48</v>
      </c>
    </row>
    <row r="1301" spans="1:33" x14ac:dyDescent="0.3">
      <c r="A1301">
        <v>4044</v>
      </c>
      <c r="B1301" t="s">
        <v>7397</v>
      </c>
      <c r="C1301" t="str">
        <f>"1100002346065"</f>
        <v>1100002346065</v>
      </c>
      <c r="D1301" t="str">
        <f>"GK82FQF00"</f>
        <v>GK82FQF00</v>
      </c>
      <c r="E1301" s="1">
        <v>35431</v>
      </c>
      <c r="F1301" t="s">
        <v>7398</v>
      </c>
      <c r="G1301" t="e">
        <f>INDEX(#REF!,MATCH(P1301,#REF!,0),1)</f>
        <v>#REF!</v>
      </c>
      <c r="H1301" t="s">
        <v>7399</v>
      </c>
      <c r="J1301" t="s">
        <v>76</v>
      </c>
      <c r="K1301" t="s">
        <v>77</v>
      </c>
      <c r="L1301">
        <v>23464</v>
      </c>
      <c r="M1301" t="s">
        <v>7400</v>
      </c>
      <c r="N1301">
        <v>9</v>
      </c>
      <c r="O1301" t="s">
        <v>74</v>
      </c>
      <c r="P1301">
        <v>4041</v>
      </c>
      <c r="Q1301" t="s">
        <v>7387</v>
      </c>
      <c r="R1301" t="s">
        <v>2477</v>
      </c>
      <c r="S1301" t="s">
        <v>2478</v>
      </c>
      <c r="T1301" t="s">
        <v>2277</v>
      </c>
      <c r="U1301" t="s">
        <v>5622</v>
      </c>
      <c r="V1301" t="s">
        <v>1824</v>
      </c>
      <c r="AA1301" t="s">
        <v>82</v>
      </c>
      <c r="AE1301" t="s">
        <v>83</v>
      </c>
      <c r="AG1301" t="s">
        <v>48</v>
      </c>
    </row>
    <row r="1302" spans="1:33" x14ac:dyDescent="0.3">
      <c r="A1302">
        <v>4045</v>
      </c>
      <c r="B1302" t="s">
        <v>7401</v>
      </c>
      <c r="C1302" t="str">
        <f>"1100002534189"</f>
        <v>1100002534189</v>
      </c>
      <c r="D1302" t="str">
        <f>"HCM78QK00"</f>
        <v>HCM78QK00</v>
      </c>
      <c r="E1302" s="1">
        <v>35431</v>
      </c>
      <c r="F1302" t="s">
        <v>7402</v>
      </c>
      <c r="G1302" t="e">
        <f>INDEX(#REF!,MATCH(P1302,#REF!,0),1)</f>
        <v>#REF!</v>
      </c>
      <c r="H1302" t="s">
        <v>7403</v>
      </c>
      <c r="J1302" t="s">
        <v>76</v>
      </c>
      <c r="K1302" t="s">
        <v>77</v>
      </c>
      <c r="L1302">
        <v>23455</v>
      </c>
      <c r="M1302" t="s">
        <v>7404</v>
      </c>
      <c r="N1302">
        <v>9</v>
      </c>
      <c r="O1302" t="s">
        <v>74</v>
      </c>
      <c r="P1302">
        <v>4041</v>
      </c>
      <c r="Q1302" t="s">
        <v>7387</v>
      </c>
      <c r="R1302" t="s">
        <v>2477</v>
      </c>
      <c r="S1302" t="s">
        <v>2478</v>
      </c>
      <c r="T1302" t="s">
        <v>2277</v>
      </c>
      <c r="U1302" t="s">
        <v>5622</v>
      </c>
      <c r="V1302" t="s">
        <v>1824</v>
      </c>
      <c r="AA1302" t="s">
        <v>82</v>
      </c>
      <c r="AE1302" t="s">
        <v>83</v>
      </c>
      <c r="AG1302" t="s">
        <v>48</v>
      </c>
    </row>
    <row r="1303" spans="1:33" x14ac:dyDescent="0.3">
      <c r="A1303">
        <v>4047</v>
      </c>
      <c r="B1303" t="s">
        <v>7405</v>
      </c>
      <c r="C1303" t="str">
        <f>"1100096170843"</f>
        <v>1100096170843</v>
      </c>
      <c r="D1303" t="str">
        <f>"KCF211F00"</f>
        <v>KCF211F00</v>
      </c>
      <c r="E1303" s="1">
        <v>35431</v>
      </c>
      <c r="F1303" t="s">
        <v>7406</v>
      </c>
      <c r="G1303" t="e">
        <f>INDEX(#REF!,MATCH(P1303,#REF!,0),1)</f>
        <v>#REF!</v>
      </c>
      <c r="H1303" t="s">
        <v>7407</v>
      </c>
      <c r="J1303" t="s">
        <v>1238</v>
      </c>
      <c r="K1303" t="s">
        <v>77</v>
      </c>
      <c r="L1303" t="s">
        <v>7408</v>
      </c>
      <c r="M1303" t="s">
        <v>7409</v>
      </c>
      <c r="N1303">
        <v>9</v>
      </c>
      <c r="O1303" t="s">
        <v>74</v>
      </c>
      <c r="P1303">
        <v>4041</v>
      </c>
      <c r="Q1303" t="s">
        <v>7387</v>
      </c>
      <c r="R1303" t="s">
        <v>2477</v>
      </c>
      <c r="S1303" t="s">
        <v>2478</v>
      </c>
      <c r="T1303" t="s">
        <v>2277</v>
      </c>
      <c r="U1303" t="s">
        <v>4419</v>
      </c>
      <c r="V1303" t="s">
        <v>1824</v>
      </c>
      <c r="AA1303" t="s">
        <v>82</v>
      </c>
      <c r="AE1303" t="s">
        <v>83</v>
      </c>
      <c r="AG1303" t="s">
        <v>48</v>
      </c>
    </row>
    <row r="1304" spans="1:33" x14ac:dyDescent="0.3">
      <c r="A1304">
        <v>4051</v>
      </c>
      <c r="B1304" t="s">
        <v>7410</v>
      </c>
      <c r="C1304" t="str">
        <f>"1100002909857"</f>
        <v>1100002909857</v>
      </c>
      <c r="D1304" t="str">
        <f>"H2E3FM100"</f>
        <v>H2E3FM100</v>
      </c>
      <c r="E1304" s="1">
        <v>35431</v>
      </c>
      <c r="F1304" t="s">
        <v>7411</v>
      </c>
      <c r="G1304" t="e">
        <f>INDEX(#REF!,MATCH(P1304,#REF!,0),1)</f>
        <v>#REF!</v>
      </c>
      <c r="H1304" t="s">
        <v>7412</v>
      </c>
      <c r="J1304" t="s">
        <v>1238</v>
      </c>
      <c r="K1304" t="s">
        <v>77</v>
      </c>
      <c r="L1304">
        <v>23502</v>
      </c>
      <c r="M1304" t="s">
        <v>7413</v>
      </c>
      <c r="N1304">
        <v>9</v>
      </c>
      <c r="O1304" t="s">
        <v>74</v>
      </c>
      <c r="P1304">
        <v>4041</v>
      </c>
      <c r="Q1304" t="s">
        <v>7387</v>
      </c>
      <c r="R1304" t="s">
        <v>2477</v>
      </c>
      <c r="S1304" t="s">
        <v>2478</v>
      </c>
      <c r="T1304" t="s">
        <v>2277</v>
      </c>
      <c r="U1304" t="s">
        <v>2278</v>
      </c>
      <c r="V1304" t="s">
        <v>1824</v>
      </c>
      <c r="AA1304" t="s">
        <v>82</v>
      </c>
      <c r="AE1304" t="s">
        <v>83</v>
      </c>
      <c r="AG1304" t="s">
        <v>48</v>
      </c>
    </row>
    <row r="1305" spans="1:33" x14ac:dyDescent="0.3">
      <c r="A1305">
        <v>4057</v>
      </c>
      <c r="B1305" t="s">
        <v>7414</v>
      </c>
      <c r="C1305" t="str">
        <f>"1100005238602"</f>
        <v>1100005238602</v>
      </c>
      <c r="D1305" t="str">
        <f>"9L85NE800"</f>
        <v>9L85NE800</v>
      </c>
      <c r="E1305" s="1">
        <v>35431</v>
      </c>
      <c r="F1305" t="s">
        <v>7415</v>
      </c>
      <c r="G1305" t="e">
        <f>INDEX(#REF!,MATCH(P1305,#REF!,0),1)</f>
        <v>#REF!</v>
      </c>
      <c r="H1305" t="s">
        <v>7416</v>
      </c>
      <c r="J1305" t="s">
        <v>76</v>
      </c>
      <c r="K1305" t="s">
        <v>77</v>
      </c>
      <c r="L1305" t="s">
        <v>7417</v>
      </c>
      <c r="M1305" t="s">
        <v>7418</v>
      </c>
      <c r="N1305">
        <v>9</v>
      </c>
      <c r="O1305" t="s">
        <v>74</v>
      </c>
      <c r="P1305">
        <v>4041</v>
      </c>
      <c r="Q1305" t="s">
        <v>7387</v>
      </c>
      <c r="R1305" t="s">
        <v>2477</v>
      </c>
      <c r="S1305" t="s">
        <v>2478</v>
      </c>
      <c r="T1305" t="s">
        <v>2277</v>
      </c>
      <c r="U1305" t="s">
        <v>5622</v>
      </c>
      <c r="V1305" t="s">
        <v>1824</v>
      </c>
      <c r="AA1305" t="s">
        <v>82</v>
      </c>
      <c r="AE1305" t="s">
        <v>83</v>
      </c>
      <c r="AG1305" t="s">
        <v>48</v>
      </c>
    </row>
    <row r="1306" spans="1:33" x14ac:dyDescent="0.3">
      <c r="A1306">
        <v>4061</v>
      </c>
      <c r="B1306" t="s">
        <v>7419</v>
      </c>
      <c r="C1306" t="str">
        <f>"1100004178541"</f>
        <v>1100004178541</v>
      </c>
      <c r="D1306" t="str">
        <f>"A1YPF6J00"</f>
        <v>A1YPF6J00</v>
      </c>
      <c r="E1306" s="1">
        <v>35431</v>
      </c>
      <c r="F1306" t="s">
        <v>7420</v>
      </c>
      <c r="G1306" t="e">
        <f>INDEX(#REF!,MATCH(P1306,#REF!,0),1)</f>
        <v>#REF!</v>
      </c>
      <c r="H1306" t="s">
        <v>7421</v>
      </c>
      <c r="J1306" t="s">
        <v>76</v>
      </c>
      <c r="K1306" t="s">
        <v>77</v>
      </c>
      <c r="L1306" t="s">
        <v>7422</v>
      </c>
      <c r="M1306" t="s">
        <v>7423</v>
      </c>
      <c r="N1306">
        <v>9</v>
      </c>
      <c r="O1306" t="s">
        <v>74</v>
      </c>
      <c r="P1306">
        <v>4041</v>
      </c>
      <c r="Q1306" t="s">
        <v>7387</v>
      </c>
      <c r="R1306" t="s">
        <v>2477</v>
      </c>
      <c r="S1306" t="s">
        <v>2478</v>
      </c>
      <c r="T1306" t="s">
        <v>2277</v>
      </c>
      <c r="U1306" t="s">
        <v>5622</v>
      </c>
      <c r="V1306" t="s">
        <v>1824</v>
      </c>
      <c r="AA1306" t="s">
        <v>82</v>
      </c>
      <c r="AE1306" t="s">
        <v>83</v>
      </c>
      <c r="AG1306" t="s">
        <v>48</v>
      </c>
    </row>
    <row r="1307" spans="1:33" x14ac:dyDescent="0.3">
      <c r="A1307">
        <v>4065</v>
      </c>
      <c r="B1307" t="s">
        <v>7424</v>
      </c>
      <c r="C1307" t="str">
        <f>"1100005981416"</f>
        <v>1100005981416</v>
      </c>
      <c r="D1307" t="str">
        <f>"F2ALGNF00"</f>
        <v>F2ALGNF00</v>
      </c>
      <c r="E1307" s="1">
        <v>35431</v>
      </c>
      <c r="F1307" t="s">
        <v>7425</v>
      </c>
      <c r="G1307" t="e">
        <f>INDEX(#REF!,MATCH(P1307,#REF!,0),1)</f>
        <v>#REF!</v>
      </c>
      <c r="H1307" t="s">
        <v>7426</v>
      </c>
      <c r="J1307" t="s">
        <v>1238</v>
      </c>
      <c r="K1307" t="s">
        <v>77</v>
      </c>
      <c r="L1307">
        <v>23510</v>
      </c>
      <c r="M1307" t="s">
        <v>3226</v>
      </c>
      <c r="N1307">
        <v>9</v>
      </c>
      <c r="O1307" t="s">
        <v>74</v>
      </c>
      <c r="P1307">
        <v>4041</v>
      </c>
      <c r="Q1307" t="s">
        <v>7387</v>
      </c>
      <c r="R1307" t="s">
        <v>2477</v>
      </c>
      <c r="S1307" t="s">
        <v>2478</v>
      </c>
      <c r="T1307" t="s">
        <v>117</v>
      </c>
      <c r="U1307" t="s">
        <v>2479</v>
      </c>
      <c r="V1307" t="s">
        <v>1824</v>
      </c>
      <c r="AA1307" t="s">
        <v>82</v>
      </c>
      <c r="AE1307" t="s">
        <v>83</v>
      </c>
      <c r="AG1307" t="s">
        <v>48</v>
      </c>
    </row>
    <row r="1308" spans="1:33" x14ac:dyDescent="0.3">
      <c r="A1308">
        <v>4067</v>
      </c>
      <c r="B1308" t="s">
        <v>7427</v>
      </c>
      <c r="C1308" t="str">
        <f>"1100093436102"</f>
        <v>1100093436102</v>
      </c>
      <c r="D1308" t="str">
        <f>"9EDJJ0200"</f>
        <v>9EDJJ0200</v>
      </c>
      <c r="E1308" s="1">
        <v>35431</v>
      </c>
      <c r="F1308" t="s">
        <v>7428</v>
      </c>
      <c r="G1308" t="e">
        <f>INDEX(#REF!,MATCH(P1308,#REF!,0),1)</f>
        <v>#REF!</v>
      </c>
      <c r="H1308" t="s">
        <v>7429</v>
      </c>
      <c r="J1308" t="s">
        <v>5501</v>
      </c>
      <c r="K1308" t="s">
        <v>77</v>
      </c>
      <c r="L1308" t="s">
        <v>7430</v>
      </c>
      <c r="M1308" t="s">
        <v>7431</v>
      </c>
      <c r="N1308">
        <v>9</v>
      </c>
      <c r="O1308" t="s">
        <v>74</v>
      </c>
      <c r="P1308">
        <v>43620</v>
      </c>
      <c r="Q1308" t="s">
        <v>3853</v>
      </c>
      <c r="R1308" t="s">
        <v>2477</v>
      </c>
      <c r="S1308" t="s">
        <v>2478</v>
      </c>
      <c r="T1308" t="s">
        <v>3141</v>
      </c>
      <c r="U1308" t="s">
        <v>3142</v>
      </c>
      <c r="V1308" t="s">
        <v>1824</v>
      </c>
      <c r="AA1308" t="s">
        <v>82</v>
      </c>
      <c r="AE1308" t="s">
        <v>83</v>
      </c>
      <c r="AG1308" t="s">
        <v>48</v>
      </c>
    </row>
    <row r="1309" spans="1:33" x14ac:dyDescent="0.3">
      <c r="A1309">
        <v>4079</v>
      </c>
      <c r="B1309" t="s">
        <v>7432</v>
      </c>
      <c r="C1309" t="str">
        <f>"1100002604165"</f>
        <v>1100002604165</v>
      </c>
      <c r="D1309" t="str">
        <f>"E7ARRP200"</f>
        <v>E7ARRP200</v>
      </c>
      <c r="E1309" s="1">
        <v>35765</v>
      </c>
      <c r="F1309" t="s">
        <v>7433</v>
      </c>
      <c r="G1309" t="e">
        <f>INDEX(#REF!,MATCH(P1309,#REF!,0),1)</f>
        <v>#REF!</v>
      </c>
      <c r="H1309" t="s">
        <v>7434</v>
      </c>
      <c r="J1309" t="s">
        <v>726</v>
      </c>
      <c r="K1309" t="s">
        <v>727</v>
      </c>
      <c r="L1309" t="s">
        <v>7435</v>
      </c>
      <c r="M1309" t="s">
        <v>7436</v>
      </c>
      <c r="N1309">
        <v>908</v>
      </c>
      <c r="O1309" t="s">
        <v>730</v>
      </c>
      <c r="P1309">
        <v>26846</v>
      </c>
      <c r="Q1309" t="s">
        <v>4530</v>
      </c>
      <c r="R1309" t="s">
        <v>3139</v>
      </c>
      <c r="S1309" t="s">
        <v>3140</v>
      </c>
      <c r="T1309" t="s">
        <v>2277</v>
      </c>
      <c r="U1309" t="s">
        <v>2278</v>
      </c>
      <c r="V1309" t="s">
        <v>1824</v>
      </c>
      <c r="AA1309" t="s">
        <v>327</v>
      </c>
      <c r="AD1309" t="s">
        <v>94</v>
      </c>
      <c r="AE1309" t="s">
        <v>348</v>
      </c>
    </row>
    <row r="1310" spans="1:33" x14ac:dyDescent="0.3">
      <c r="A1310">
        <v>4085</v>
      </c>
      <c r="B1310" t="s">
        <v>7437</v>
      </c>
      <c r="C1310" t="str">
        <f>""</f>
        <v/>
      </c>
      <c r="D1310" t="str">
        <f>""</f>
        <v/>
      </c>
      <c r="E1310" s="1">
        <v>42917</v>
      </c>
      <c r="F1310" t="s">
        <v>7438</v>
      </c>
      <c r="G1310" t="e">
        <f>INDEX(#REF!,MATCH(P1310,#REF!,0),1)</f>
        <v>#REF!</v>
      </c>
      <c r="H1310" t="s">
        <v>7439</v>
      </c>
      <c r="J1310" t="s">
        <v>7440</v>
      </c>
      <c r="K1310" t="s">
        <v>251</v>
      </c>
      <c r="L1310" t="str">
        <f>"07011"</f>
        <v>07011</v>
      </c>
      <c r="M1310" t="s">
        <v>7441</v>
      </c>
      <c r="N1310">
        <v>4085</v>
      </c>
      <c r="O1310" t="s">
        <v>7438</v>
      </c>
      <c r="P1310">
        <v>4085</v>
      </c>
      <c r="Q1310" t="s">
        <v>7438</v>
      </c>
      <c r="R1310" t="s">
        <v>7442</v>
      </c>
      <c r="S1310" t="s">
        <v>7443</v>
      </c>
      <c r="T1310" t="s">
        <v>2214</v>
      </c>
      <c r="U1310" t="s">
        <v>2214</v>
      </c>
    </row>
    <row r="1311" spans="1:33" x14ac:dyDescent="0.3">
      <c r="A1311">
        <v>4086</v>
      </c>
      <c r="B1311" t="s">
        <v>7444</v>
      </c>
      <c r="C1311" t="str">
        <f>"1100097909329"</f>
        <v>1100097909329</v>
      </c>
      <c r="D1311" t="str">
        <f>"220120700"</f>
        <v>220120700</v>
      </c>
      <c r="E1311" s="1">
        <v>42583</v>
      </c>
      <c r="F1311" t="s">
        <v>7445</v>
      </c>
      <c r="G1311" t="e">
        <f>INDEX(#REF!,MATCH(P1311,#REF!,0),1)</f>
        <v>#REF!</v>
      </c>
      <c r="H1311" t="s">
        <v>7446</v>
      </c>
      <c r="J1311" t="s">
        <v>7447</v>
      </c>
      <c r="K1311" t="s">
        <v>251</v>
      </c>
      <c r="L1311" t="str">
        <f>"08015-1705"</f>
        <v>08015-1705</v>
      </c>
      <c r="M1311" t="s">
        <v>7448</v>
      </c>
      <c r="N1311">
        <v>4086</v>
      </c>
      <c r="O1311" t="s">
        <v>7445</v>
      </c>
      <c r="P1311">
        <v>4086</v>
      </c>
      <c r="Q1311" t="s">
        <v>7445</v>
      </c>
      <c r="R1311" t="s">
        <v>254</v>
      </c>
      <c r="S1311" t="s">
        <v>255</v>
      </c>
      <c r="T1311" t="s">
        <v>44</v>
      </c>
      <c r="U1311" t="s">
        <v>45</v>
      </c>
      <c r="Y1311" t="s">
        <v>7449</v>
      </c>
      <c r="Z1311" s="1">
        <v>43983</v>
      </c>
    </row>
    <row r="1312" spans="1:33" x14ac:dyDescent="0.3">
      <c r="A1312">
        <v>4093</v>
      </c>
      <c r="B1312" t="s">
        <v>7450</v>
      </c>
      <c r="C1312" t="str">
        <f>""</f>
        <v/>
      </c>
      <c r="D1312" t="str">
        <f>"230680J00"</f>
        <v>230680J00</v>
      </c>
      <c r="E1312" s="1">
        <v>42583</v>
      </c>
      <c r="F1312" t="s">
        <v>7451</v>
      </c>
      <c r="G1312" t="e">
        <f>INDEX(#REF!,MATCH(P1312,#REF!,0),1)</f>
        <v>#REF!</v>
      </c>
      <c r="H1312" t="s">
        <v>7452</v>
      </c>
      <c r="J1312" t="s">
        <v>7453</v>
      </c>
      <c r="K1312" t="s">
        <v>65</v>
      </c>
      <c r="L1312">
        <v>19408</v>
      </c>
      <c r="M1312" t="s">
        <v>7454</v>
      </c>
      <c r="N1312">
        <v>4093</v>
      </c>
      <c r="O1312" t="s">
        <v>7451</v>
      </c>
      <c r="P1312">
        <v>4093</v>
      </c>
      <c r="Q1312" t="s">
        <v>7451</v>
      </c>
      <c r="R1312" t="s">
        <v>254</v>
      </c>
      <c r="S1312" t="s">
        <v>255</v>
      </c>
      <c r="T1312" t="s">
        <v>44</v>
      </c>
      <c r="U1312" t="s">
        <v>45</v>
      </c>
    </row>
    <row r="1313" spans="1:33" x14ac:dyDescent="0.3">
      <c r="A1313">
        <v>4095</v>
      </c>
      <c r="B1313" t="s">
        <v>7455</v>
      </c>
      <c r="C1313" t="str">
        <f>""</f>
        <v/>
      </c>
      <c r="D1313" t="str">
        <f>"343NCGP00"</f>
        <v>343NCGP00</v>
      </c>
      <c r="E1313" s="1">
        <v>39953</v>
      </c>
      <c r="F1313" t="s">
        <v>7456</v>
      </c>
      <c r="G1313" t="e">
        <f>INDEX(#REF!,MATCH(P1313,#REF!,0),1)</f>
        <v>#REF!</v>
      </c>
      <c r="H1313" t="s">
        <v>7457</v>
      </c>
      <c r="J1313" t="s">
        <v>7458</v>
      </c>
      <c r="K1313" t="s">
        <v>251</v>
      </c>
      <c r="L1313" t="str">
        <f>"08210-1415"</f>
        <v>08210-1415</v>
      </c>
      <c r="M1313" t="s">
        <v>7459</v>
      </c>
      <c r="N1313">
        <v>839245</v>
      </c>
      <c r="O1313" t="s">
        <v>7460</v>
      </c>
      <c r="P1313">
        <v>839245</v>
      </c>
      <c r="Q1313" t="s">
        <v>7460</v>
      </c>
      <c r="R1313" t="s">
        <v>6187</v>
      </c>
      <c r="S1313" t="s">
        <v>6188</v>
      </c>
      <c r="T1313" t="s">
        <v>2214</v>
      </c>
      <c r="U1313" t="s">
        <v>2214</v>
      </c>
      <c r="V1313" t="s">
        <v>2215</v>
      </c>
    </row>
    <row r="1314" spans="1:33" x14ac:dyDescent="0.3">
      <c r="A1314">
        <v>4099</v>
      </c>
      <c r="B1314" t="s">
        <v>7461</v>
      </c>
      <c r="C1314" t="str">
        <f>"1100002240516"</f>
        <v>1100002240516</v>
      </c>
      <c r="D1314" t="str">
        <f>"231670J00"</f>
        <v>231670J00</v>
      </c>
      <c r="E1314" s="1">
        <v>42583</v>
      </c>
      <c r="F1314" t="s">
        <v>7462</v>
      </c>
      <c r="G1314" t="e">
        <f>INDEX(#REF!,MATCH(P1314,#REF!,0),1)</f>
        <v>#REF!</v>
      </c>
      <c r="H1314" t="s">
        <v>7463</v>
      </c>
      <c r="J1314" t="s">
        <v>786</v>
      </c>
      <c r="K1314" t="s">
        <v>65</v>
      </c>
      <c r="L1314">
        <v>19141</v>
      </c>
      <c r="M1314" t="s">
        <v>7464</v>
      </c>
      <c r="N1314">
        <v>767149</v>
      </c>
      <c r="O1314" t="s">
        <v>1953</v>
      </c>
      <c r="P1314">
        <v>4330</v>
      </c>
      <c r="Q1314" t="s">
        <v>1954</v>
      </c>
      <c r="R1314" t="s">
        <v>266</v>
      </c>
      <c r="S1314" t="s">
        <v>267</v>
      </c>
      <c r="T1314" t="s">
        <v>44</v>
      </c>
      <c r="U1314" t="s">
        <v>45</v>
      </c>
      <c r="AA1314" t="s">
        <v>105</v>
      </c>
      <c r="AE1314" t="s">
        <v>72</v>
      </c>
      <c r="AG1314" t="s">
        <v>48</v>
      </c>
    </row>
    <row r="1315" spans="1:33" x14ac:dyDescent="0.3">
      <c r="A1315">
        <v>4100</v>
      </c>
      <c r="B1315" t="s">
        <v>7465</v>
      </c>
      <c r="C1315" t="str">
        <f>""</f>
        <v/>
      </c>
      <c r="D1315" t="str">
        <f>"220270D00"</f>
        <v>220270D00</v>
      </c>
      <c r="E1315" s="1">
        <v>42583</v>
      </c>
      <c r="F1315" t="s">
        <v>7466</v>
      </c>
      <c r="G1315" t="e">
        <f>INDEX(#REF!,MATCH(P1315,#REF!,0),1)</f>
        <v>#REF!</v>
      </c>
      <c r="H1315" t="s">
        <v>7467</v>
      </c>
      <c r="J1315" t="s">
        <v>7468</v>
      </c>
      <c r="K1315" t="s">
        <v>251</v>
      </c>
      <c r="L1315" t="str">
        <f>"07201"</f>
        <v>07201</v>
      </c>
      <c r="M1315" t="s">
        <v>7469</v>
      </c>
      <c r="N1315">
        <v>3209841</v>
      </c>
      <c r="O1315" t="s">
        <v>410</v>
      </c>
      <c r="P1315">
        <v>4309</v>
      </c>
      <c r="Q1315" t="s">
        <v>7470</v>
      </c>
      <c r="R1315" t="s">
        <v>411</v>
      </c>
      <c r="S1315" t="s">
        <v>412</v>
      </c>
      <c r="T1315" t="s">
        <v>44</v>
      </c>
      <c r="U1315" t="s">
        <v>45</v>
      </c>
      <c r="Y1315" t="s">
        <v>46</v>
      </c>
      <c r="Z1315" s="1">
        <v>45170</v>
      </c>
      <c r="AE1315" t="s">
        <v>47</v>
      </c>
      <c r="AG1315" t="s">
        <v>48</v>
      </c>
    </row>
    <row r="1316" spans="1:33" x14ac:dyDescent="0.3">
      <c r="A1316">
        <v>4102</v>
      </c>
      <c r="B1316" t="s">
        <v>7471</v>
      </c>
      <c r="C1316" t="str">
        <f>""</f>
        <v/>
      </c>
      <c r="D1316" t="str">
        <f>"232590L00"</f>
        <v>232590L00</v>
      </c>
      <c r="E1316" s="1">
        <v>41737</v>
      </c>
      <c r="F1316" t="s">
        <v>7472</v>
      </c>
      <c r="G1316" t="e">
        <f>INDEX(#REF!,MATCH(P1316,#REF!,0),1)</f>
        <v>#REF!</v>
      </c>
      <c r="H1316" t="s">
        <v>7473</v>
      </c>
      <c r="J1316" t="s">
        <v>7474</v>
      </c>
      <c r="K1316" t="s">
        <v>65</v>
      </c>
      <c r="L1316" t="s">
        <v>7475</v>
      </c>
      <c r="M1316" t="s">
        <v>7476</v>
      </c>
      <c r="N1316">
        <v>1077847</v>
      </c>
      <c r="O1316" t="s">
        <v>3597</v>
      </c>
      <c r="P1316">
        <v>34885</v>
      </c>
      <c r="Q1316" t="s">
        <v>7477</v>
      </c>
      <c r="R1316" t="s">
        <v>562</v>
      </c>
      <c r="S1316" t="s">
        <v>563</v>
      </c>
      <c r="T1316" t="s">
        <v>44</v>
      </c>
      <c r="U1316" t="s">
        <v>45</v>
      </c>
      <c r="AA1316" t="s">
        <v>119</v>
      </c>
      <c r="AE1316" t="s">
        <v>564</v>
      </c>
    </row>
    <row r="1317" spans="1:33" x14ac:dyDescent="0.3">
      <c r="A1317">
        <v>4103</v>
      </c>
      <c r="B1317" t="s">
        <v>7478</v>
      </c>
      <c r="C1317" t="str">
        <f>""</f>
        <v/>
      </c>
      <c r="D1317" t="str">
        <f>"220310800"</f>
        <v>220310800</v>
      </c>
      <c r="E1317" s="1">
        <v>42583</v>
      </c>
      <c r="F1317" t="s">
        <v>7479</v>
      </c>
      <c r="G1317" t="e">
        <f>INDEX(#REF!,MATCH(P1317,#REF!,0),1)</f>
        <v>#REF!</v>
      </c>
      <c r="H1317" t="s">
        <v>7480</v>
      </c>
      <c r="J1317" t="s">
        <v>322</v>
      </c>
      <c r="K1317" t="s">
        <v>251</v>
      </c>
      <c r="L1317" t="str">
        <f>"07631"</f>
        <v>07631</v>
      </c>
      <c r="M1317" t="s">
        <v>7481</v>
      </c>
      <c r="N1317">
        <v>4103</v>
      </c>
      <c r="O1317" t="s">
        <v>7479</v>
      </c>
      <c r="P1317">
        <v>4103</v>
      </c>
      <c r="Q1317" t="s">
        <v>7479</v>
      </c>
      <c r="R1317" t="s">
        <v>411</v>
      </c>
      <c r="S1317" t="s">
        <v>412</v>
      </c>
      <c r="T1317" t="s">
        <v>44</v>
      </c>
      <c r="U1317" t="s">
        <v>45</v>
      </c>
      <c r="Y1317" t="s">
        <v>1317</v>
      </c>
      <c r="Z1317" s="1">
        <v>45839</v>
      </c>
      <c r="AA1317" t="s">
        <v>337</v>
      </c>
      <c r="AD1317" t="s">
        <v>94</v>
      </c>
      <c r="AE1317" t="s">
        <v>564</v>
      </c>
    </row>
    <row r="1318" spans="1:33" x14ac:dyDescent="0.3">
      <c r="A1318">
        <v>4106</v>
      </c>
      <c r="B1318" t="s">
        <v>7482</v>
      </c>
      <c r="C1318" t="str">
        <f>"1100002542146"</f>
        <v>1100002542146</v>
      </c>
      <c r="D1318" t="str">
        <f>"220170C00"</f>
        <v>220170C00</v>
      </c>
      <c r="E1318" s="1">
        <v>42583</v>
      </c>
      <c r="F1318" t="s">
        <v>7483</v>
      </c>
      <c r="G1318" t="e">
        <f>INDEX(#REF!,MATCH(P1318,#REF!,0),1)</f>
        <v>#REF!</v>
      </c>
      <c r="H1318" t="s">
        <v>7484</v>
      </c>
      <c r="J1318" t="s">
        <v>7485</v>
      </c>
      <c r="K1318" t="s">
        <v>251</v>
      </c>
      <c r="L1318" t="str">
        <f>"07009"</f>
        <v>07009</v>
      </c>
      <c r="M1318" t="s">
        <v>7486</v>
      </c>
      <c r="N1318">
        <v>4106</v>
      </c>
      <c r="O1318" t="s">
        <v>7483</v>
      </c>
      <c r="P1318">
        <v>4106</v>
      </c>
      <c r="Q1318" t="s">
        <v>7483</v>
      </c>
      <c r="R1318" t="s">
        <v>245</v>
      </c>
      <c r="S1318" t="s">
        <v>246</v>
      </c>
      <c r="T1318" t="s">
        <v>44</v>
      </c>
      <c r="U1318" t="s">
        <v>45</v>
      </c>
    </row>
    <row r="1319" spans="1:33" x14ac:dyDescent="0.3">
      <c r="A1319">
        <v>4109</v>
      </c>
      <c r="B1319" t="s">
        <v>7487</v>
      </c>
      <c r="C1319" t="str">
        <f>""</f>
        <v/>
      </c>
      <c r="D1319" t="str">
        <f>"220980L00"</f>
        <v>220980L00</v>
      </c>
      <c r="E1319" s="1">
        <v>42583</v>
      </c>
      <c r="F1319" t="s">
        <v>7488</v>
      </c>
      <c r="G1319" t="e">
        <f>INDEX(#REF!,MATCH(P1319,#REF!,0),1)</f>
        <v>#REF!</v>
      </c>
      <c r="H1319" t="s">
        <v>7489</v>
      </c>
      <c r="I1319" t="s">
        <v>7490</v>
      </c>
      <c r="J1319" t="s">
        <v>7491</v>
      </c>
      <c r="K1319" t="s">
        <v>251</v>
      </c>
      <c r="L1319" t="str">
        <f>"08724"</f>
        <v>08724</v>
      </c>
      <c r="M1319" t="s">
        <v>7492</v>
      </c>
      <c r="N1319">
        <v>35683</v>
      </c>
      <c r="O1319" t="s">
        <v>931</v>
      </c>
      <c r="P1319">
        <v>35683</v>
      </c>
      <c r="Q1319" t="s">
        <v>931</v>
      </c>
      <c r="R1319" t="s">
        <v>254</v>
      </c>
      <c r="S1319" t="s">
        <v>255</v>
      </c>
      <c r="T1319" t="s">
        <v>44</v>
      </c>
      <c r="U1319" t="s">
        <v>45</v>
      </c>
    </row>
    <row r="1320" spans="1:33" x14ac:dyDescent="0.3">
      <c r="A1320">
        <v>4115</v>
      </c>
      <c r="B1320" t="s">
        <v>7493</v>
      </c>
      <c r="C1320" t="str">
        <f>"1100002218867"</f>
        <v>1100002218867</v>
      </c>
      <c r="D1320" t="str">
        <f>"230610C00"</f>
        <v>230610C00</v>
      </c>
      <c r="E1320" s="1">
        <v>42583</v>
      </c>
      <c r="F1320" t="s">
        <v>7494</v>
      </c>
      <c r="G1320" t="e">
        <f>INDEX(#REF!,MATCH(P1320,#REF!,0),1)</f>
        <v>#REF!</v>
      </c>
      <c r="H1320" t="s">
        <v>7495</v>
      </c>
      <c r="J1320" t="s">
        <v>7496</v>
      </c>
      <c r="K1320" t="s">
        <v>65</v>
      </c>
      <c r="L1320">
        <v>19023</v>
      </c>
      <c r="M1320" t="s">
        <v>7497</v>
      </c>
      <c r="N1320">
        <v>64464</v>
      </c>
      <c r="O1320" t="s">
        <v>7498</v>
      </c>
      <c r="P1320">
        <v>64464</v>
      </c>
      <c r="Q1320" t="s">
        <v>7498</v>
      </c>
      <c r="R1320" t="s">
        <v>254</v>
      </c>
      <c r="S1320" t="s">
        <v>255</v>
      </c>
      <c r="T1320" t="s">
        <v>44</v>
      </c>
      <c r="U1320" t="s">
        <v>45</v>
      </c>
    </row>
    <row r="1321" spans="1:33" x14ac:dyDescent="0.3">
      <c r="A1321">
        <v>4116</v>
      </c>
      <c r="B1321" t="s">
        <v>7499</v>
      </c>
      <c r="C1321" t="str">
        <f>""</f>
        <v/>
      </c>
      <c r="D1321" t="str">
        <f>"140360E00"</f>
        <v>140360E00</v>
      </c>
      <c r="E1321" s="1">
        <v>42583</v>
      </c>
      <c r="F1321" t="s">
        <v>7500</v>
      </c>
      <c r="G1321" t="e">
        <f>INDEX(#REF!,MATCH(P1321,#REF!,0),1)</f>
        <v>#REF!</v>
      </c>
      <c r="H1321" t="s">
        <v>7501</v>
      </c>
      <c r="J1321" t="s">
        <v>7502</v>
      </c>
      <c r="K1321" t="s">
        <v>2004</v>
      </c>
      <c r="L1321" t="str">
        <f>"02135"</f>
        <v>02135</v>
      </c>
      <c r="M1321" t="s">
        <v>7503</v>
      </c>
      <c r="N1321">
        <v>4116</v>
      </c>
      <c r="O1321" t="s">
        <v>7500</v>
      </c>
      <c r="P1321">
        <v>4116</v>
      </c>
      <c r="Q1321" t="s">
        <v>7500</v>
      </c>
      <c r="R1321" t="s">
        <v>245</v>
      </c>
      <c r="S1321" t="s">
        <v>246</v>
      </c>
      <c r="T1321" t="s">
        <v>44</v>
      </c>
      <c r="U1321" t="s">
        <v>288</v>
      </c>
    </row>
    <row r="1322" spans="1:33" x14ac:dyDescent="0.3">
      <c r="A1322">
        <v>4119</v>
      </c>
      <c r="B1322" t="s">
        <v>7504</v>
      </c>
      <c r="C1322" t="str">
        <f>""</f>
        <v/>
      </c>
      <c r="D1322" t="str">
        <f>"34GDF6L00"</f>
        <v>34GDF6L00</v>
      </c>
      <c r="E1322" s="1">
        <v>42917</v>
      </c>
      <c r="F1322" t="s">
        <v>7505</v>
      </c>
      <c r="G1322" t="e">
        <f>INDEX(#REF!,MATCH(P1322,#REF!,0),1)</f>
        <v>#REF!</v>
      </c>
      <c r="H1322" t="s">
        <v>7506</v>
      </c>
      <c r="J1322" t="s">
        <v>7507</v>
      </c>
      <c r="K1322" t="s">
        <v>251</v>
      </c>
      <c r="L1322" t="str">
        <f>"08823"</f>
        <v>08823</v>
      </c>
      <c r="M1322" t="s">
        <v>7508</v>
      </c>
      <c r="N1322">
        <v>4119</v>
      </c>
      <c r="O1322" t="s">
        <v>7505</v>
      </c>
      <c r="P1322">
        <v>4119</v>
      </c>
      <c r="Q1322" t="s">
        <v>7505</v>
      </c>
      <c r="R1322" t="s">
        <v>7442</v>
      </c>
      <c r="S1322" t="s">
        <v>7443</v>
      </c>
      <c r="T1322" t="s">
        <v>2214</v>
      </c>
      <c r="U1322" t="s">
        <v>2214</v>
      </c>
    </row>
    <row r="1323" spans="1:33" x14ac:dyDescent="0.3">
      <c r="A1323">
        <v>4122</v>
      </c>
      <c r="B1323" t="s">
        <v>7509</v>
      </c>
      <c r="C1323" t="str">
        <f>""</f>
        <v/>
      </c>
      <c r="D1323" t="str">
        <f>"231780L00"</f>
        <v>231780L00</v>
      </c>
      <c r="E1323" s="1">
        <v>42583</v>
      </c>
      <c r="F1323" t="s">
        <v>7510</v>
      </c>
      <c r="G1323" t="e">
        <f>INDEX(#REF!,MATCH(P1323,#REF!,0),1)</f>
        <v>#REF!</v>
      </c>
      <c r="H1323" t="s">
        <v>7511</v>
      </c>
      <c r="J1323" t="s">
        <v>786</v>
      </c>
      <c r="K1323" t="s">
        <v>65</v>
      </c>
      <c r="L1323" t="s">
        <v>7512</v>
      </c>
      <c r="M1323" t="s">
        <v>7513</v>
      </c>
      <c r="N1323">
        <v>4122</v>
      </c>
      <c r="O1323" t="s">
        <v>7510</v>
      </c>
      <c r="P1323">
        <v>4122</v>
      </c>
      <c r="Q1323" t="s">
        <v>7510</v>
      </c>
      <c r="R1323" t="s">
        <v>254</v>
      </c>
      <c r="S1323" t="s">
        <v>255</v>
      </c>
      <c r="T1323" t="s">
        <v>44</v>
      </c>
      <c r="U1323" t="s">
        <v>1823</v>
      </c>
    </row>
    <row r="1324" spans="1:33" x14ac:dyDescent="0.3">
      <c r="A1324">
        <v>4123</v>
      </c>
      <c r="B1324" t="s">
        <v>7514</v>
      </c>
      <c r="C1324" t="str">
        <f>""</f>
        <v/>
      </c>
      <c r="D1324" t="str">
        <f>"231340D00"</f>
        <v>231340D00</v>
      </c>
      <c r="E1324" s="1">
        <v>42583</v>
      </c>
      <c r="F1324" t="s">
        <v>7515</v>
      </c>
      <c r="G1324" t="e">
        <f>INDEX(#REF!,MATCH(P1324,#REF!,0),1)</f>
        <v>#REF!</v>
      </c>
      <c r="H1324" t="s">
        <v>7516</v>
      </c>
      <c r="J1324" t="s">
        <v>7517</v>
      </c>
      <c r="K1324" t="s">
        <v>65</v>
      </c>
      <c r="L1324">
        <v>17233</v>
      </c>
      <c r="M1324" t="s">
        <v>7518</v>
      </c>
      <c r="N1324">
        <v>4123</v>
      </c>
      <c r="O1324" t="s">
        <v>7515</v>
      </c>
      <c r="P1324">
        <v>4123</v>
      </c>
      <c r="Q1324" t="s">
        <v>7515</v>
      </c>
      <c r="R1324" t="s">
        <v>254</v>
      </c>
      <c r="S1324" t="s">
        <v>255</v>
      </c>
      <c r="T1324" t="s">
        <v>44</v>
      </c>
      <c r="U1324" t="s">
        <v>45</v>
      </c>
    </row>
    <row r="1325" spans="1:33" x14ac:dyDescent="0.3">
      <c r="A1325">
        <v>4125</v>
      </c>
      <c r="B1325" t="s">
        <v>7519</v>
      </c>
      <c r="C1325" t="str">
        <f>"1100004348319"</f>
        <v>1100004348319</v>
      </c>
      <c r="D1325" t="str">
        <f>"6HK7P3600"</f>
        <v>6HK7P3600</v>
      </c>
      <c r="E1325" s="1">
        <v>42583</v>
      </c>
      <c r="F1325" t="s">
        <v>7520</v>
      </c>
      <c r="G1325" t="e">
        <f>INDEX(#REF!,MATCH(P1325,#REF!,0),1)</f>
        <v>#REF!</v>
      </c>
      <c r="H1325" t="s">
        <v>7521</v>
      </c>
      <c r="J1325" t="s">
        <v>483</v>
      </c>
      <c r="K1325" t="s">
        <v>65</v>
      </c>
      <c r="L1325" t="s">
        <v>7522</v>
      </c>
      <c r="M1325" t="s">
        <v>7523</v>
      </c>
      <c r="N1325">
        <v>2472612</v>
      </c>
      <c r="O1325" t="s">
        <v>2340</v>
      </c>
      <c r="P1325">
        <v>31304</v>
      </c>
      <c r="Q1325" t="s">
        <v>2522</v>
      </c>
      <c r="R1325" t="s">
        <v>2523</v>
      </c>
      <c r="S1325" t="s">
        <v>2524</v>
      </c>
      <c r="T1325" t="s">
        <v>44</v>
      </c>
      <c r="U1325" t="s">
        <v>45</v>
      </c>
      <c r="Y1325" t="s">
        <v>46</v>
      </c>
      <c r="Z1325" s="1">
        <v>44621</v>
      </c>
      <c r="AE1325" t="s">
        <v>47</v>
      </c>
      <c r="AG1325" t="s">
        <v>48</v>
      </c>
    </row>
    <row r="1326" spans="1:33" x14ac:dyDescent="0.3">
      <c r="A1326">
        <v>4127</v>
      </c>
      <c r="B1326" t="s">
        <v>7524</v>
      </c>
      <c r="C1326" t="str">
        <f>"1100005700116"</f>
        <v>1100005700116</v>
      </c>
      <c r="D1326" t="str">
        <f>"233140D00"</f>
        <v>233140D00</v>
      </c>
      <c r="E1326" s="1">
        <v>42583</v>
      </c>
      <c r="F1326" t="s">
        <v>7525</v>
      </c>
      <c r="G1326" t="e">
        <f>INDEX(#REF!,MATCH(P1326,#REF!,0),1)</f>
        <v>#REF!</v>
      </c>
      <c r="H1326" t="s">
        <v>7526</v>
      </c>
      <c r="J1326" t="s">
        <v>7527</v>
      </c>
      <c r="K1326" t="s">
        <v>65</v>
      </c>
      <c r="L1326" t="s">
        <v>7528</v>
      </c>
      <c r="M1326" t="s">
        <v>7529</v>
      </c>
      <c r="N1326">
        <v>2472612</v>
      </c>
      <c r="O1326" t="s">
        <v>2340</v>
      </c>
      <c r="P1326">
        <v>31304</v>
      </c>
      <c r="Q1326" t="s">
        <v>2522</v>
      </c>
      <c r="R1326" t="s">
        <v>2523</v>
      </c>
      <c r="S1326" t="s">
        <v>2524</v>
      </c>
      <c r="T1326" t="s">
        <v>44</v>
      </c>
      <c r="U1326" t="s">
        <v>45</v>
      </c>
      <c r="Y1326" t="s">
        <v>46</v>
      </c>
      <c r="Z1326" s="1">
        <v>44621</v>
      </c>
      <c r="AE1326" t="s">
        <v>47</v>
      </c>
    </row>
    <row r="1327" spans="1:33" x14ac:dyDescent="0.3">
      <c r="A1327">
        <v>4129</v>
      </c>
      <c r="B1327" t="s">
        <v>7530</v>
      </c>
      <c r="C1327" t="str">
        <f>""</f>
        <v/>
      </c>
      <c r="D1327" t="str">
        <f>"231790M00"</f>
        <v>231790M00</v>
      </c>
      <c r="E1327" s="1">
        <v>42583</v>
      </c>
      <c r="F1327" t="s">
        <v>7531</v>
      </c>
      <c r="G1327" t="e">
        <f>INDEX(#REF!,MATCH(P1327,#REF!,0),1)</f>
        <v>#REF!</v>
      </c>
      <c r="H1327" t="s">
        <v>7532</v>
      </c>
      <c r="J1327" t="s">
        <v>786</v>
      </c>
      <c r="K1327" t="s">
        <v>65</v>
      </c>
      <c r="L1327">
        <v>19144</v>
      </c>
      <c r="M1327" t="s">
        <v>7533</v>
      </c>
      <c r="N1327">
        <v>767149</v>
      </c>
      <c r="O1327" t="s">
        <v>1953</v>
      </c>
      <c r="P1327">
        <v>964490</v>
      </c>
      <c r="Q1327" t="s">
        <v>7534</v>
      </c>
      <c r="R1327" t="s">
        <v>266</v>
      </c>
      <c r="S1327" t="s">
        <v>267</v>
      </c>
      <c r="T1327" t="s">
        <v>44</v>
      </c>
      <c r="U1327" t="s">
        <v>45</v>
      </c>
      <c r="AA1327" t="s">
        <v>105</v>
      </c>
      <c r="AE1327" t="s">
        <v>72</v>
      </c>
      <c r="AG1327" t="s">
        <v>48</v>
      </c>
    </row>
    <row r="1328" spans="1:33" x14ac:dyDescent="0.3">
      <c r="A1328">
        <v>4135</v>
      </c>
      <c r="B1328" t="s">
        <v>7535</v>
      </c>
      <c r="C1328" t="str">
        <f>""</f>
        <v/>
      </c>
      <c r="D1328" t="str">
        <f>"230090E00"</f>
        <v>230090E00</v>
      </c>
      <c r="E1328" s="1">
        <v>42583</v>
      </c>
      <c r="F1328" t="s">
        <v>7536</v>
      </c>
      <c r="G1328" t="e">
        <f>INDEX(#REF!,MATCH(P1328,#REF!,0),1)</f>
        <v>#REF!</v>
      </c>
      <c r="H1328" t="s">
        <v>7537</v>
      </c>
      <c r="I1328" t="s">
        <v>7538</v>
      </c>
      <c r="J1328" t="s">
        <v>2716</v>
      </c>
      <c r="K1328" t="s">
        <v>65</v>
      </c>
      <c r="L1328">
        <v>18103</v>
      </c>
      <c r="M1328" t="s">
        <v>7539</v>
      </c>
      <c r="N1328">
        <v>51565</v>
      </c>
      <c r="O1328" t="s">
        <v>5011</v>
      </c>
      <c r="P1328">
        <v>51565</v>
      </c>
      <c r="Q1328" t="s">
        <v>5011</v>
      </c>
      <c r="R1328" t="s">
        <v>254</v>
      </c>
      <c r="S1328" t="s">
        <v>255</v>
      </c>
      <c r="T1328" t="s">
        <v>44</v>
      </c>
      <c r="U1328" t="s">
        <v>45</v>
      </c>
      <c r="AA1328" t="s">
        <v>328</v>
      </c>
    </row>
    <row r="1329" spans="1:33" x14ac:dyDescent="0.3">
      <c r="A1329">
        <v>4138</v>
      </c>
      <c r="B1329" t="s">
        <v>7540</v>
      </c>
      <c r="C1329" t="str">
        <f>"1100003421631"</f>
        <v>1100003421631</v>
      </c>
      <c r="D1329" t="str">
        <f>"34332JY00"</f>
        <v>34332JY00</v>
      </c>
      <c r="E1329" s="1">
        <v>35309</v>
      </c>
      <c r="F1329" t="s">
        <v>7541</v>
      </c>
      <c r="G1329" t="e">
        <f>INDEX(#REF!,MATCH(P1329,#REF!,0),1)</f>
        <v>#REF!</v>
      </c>
      <c r="H1329" t="s">
        <v>7542</v>
      </c>
      <c r="J1329" t="s">
        <v>7543</v>
      </c>
      <c r="K1329" t="s">
        <v>251</v>
      </c>
      <c r="L1329" t="str">
        <f>"08812"</f>
        <v>08812</v>
      </c>
      <c r="M1329" t="s">
        <v>7544</v>
      </c>
      <c r="N1329">
        <v>2606322</v>
      </c>
      <c r="O1329" t="s">
        <v>7545</v>
      </c>
      <c r="P1329">
        <v>2606322</v>
      </c>
      <c r="Q1329" t="s">
        <v>7545</v>
      </c>
      <c r="R1329" t="s">
        <v>7384</v>
      </c>
      <c r="S1329" t="s">
        <v>7385</v>
      </c>
      <c r="T1329" t="s">
        <v>2214</v>
      </c>
      <c r="U1329" t="s">
        <v>2214</v>
      </c>
      <c r="V1329" t="s">
        <v>2215</v>
      </c>
      <c r="AF1329" t="s">
        <v>7546</v>
      </c>
    </row>
    <row r="1330" spans="1:33" x14ac:dyDescent="0.3">
      <c r="A1330">
        <v>4139</v>
      </c>
      <c r="B1330" t="s">
        <v>7547</v>
      </c>
      <c r="C1330" t="str">
        <f>"1100004428677"</f>
        <v>1100004428677</v>
      </c>
      <c r="D1330" t="str">
        <f>"342YWEH00"</f>
        <v>342YWEH00</v>
      </c>
      <c r="E1330" s="1">
        <v>44518</v>
      </c>
      <c r="F1330" t="s">
        <v>7548</v>
      </c>
      <c r="G1330" t="e">
        <f>INDEX(#REF!,MATCH(P1330,#REF!,0),1)</f>
        <v>#REF!</v>
      </c>
      <c r="H1330" t="s">
        <v>7549</v>
      </c>
      <c r="J1330" t="s">
        <v>7550</v>
      </c>
      <c r="K1330" t="s">
        <v>251</v>
      </c>
      <c r="L1330" t="str">
        <f>"08628"</f>
        <v>08628</v>
      </c>
      <c r="M1330" t="s">
        <v>7551</v>
      </c>
      <c r="N1330">
        <v>4139</v>
      </c>
      <c r="O1330" t="s">
        <v>7548</v>
      </c>
      <c r="P1330">
        <v>4139</v>
      </c>
      <c r="Q1330" t="s">
        <v>7548</v>
      </c>
      <c r="R1330" t="s">
        <v>7384</v>
      </c>
      <c r="S1330" t="s">
        <v>7385</v>
      </c>
      <c r="T1330" t="s">
        <v>2214</v>
      </c>
      <c r="U1330" t="s">
        <v>2214</v>
      </c>
      <c r="V1330" t="s">
        <v>2215</v>
      </c>
      <c r="AF1330" t="s">
        <v>7552</v>
      </c>
    </row>
    <row r="1331" spans="1:33" x14ac:dyDescent="0.3">
      <c r="A1331">
        <v>4140</v>
      </c>
      <c r="B1331" t="s">
        <v>7553</v>
      </c>
      <c r="C1331" t="str">
        <f>""</f>
        <v/>
      </c>
      <c r="D1331" t="str">
        <f>"220370E00"</f>
        <v>220370E00</v>
      </c>
      <c r="E1331" s="1">
        <v>42583</v>
      </c>
      <c r="F1331" t="s">
        <v>7554</v>
      </c>
      <c r="G1331" t="e">
        <f>INDEX(#REF!,MATCH(P1331,#REF!,0),1)</f>
        <v>#REF!</v>
      </c>
      <c r="H1331" t="s">
        <v>7555</v>
      </c>
      <c r="J1331" t="s">
        <v>7556</v>
      </c>
      <c r="K1331" t="s">
        <v>251</v>
      </c>
      <c r="L1331" t="str">
        <f>"07950"</f>
        <v>07950</v>
      </c>
      <c r="M1331" t="s">
        <v>7557</v>
      </c>
      <c r="N1331">
        <v>4140</v>
      </c>
      <c r="O1331" t="s">
        <v>7554</v>
      </c>
      <c r="P1331">
        <v>4140</v>
      </c>
      <c r="Q1331" t="s">
        <v>7554</v>
      </c>
      <c r="R1331" t="s">
        <v>245</v>
      </c>
      <c r="S1331" t="s">
        <v>246</v>
      </c>
      <c r="T1331" t="s">
        <v>44</v>
      </c>
      <c r="U1331" t="s">
        <v>1823</v>
      </c>
    </row>
    <row r="1332" spans="1:33" x14ac:dyDescent="0.3">
      <c r="A1332">
        <v>4142</v>
      </c>
      <c r="B1332" t="s">
        <v>7558</v>
      </c>
      <c r="C1332" t="str">
        <f>"1100003764783"</f>
        <v>1100003764783</v>
      </c>
      <c r="D1332" t="str">
        <f>"220380F00"</f>
        <v>220380F00</v>
      </c>
      <c r="E1332" s="1">
        <v>42583</v>
      </c>
      <c r="F1332" t="s">
        <v>7559</v>
      </c>
      <c r="G1332" t="e">
        <f>INDEX(#REF!,MATCH(P1332,#REF!,0),1)</f>
        <v>#REF!</v>
      </c>
      <c r="H1332" t="s">
        <v>7560</v>
      </c>
      <c r="J1332" t="s">
        <v>7561</v>
      </c>
      <c r="K1332" t="s">
        <v>251</v>
      </c>
      <c r="L1332" t="str">
        <f>"07601"</f>
        <v>07601</v>
      </c>
      <c r="M1332" t="s">
        <v>7562</v>
      </c>
      <c r="N1332">
        <v>35683</v>
      </c>
      <c r="O1332" t="s">
        <v>931</v>
      </c>
      <c r="P1332">
        <v>35683</v>
      </c>
      <c r="Q1332" t="s">
        <v>931</v>
      </c>
      <c r="R1332" t="s">
        <v>254</v>
      </c>
      <c r="S1332" t="s">
        <v>255</v>
      </c>
      <c r="T1332" t="s">
        <v>44</v>
      </c>
      <c r="U1332" t="s">
        <v>45</v>
      </c>
    </row>
    <row r="1333" spans="1:33" x14ac:dyDescent="0.3">
      <c r="A1333">
        <v>4144</v>
      </c>
      <c r="B1333" t="s">
        <v>7563</v>
      </c>
      <c r="C1333" t="str">
        <f>"1100004263377"</f>
        <v>1100004263377</v>
      </c>
      <c r="D1333" t="str">
        <f>"348GA9E00"</f>
        <v>348GA9E00</v>
      </c>
      <c r="E1333" s="1">
        <v>39953</v>
      </c>
      <c r="F1333" t="s">
        <v>7564</v>
      </c>
      <c r="G1333" t="e">
        <f>INDEX(#REF!,MATCH(P1333,#REF!,0),1)</f>
        <v>#REF!</v>
      </c>
      <c r="H1333" t="s">
        <v>7565</v>
      </c>
      <c r="J1333" t="s">
        <v>1314</v>
      </c>
      <c r="K1333" t="s">
        <v>251</v>
      </c>
      <c r="L1333" t="str">
        <f>"08690"</f>
        <v>08690</v>
      </c>
      <c r="M1333" t="s">
        <v>7566</v>
      </c>
      <c r="N1333">
        <v>4144</v>
      </c>
      <c r="O1333" t="s">
        <v>7564</v>
      </c>
      <c r="P1333">
        <v>4144</v>
      </c>
      <c r="Q1333" t="s">
        <v>7564</v>
      </c>
      <c r="R1333" t="s">
        <v>7384</v>
      </c>
      <c r="S1333" t="s">
        <v>7385</v>
      </c>
      <c r="T1333" t="s">
        <v>2214</v>
      </c>
      <c r="U1333" t="s">
        <v>2214</v>
      </c>
      <c r="V1333" t="s">
        <v>2215</v>
      </c>
      <c r="AF1333" t="s">
        <v>7552</v>
      </c>
    </row>
    <row r="1334" spans="1:33" x14ac:dyDescent="0.3">
      <c r="A1334">
        <v>4145</v>
      </c>
      <c r="B1334" t="s">
        <v>7567</v>
      </c>
      <c r="C1334" t="str">
        <f>""</f>
        <v/>
      </c>
      <c r="D1334" t="str">
        <f>"34FUVNY00"</f>
        <v>34FUVNY00</v>
      </c>
      <c r="E1334" s="1">
        <v>42917</v>
      </c>
      <c r="F1334" t="s">
        <v>7568</v>
      </c>
      <c r="G1334" t="e">
        <f>INDEX(#REF!,MATCH(P1334,#REF!,0),1)</f>
        <v>#REF!</v>
      </c>
      <c r="H1334" t="s">
        <v>7569</v>
      </c>
      <c r="J1334" t="s">
        <v>7570</v>
      </c>
      <c r="K1334" t="s">
        <v>251</v>
      </c>
      <c r="L1334" t="str">
        <f>"07055"</f>
        <v>07055</v>
      </c>
      <c r="M1334" t="s">
        <v>7571</v>
      </c>
      <c r="N1334">
        <v>4145</v>
      </c>
      <c r="O1334" t="s">
        <v>7568</v>
      </c>
      <c r="P1334">
        <v>4145</v>
      </c>
      <c r="Q1334" t="s">
        <v>7568</v>
      </c>
      <c r="R1334" t="s">
        <v>7442</v>
      </c>
      <c r="S1334" t="s">
        <v>7443</v>
      </c>
      <c r="T1334" t="s">
        <v>2214</v>
      </c>
      <c r="U1334" t="s">
        <v>2214</v>
      </c>
    </row>
    <row r="1335" spans="1:33" x14ac:dyDescent="0.3">
      <c r="A1335">
        <v>4146</v>
      </c>
      <c r="B1335" t="s">
        <v>7572</v>
      </c>
      <c r="C1335" t="str">
        <f>"1100003292514"</f>
        <v>1100003292514</v>
      </c>
      <c r="D1335" t="str">
        <f>"221050A00"</f>
        <v>221050A00</v>
      </c>
      <c r="E1335" s="1">
        <v>42583</v>
      </c>
      <c r="F1335" t="s">
        <v>7573</v>
      </c>
      <c r="G1335" t="e">
        <f>INDEX(#REF!,MATCH(P1335,#REF!,0),1)</f>
        <v>#REF!</v>
      </c>
      <c r="H1335" t="s">
        <v>7574</v>
      </c>
      <c r="I1335" t="s">
        <v>7575</v>
      </c>
      <c r="J1335" t="s">
        <v>7576</v>
      </c>
      <c r="K1335" t="s">
        <v>251</v>
      </c>
      <c r="L1335" t="str">
        <f>"08060"</f>
        <v>08060</v>
      </c>
      <c r="M1335" t="s">
        <v>7577</v>
      </c>
      <c r="N1335">
        <v>4146</v>
      </c>
      <c r="O1335" t="s">
        <v>7573</v>
      </c>
      <c r="P1335">
        <v>4146</v>
      </c>
      <c r="Q1335" t="s">
        <v>7573</v>
      </c>
      <c r="R1335" t="s">
        <v>254</v>
      </c>
      <c r="S1335" t="s">
        <v>255</v>
      </c>
      <c r="T1335" t="s">
        <v>44</v>
      </c>
      <c r="U1335" t="s">
        <v>1823</v>
      </c>
    </row>
    <row r="1336" spans="1:33" x14ac:dyDescent="0.3">
      <c r="A1336">
        <v>4150</v>
      </c>
      <c r="B1336" t="s">
        <v>7578</v>
      </c>
      <c r="C1336" t="str">
        <f>""</f>
        <v/>
      </c>
      <c r="D1336" t="str">
        <f>"34DRQKL00"</f>
        <v>34DRQKL00</v>
      </c>
      <c r="E1336" s="1">
        <v>42614</v>
      </c>
      <c r="F1336" t="s">
        <v>7579</v>
      </c>
      <c r="G1336" t="e">
        <f>INDEX(#REF!,MATCH(P1336,#REF!,0),1)</f>
        <v>#REF!</v>
      </c>
      <c r="H1336" t="s">
        <v>7580</v>
      </c>
      <c r="J1336" t="s">
        <v>4848</v>
      </c>
      <c r="K1336" t="s">
        <v>251</v>
      </c>
      <c r="L1336" t="str">
        <f>"08701"</f>
        <v>08701</v>
      </c>
      <c r="M1336" t="s">
        <v>7581</v>
      </c>
      <c r="N1336">
        <v>4150</v>
      </c>
      <c r="O1336" t="s">
        <v>7579</v>
      </c>
      <c r="P1336">
        <v>4150</v>
      </c>
      <c r="Q1336" t="s">
        <v>7579</v>
      </c>
      <c r="R1336" t="s">
        <v>6187</v>
      </c>
      <c r="S1336" t="s">
        <v>6188</v>
      </c>
      <c r="T1336" t="s">
        <v>2214</v>
      </c>
      <c r="U1336" t="s">
        <v>2214</v>
      </c>
      <c r="V1336" t="s">
        <v>2215</v>
      </c>
    </row>
    <row r="1337" spans="1:33" x14ac:dyDescent="0.3">
      <c r="A1337">
        <v>4153</v>
      </c>
      <c r="B1337" t="s">
        <v>7582</v>
      </c>
      <c r="C1337" t="str">
        <f>""</f>
        <v/>
      </c>
      <c r="D1337" t="str">
        <f>"231000600"</f>
        <v>231000600</v>
      </c>
      <c r="E1337" s="1">
        <v>45021</v>
      </c>
      <c r="F1337" t="s">
        <v>7583</v>
      </c>
      <c r="G1337" t="e">
        <f>INDEX(#REF!,MATCH(P1337,#REF!,0),1)</f>
        <v>#REF!</v>
      </c>
      <c r="H1337" t="s">
        <v>7584</v>
      </c>
      <c r="J1337" t="s">
        <v>3367</v>
      </c>
      <c r="K1337" t="s">
        <v>65</v>
      </c>
      <c r="L1337" t="s">
        <v>7585</v>
      </c>
      <c r="M1337" t="s">
        <v>7586</v>
      </c>
      <c r="N1337">
        <v>767149</v>
      </c>
      <c r="O1337" t="s">
        <v>1953</v>
      </c>
      <c r="P1337">
        <v>6229940</v>
      </c>
      <c r="Q1337" t="s">
        <v>2719</v>
      </c>
      <c r="R1337" t="s">
        <v>266</v>
      </c>
      <c r="S1337" t="s">
        <v>267</v>
      </c>
      <c r="T1337" t="s">
        <v>117</v>
      </c>
      <c r="U1337" t="s">
        <v>2479</v>
      </c>
      <c r="AA1337" t="s">
        <v>105</v>
      </c>
      <c r="AG1337" t="s">
        <v>48</v>
      </c>
    </row>
    <row r="1338" spans="1:33" x14ac:dyDescent="0.3">
      <c r="A1338">
        <v>4154</v>
      </c>
      <c r="B1338" t="s">
        <v>7587</v>
      </c>
      <c r="C1338" t="str">
        <f>""</f>
        <v/>
      </c>
      <c r="D1338" t="str">
        <f>"221230A00"</f>
        <v>221230A00</v>
      </c>
      <c r="E1338" s="1">
        <v>42647</v>
      </c>
      <c r="F1338" t="s">
        <v>7588</v>
      </c>
      <c r="G1338" t="e">
        <f>INDEX(#REF!,MATCH(P1338,#REF!,0),1)</f>
        <v>#REF!</v>
      </c>
      <c r="H1338" t="s">
        <v>7589</v>
      </c>
      <c r="J1338" t="s">
        <v>1828</v>
      </c>
      <c r="K1338" t="s">
        <v>251</v>
      </c>
      <c r="L1338" t="str">
        <f>"08755"</f>
        <v>08755</v>
      </c>
      <c r="M1338" t="s">
        <v>7590</v>
      </c>
      <c r="N1338">
        <v>36643</v>
      </c>
      <c r="O1338" t="s">
        <v>7591</v>
      </c>
      <c r="P1338">
        <v>36643</v>
      </c>
      <c r="Q1338" t="s">
        <v>7591</v>
      </c>
      <c r="R1338" t="s">
        <v>1193</v>
      </c>
      <c r="S1338" t="s">
        <v>1194</v>
      </c>
      <c r="T1338" t="s">
        <v>44</v>
      </c>
      <c r="U1338" t="s">
        <v>717</v>
      </c>
      <c r="AD1338" t="s">
        <v>94</v>
      </c>
    </row>
    <row r="1339" spans="1:33" x14ac:dyDescent="0.3">
      <c r="A1339">
        <v>4157</v>
      </c>
      <c r="B1339" t="s">
        <v>7592</v>
      </c>
      <c r="C1339" t="str">
        <f>""</f>
        <v/>
      </c>
      <c r="D1339" t="str">
        <f>"221240B00"</f>
        <v>221240B00</v>
      </c>
      <c r="E1339" s="1">
        <v>42583</v>
      </c>
      <c r="F1339" t="s">
        <v>7593</v>
      </c>
      <c r="G1339" t="e">
        <f>INDEX(#REF!,MATCH(P1339,#REF!,0),1)</f>
        <v>#REF!</v>
      </c>
      <c r="H1339" t="s">
        <v>7594</v>
      </c>
      <c r="J1339" t="s">
        <v>5175</v>
      </c>
      <c r="K1339" t="s">
        <v>251</v>
      </c>
      <c r="L1339" t="str">
        <f>"08638-4143"</f>
        <v>08638-4143</v>
      </c>
      <c r="M1339" t="s">
        <v>7595</v>
      </c>
      <c r="N1339">
        <v>43716</v>
      </c>
      <c r="O1339" t="s">
        <v>7596</v>
      </c>
      <c r="P1339">
        <v>43716</v>
      </c>
      <c r="Q1339" t="s">
        <v>7596</v>
      </c>
      <c r="R1339" t="s">
        <v>909</v>
      </c>
      <c r="S1339" t="s">
        <v>910</v>
      </c>
      <c r="T1339" t="s">
        <v>44</v>
      </c>
      <c r="U1339" t="s">
        <v>45</v>
      </c>
      <c r="AA1339" t="s">
        <v>58</v>
      </c>
      <c r="AE1339" t="s">
        <v>564</v>
      </c>
    </row>
    <row r="1340" spans="1:33" x14ac:dyDescent="0.3">
      <c r="A1340">
        <v>4158</v>
      </c>
      <c r="B1340" t="s">
        <v>7597</v>
      </c>
      <c r="C1340" t="str">
        <f>""</f>
        <v/>
      </c>
      <c r="D1340" t="str">
        <f>"231010700"</f>
        <v>231010700</v>
      </c>
      <c r="E1340" s="1">
        <v>31778</v>
      </c>
      <c r="F1340" t="s">
        <v>7598</v>
      </c>
      <c r="G1340" t="e">
        <f>INDEX(#REF!,MATCH(P1340,#REF!,0),1)</f>
        <v>#REF!</v>
      </c>
      <c r="H1340" t="s">
        <v>7599</v>
      </c>
      <c r="J1340" t="s">
        <v>7600</v>
      </c>
      <c r="K1340" t="s">
        <v>65</v>
      </c>
      <c r="L1340" t="s">
        <v>7601</v>
      </c>
      <c r="M1340" t="s">
        <v>7602</v>
      </c>
      <c r="N1340">
        <v>2603008</v>
      </c>
      <c r="O1340" t="s">
        <v>3927</v>
      </c>
      <c r="P1340">
        <v>2603008</v>
      </c>
      <c r="Q1340" t="s">
        <v>3927</v>
      </c>
      <c r="R1340" t="s">
        <v>1753</v>
      </c>
      <c r="S1340" t="s">
        <v>1754</v>
      </c>
      <c r="T1340" t="s">
        <v>44</v>
      </c>
      <c r="U1340" t="s">
        <v>45</v>
      </c>
      <c r="AA1340" t="s">
        <v>119</v>
      </c>
      <c r="AE1340" t="s">
        <v>564</v>
      </c>
      <c r="AG1340" t="s">
        <v>48</v>
      </c>
    </row>
    <row r="1341" spans="1:33" x14ac:dyDescent="0.3">
      <c r="A1341">
        <v>4159</v>
      </c>
      <c r="B1341" t="s">
        <v>7603</v>
      </c>
      <c r="C1341" t="str">
        <f>"1100094074822"</f>
        <v>1100094074822</v>
      </c>
      <c r="D1341" t="str">
        <f>"140690K00"</f>
        <v>140690K00</v>
      </c>
      <c r="E1341" s="1">
        <v>35916</v>
      </c>
      <c r="F1341" t="s">
        <v>7604</v>
      </c>
      <c r="G1341" t="e">
        <f>INDEX(#REF!,MATCH(P1341,#REF!,0),1)</f>
        <v>#REF!</v>
      </c>
      <c r="H1341" t="s">
        <v>7605</v>
      </c>
      <c r="J1341" t="s">
        <v>7606</v>
      </c>
      <c r="K1341" t="s">
        <v>2004</v>
      </c>
      <c r="L1341" t="str">
        <f>"01440-1373"</f>
        <v>01440-1373</v>
      </c>
      <c r="M1341" t="s">
        <v>7607</v>
      </c>
      <c r="N1341">
        <v>1079149</v>
      </c>
      <c r="O1341" t="s">
        <v>7608</v>
      </c>
      <c r="P1341">
        <v>1079149</v>
      </c>
      <c r="Q1341" t="s">
        <v>7608</v>
      </c>
      <c r="R1341" t="s">
        <v>1301</v>
      </c>
      <c r="S1341" t="s">
        <v>1302</v>
      </c>
      <c r="T1341" t="s">
        <v>44</v>
      </c>
      <c r="U1341" t="s">
        <v>45</v>
      </c>
      <c r="AA1341" t="s">
        <v>58</v>
      </c>
      <c r="AE1341" t="s">
        <v>72</v>
      </c>
    </row>
    <row r="1342" spans="1:33" x14ac:dyDescent="0.3">
      <c r="A1342">
        <v>4160</v>
      </c>
      <c r="B1342" t="s">
        <v>7609</v>
      </c>
      <c r="C1342" t="str">
        <f>""</f>
        <v/>
      </c>
      <c r="D1342" t="str">
        <f>"34602GV00"</f>
        <v>34602GV00</v>
      </c>
      <c r="E1342" s="1">
        <v>42614</v>
      </c>
      <c r="F1342" t="s">
        <v>7610</v>
      </c>
      <c r="G1342" t="e">
        <f>INDEX(#REF!,MATCH(P1342,#REF!,0),1)</f>
        <v>#REF!</v>
      </c>
      <c r="H1342" t="s">
        <v>7611</v>
      </c>
      <c r="J1342" t="s">
        <v>7612</v>
      </c>
      <c r="K1342" t="s">
        <v>251</v>
      </c>
      <c r="L1342" t="str">
        <f>"07508"</f>
        <v>07508</v>
      </c>
      <c r="M1342" t="s">
        <v>7613</v>
      </c>
      <c r="N1342">
        <v>4160</v>
      </c>
      <c r="O1342" t="s">
        <v>7610</v>
      </c>
      <c r="P1342">
        <v>4160</v>
      </c>
      <c r="Q1342" t="s">
        <v>7610</v>
      </c>
      <c r="R1342" t="s">
        <v>6187</v>
      </c>
      <c r="S1342" t="s">
        <v>6188</v>
      </c>
      <c r="T1342" t="s">
        <v>2214</v>
      </c>
      <c r="U1342" t="s">
        <v>2214</v>
      </c>
      <c r="V1342" t="s">
        <v>2215</v>
      </c>
    </row>
    <row r="1343" spans="1:33" x14ac:dyDescent="0.3">
      <c r="A1343">
        <v>4161</v>
      </c>
      <c r="B1343" t="s">
        <v>7614</v>
      </c>
      <c r="C1343" t="str">
        <f>"1100002749033"</f>
        <v>1100002749033</v>
      </c>
      <c r="D1343" t="str">
        <f>"141040A00"</f>
        <v>141040A00</v>
      </c>
      <c r="E1343" s="1">
        <v>42583</v>
      </c>
      <c r="F1343" t="s">
        <v>7615</v>
      </c>
      <c r="G1343" t="e">
        <f>INDEX(#REF!,MATCH(P1343,#REF!,0),1)</f>
        <v>#REF!</v>
      </c>
      <c r="H1343" t="s">
        <v>7616</v>
      </c>
      <c r="J1343" t="s">
        <v>7617</v>
      </c>
      <c r="K1343" t="s">
        <v>2004</v>
      </c>
      <c r="L1343" t="str">
        <f>"01844"</f>
        <v>01844</v>
      </c>
      <c r="M1343" t="s">
        <v>7618</v>
      </c>
      <c r="N1343">
        <v>683</v>
      </c>
      <c r="O1343" t="s">
        <v>2495</v>
      </c>
      <c r="P1343">
        <v>683</v>
      </c>
      <c r="Q1343" t="s">
        <v>2495</v>
      </c>
      <c r="R1343" t="s">
        <v>658</v>
      </c>
      <c r="S1343" t="s">
        <v>659</v>
      </c>
      <c r="T1343" t="s">
        <v>44</v>
      </c>
      <c r="U1343" t="s">
        <v>45</v>
      </c>
      <c r="AA1343" t="s">
        <v>119</v>
      </c>
      <c r="AE1343" t="s">
        <v>120</v>
      </c>
    </row>
    <row r="1344" spans="1:33" x14ac:dyDescent="0.3">
      <c r="A1344">
        <v>4162</v>
      </c>
      <c r="B1344" t="s">
        <v>7619</v>
      </c>
      <c r="C1344" t="str">
        <f>""</f>
        <v/>
      </c>
      <c r="D1344" t="str">
        <f>"221210800"</f>
        <v>221210800</v>
      </c>
      <c r="E1344" s="1">
        <v>42629</v>
      </c>
      <c r="F1344" t="s">
        <v>7620</v>
      </c>
      <c r="G1344" t="e">
        <f>INDEX(#REF!,MATCH(P1344,#REF!,0),1)</f>
        <v>#REF!</v>
      </c>
      <c r="H1344" t="s">
        <v>7621</v>
      </c>
      <c r="J1344" t="s">
        <v>7622</v>
      </c>
      <c r="K1344" t="s">
        <v>251</v>
      </c>
      <c r="L1344" t="str">
        <f>"07666"</f>
        <v>07666</v>
      </c>
      <c r="M1344" t="s">
        <v>7623</v>
      </c>
      <c r="N1344">
        <v>4162</v>
      </c>
      <c r="O1344" t="s">
        <v>7620</v>
      </c>
      <c r="P1344">
        <v>4162</v>
      </c>
      <c r="Q1344" t="s">
        <v>7620</v>
      </c>
      <c r="R1344" t="s">
        <v>254</v>
      </c>
      <c r="S1344" t="s">
        <v>255</v>
      </c>
      <c r="T1344" t="s">
        <v>44</v>
      </c>
      <c r="U1344" t="s">
        <v>45</v>
      </c>
    </row>
    <row r="1345" spans="1:33" x14ac:dyDescent="0.3">
      <c r="A1345">
        <v>4163</v>
      </c>
      <c r="B1345" t="s">
        <v>7624</v>
      </c>
      <c r="C1345" t="str">
        <f>""</f>
        <v/>
      </c>
      <c r="D1345" t="str">
        <f>"231370G00"</f>
        <v>231370G00</v>
      </c>
      <c r="E1345" s="1">
        <v>37530</v>
      </c>
      <c r="F1345" t="s">
        <v>7625</v>
      </c>
      <c r="G1345" t="e">
        <f>INDEX(#REF!,MATCH(P1345,#REF!,0),1)</f>
        <v>#REF!</v>
      </c>
      <c r="H1345" t="s">
        <v>7626</v>
      </c>
      <c r="J1345" t="s">
        <v>7627</v>
      </c>
      <c r="K1345" t="s">
        <v>65</v>
      </c>
      <c r="L1345">
        <v>19046</v>
      </c>
      <c r="M1345" t="s">
        <v>7628</v>
      </c>
      <c r="N1345">
        <v>81097</v>
      </c>
      <c r="O1345" t="s">
        <v>7629</v>
      </c>
      <c r="P1345">
        <v>81097</v>
      </c>
      <c r="Q1345" t="s">
        <v>7629</v>
      </c>
      <c r="R1345" t="s">
        <v>254</v>
      </c>
      <c r="S1345" t="s">
        <v>255</v>
      </c>
      <c r="T1345" t="s">
        <v>44</v>
      </c>
      <c r="U1345" t="s">
        <v>45</v>
      </c>
      <c r="AA1345" t="s">
        <v>119</v>
      </c>
      <c r="AE1345" t="s">
        <v>120</v>
      </c>
    </row>
    <row r="1346" spans="1:33" x14ac:dyDescent="0.3">
      <c r="A1346">
        <v>4170</v>
      </c>
      <c r="B1346" t="s">
        <v>7630</v>
      </c>
      <c r="C1346" t="str">
        <f>"1100004898791"</f>
        <v>1100004898791</v>
      </c>
      <c r="D1346" t="str">
        <f>"3476ZZI00"</f>
        <v>3476ZZI00</v>
      </c>
      <c r="E1346" s="1">
        <v>42917</v>
      </c>
      <c r="F1346" t="s">
        <v>7631</v>
      </c>
      <c r="G1346" t="e">
        <f>INDEX(#REF!,MATCH(P1346,#REF!,0),1)</f>
        <v>#REF!</v>
      </c>
      <c r="H1346" t="s">
        <v>7632</v>
      </c>
      <c r="J1346" t="s">
        <v>3303</v>
      </c>
      <c r="K1346" t="s">
        <v>251</v>
      </c>
      <c r="L1346" t="str">
        <f>"08822"</f>
        <v>08822</v>
      </c>
      <c r="M1346" t="s">
        <v>7633</v>
      </c>
      <c r="N1346">
        <v>4170</v>
      </c>
      <c r="O1346" t="s">
        <v>7631</v>
      </c>
      <c r="P1346">
        <v>4170</v>
      </c>
      <c r="Q1346" t="s">
        <v>7631</v>
      </c>
      <c r="R1346" t="s">
        <v>7442</v>
      </c>
      <c r="S1346" t="s">
        <v>7443</v>
      </c>
      <c r="T1346" t="s">
        <v>2214</v>
      </c>
      <c r="U1346" t="s">
        <v>2214</v>
      </c>
    </row>
    <row r="1347" spans="1:33" x14ac:dyDescent="0.3">
      <c r="A1347">
        <v>4173</v>
      </c>
      <c r="B1347" t="s">
        <v>7634</v>
      </c>
      <c r="C1347" t="str">
        <f>""</f>
        <v/>
      </c>
      <c r="D1347" t="str">
        <f>"340L7ED00"</f>
        <v>340L7ED00</v>
      </c>
      <c r="E1347" s="1">
        <v>45468</v>
      </c>
      <c r="F1347" t="s">
        <v>7635</v>
      </c>
      <c r="G1347" t="e">
        <f>INDEX(#REF!,MATCH(P1347,#REF!,0),1)</f>
        <v>#REF!</v>
      </c>
      <c r="H1347" t="s">
        <v>7636</v>
      </c>
      <c r="J1347" t="s">
        <v>322</v>
      </c>
      <c r="K1347" t="s">
        <v>251</v>
      </c>
      <c r="L1347" t="str">
        <f>"07631"</f>
        <v>07631</v>
      </c>
      <c r="M1347" t="s">
        <v>7637</v>
      </c>
      <c r="N1347">
        <v>3419308</v>
      </c>
      <c r="O1347" t="s">
        <v>7638</v>
      </c>
      <c r="P1347">
        <v>3581955</v>
      </c>
      <c r="Q1347" t="s">
        <v>7638</v>
      </c>
      <c r="R1347" t="s">
        <v>7384</v>
      </c>
      <c r="S1347" t="s">
        <v>7385</v>
      </c>
      <c r="T1347" t="s">
        <v>2214</v>
      </c>
      <c r="U1347" t="s">
        <v>2214</v>
      </c>
      <c r="V1347" t="s">
        <v>2215</v>
      </c>
      <c r="AF1347" t="s">
        <v>7552</v>
      </c>
    </row>
    <row r="1348" spans="1:33" x14ac:dyDescent="0.3">
      <c r="A1348">
        <v>4174</v>
      </c>
      <c r="B1348" t="s">
        <v>7639</v>
      </c>
      <c r="C1348" t="str">
        <f>"1100004866479"</f>
        <v>1100004866479</v>
      </c>
      <c r="D1348" t="str">
        <f>""</f>
        <v/>
      </c>
      <c r="E1348" s="1">
        <v>43555</v>
      </c>
      <c r="F1348" t="s">
        <v>7640</v>
      </c>
      <c r="G1348" t="e">
        <f>INDEX(#REF!,MATCH(P1348,#REF!,0),1)</f>
        <v>#REF!</v>
      </c>
      <c r="H1348" t="s">
        <v>7641</v>
      </c>
      <c r="J1348" t="s">
        <v>7642</v>
      </c>
      <c r="K1348" t="s">
        <v>251</v>
      </c>
      <c r="L1348" t="str">
        <f>"07039"</f>
        <v>07039</v>
      </c>
      <c r="M1348" t="s">
        <v>7643</v>
      </c>
      <c r="N1348">
        <v>3418880</v>
      </c>
      <c r="O1348" t="s">
        <v>7644</v>
      </c>
      <c r="P1348">
        <v>3418880</v>
      </c>
      <c r="Q1348" t="s">
        <v>7644</v>
      </c>
      <c r="R1348" t="s">
        <v>6187</v>
      </c>
      <c r="S1348" t="s">
        <v>6188</v>
      </c>
      <c r="T1348" t="s">
        <v>2214</v>
      </c>
      <c r="U1348" t="s">
        <v>2214</v>
      </c>
      <c r="V1348" t="s">
        <v>2215</v>
      </c>
    </row>
    <row r="1349" spans="1:33" x14ac:dyDescent="0.3">
      <c r="A1349">
        <v>4179</v>
      </c>
      <c r="B1349" t="s">
        <v>7645</v>
      </c>
      <c r="C1349" t="str">
        <f>"1100004534828"</f>
        <v>1100004534828</v>
      </c>
      <c r="D1349" t="str">
        <f>"232180G00"</f>
        <v>232180G00</v>
      </c>
      <c r="E1349" s="1">
        <v>42583</v>
      </c>
      <c r="F1349" t="s">
        <v>7646</v>
      </c>
      <c r="G1349" t="e">
        <f>INDEX(#REF!,MATCH(P1349,#REF!,0),1)</f>
        <v>#REF!</v>
      </c>
      <c r="H1349" t="s">
        <v>7647</v>
      </c>
      <c r="J1349" t="s">
        <v>786</v>
      </c>
      <c r="K1349" t="s">
        <v>65</v>
      </c>
      <c r="L1349">
        <v>19131</v>
      </c>
      <c r="M1349" t="s">
        <v>7648</v>
      </c>
      <c r="N1349">
        <v>767149</v>
      </c>
      <c r="O1349" t="s">
        <v>1953</v>
      </c>
      <c r="P1349">
        <v>4330</v>
      </c>
      <c r="Q1349" t="s">
        <v>1954</v>
      </c>
      <c r="R1349" t="s">
        <v>266</v>
      </c>
      <c r="S1349" t="s">
        <v>267</v>
      </c>
      <c r="T1349" t="s">
        <v>44</v>
      </c>
      <c r="U1349" t="s">
        <v>45</v>
      </c>
      <c r="AA1349" t="s">
        <v>105</v>
      </c>
      <c r="AE1349" t="s">
        <v>72</v>
      </c>
      <c r="AG1349" t="s">
        <v>48</v>
      </c>
    </row>
    <row r="1350" spans="1:33" x14ac:dyDescent="0.3">
      <c r="A1350">
        <v>4182</v>
      </c>
      <c r="B1350" t="s">
        <v>7649</v>
      </c>
      <c r="C1350" t="str">
        <f>""</f>
        <v/>
      </c>
      <c r="D1350" t="str">
        <f>"D7DYQ8T00"</f>
        <v>D7DYQ8T00</v>
      </c>
      <c r="E1350" s="1">
        <v>42917</v>
      </c>
      <c r="F1350" t="s">
        <v>7650</v>
      </c>
      <c r="G1350" t="e">
        <f>INDEX(#REF!,MATCH(P1350,#REF!,0),1)</f>
        <v>#REF!</v>
      </c>
      <c r="H1350" t="s">
        <v>7651</v>
      </c>
      <c r="J1350" t="s">
        <v>906</v>
      </c>
      <c r="K1350" t="s">
        <v>251</v>
      </c>
      <c r="L1350" t="str">
        <f>"07305"</f>
        <v>07305</v>
      </c>
      <c r="M1350" t="s">
        <v>7652</v>
      </c>
      <c r="N1350">
        <v>4182</v>
      </c>
      <c r="O1350" t="s">
        <v>7650</v>
      </c>
      <c r="P1350">
        <v>4182</v>
      </c>
      <c r="Q1350" t="s">
        <v>7650</v>
      </c>
      <c r="R1350" t="s">
        <v>7442</v>
      </c>
      <c r="S1350" t="s">
        <v>7443</v>
      </c>
      <c r="T1350" t="s">
        <v>2214</v>
      </c>
      <c r="U1350" t="s">
        <v>2214</v>
      </c>
    </row>
    <row r="1351" spans="1:33" x14ac:dyDescent="0.3">
      <c r="A1351">
        <v>4183</v>
      </c>
      <c r="B1351" t="s">
        <v>7653</v>
      </c>
      <c r="C1351" t="str">
        <f>""</f>
        <v/>
      </c>
      <c r="D1351" t="str">
        <f>"B0PGLST00"</f>
        <v>B0PGLST00</v>
      </c>
      <c r="E1351" s="1">
        <v>42614</v>
      </c>
      <c r="F1351" t="s">
        <v>7654</v>
      </c>
      <c r="G1351" t="e">
        <f>INDEX(#REF!,MATCH(P1351,#REF!,0),1)</f>
        <v>#REF!</v>
      </c>
      <c r="H1351" t="s">
        <v>7655</v>
      </c>
      <c r="J1351" t="s">
        <v>7656</v>
      </c>
      <c r="K1351" t="s">
        <v>251</v>
      </c>
      <c r="L1351" t="str">
        <f>"07003"</f>
        <v>07003</v>
      </c>
      <c r="M1351" t="s">
        <v>7657</v>
      </c>
      <c r="N1351">
        <v>4183</v>
      </c>
      <c r="O1351" t="s">
        <v>7654</v>
      </c>
      <c r="P1351">
        <v>4183</v>
      </c>
      <c r="Q1351" t="s">
        <v>7654</v>
      </c>
      <c r="R1351" t="s">
        <v>6187</v>
      </c>
      <c r="S1351" t="s">
        <v>6188</v>
      </c>
      <c r="T1351" t="s">
        <v>2214</v>
      </c>
      <c r="U1351" t="s">
        <v>2214</v>
      </c>
      <c r="V1351" t="s">
        <v>2215</v>
      </c>
      <c r="AD1351" t="s">
        <v>59</v>
      </c>
    </row>
    <row r="1352" spans="1:33" x14ac:dyDescent="0.3">
      <c r="A1352">
        <v>4184</v>
      </c>
      <c r="B1352" t="s">
        <v>7658</v>
      </c>
      <c r="C1352" t="str">
        <f>""</f>
        <v/>
      </c>
      <c r="D1352" t="str">
        <f>"21VT8FE00"</f>
        <v>21VT8FE00</v>
      </c>
      <c r="E1352" s="1">
        <v>35339</v>
      </c>
      <c r="F1352" t="s">
        <v>7659</v>
      </c>
      <c r="G1352" t="e">
        <f>INDEX(#REF!,MATCH(P1352,#REF!,0),1)</f>
        <v>#REF!</v>
      </c>
      <c r="H1352" t="s">
        <v>7660</v>
      </c>
      <c r="J1352" t="s">
        <v>786</v>
      </c>
      <c r="K1352" t="s">
        <v>65</v>
      </c>
      <c r="L1352">
        <v>19104</v>
      </c>
      <c r="M1352" t="s">
        <v>7661</v>
      </c>
      <c r="N1352">
        <v>4184</v>
      </c>
      <c r="O1352" t="s">
        <v>7659</v>
      </c>
      <c r="P1352">
        <v>4184</v>
      </c>
      <c r="Q1352" t="s">
        <v>7659</v>
      </c>
      <c r="R1352" t="s">
        <v>6820</v>
      </c>
      <c r="S1352" t="s">
        <v>6821</v>
      </c>
      <c r="T1352" t="s">
        <v>2277</v>
      </c>
      <c r="U1352" t="s">
        <v>2278</v>
      </c>
      <c r="V1352" t="s">
        <v>2215</v>
      </c>
    </row>
    <row r="1353" spans="1:33" x14ac:dyDescent="0.3">
      <c r="A1353">
        <v>4185</v>
      </c>
      <c r="B1353" t="s">
        <v>7662</v>
      </c>
      <c r="C1353" t="str">
        <f>"1100005385412"</f>
        <v>1100005385412</v>
      </c>
      <c r="D1353" t="str">
        <f>"220250B00"</f>
        <v>220250B00</v>
      </c>
      <c r="E1353" s="1">
        <v>44235</v>
      </c>
      <c r="F1353" t="s">
        <v>7663</v>
      </c>
      <c r="G1353" t="e">
        <f>INDEX(#REF!,MATCH(P1353,#REF!,0),1)</f>
        <v>#REF!</v>
      </c>
      <c r="H1353" t="s">
        <v>7664</v>
      </c>
      <c r="J1353" t="s">
        <v>7665</v>
      </c>
      <c r="K1353" t="s">
        <v>251</v>
      </c>
      <c r="L1353" t="str">
        <f>"08818"</f>
        <v>08818</v>
      </c>
      <c r="M1353" t="s">
        <v>7666</v>
      </c>
      <c r="N1353">
        <v>35683</v>
      </c>
      <c r="O1353" t="s">
        <v>931</v>
      </c>
      <c r="P1353">
        <v>47937</v>
      </c>
      <c r="Q1353" t="s">
        <v>2159</v>
      </c>
      <c r="R1353" t="s">
        <v>254</v>
      </c>
      <c r="S1353" t="s">
        <v>255</v>
      </c>
      <c r="T1353" t="s">
        <v>44</v>
      </c>
      <c r="U1353" t="s">
        <v>45</v>
      </c>
    </row>
    <row r="1354" spans="1:33" x14ac:dyDescent="0.3">
      <c r="A1354">
        <v>4190</v>
      </c>
      <c r="B1354" t="s">
        <v>7667</v>
      </c>
      <c r="C1354" t="str">
        <f>""</f>
        <v/>
      </c>
      <c r="D1354" t="str">
        <f>"221170D00"</f>
        <v>221170D00</v>
      </c>
      <c r="E1354" s="1">
        <v>42583</v>
      </c>
      <c r="F1354" t="s">
        <v>7668</v>
      </c>
      <c r="G1354" t="e">
        <f>INDEX(#REF!,MATCH(P1354,#REF!,0),1)</f>
        <v>#REF!</v>
      </c>
      <c r="H1354" t="s">
        <v>7669</v>
      </c>
      <c r="J1354" t="s">
        <v>7670</v>
      </c>
      <c r="K1354" t="s">
        <v>251</v>
      </c>
      <c r="L1354" t="str">
        <f>"08084"</f>
        <v>08084</v>
      </c>
      <c r="M1354" t="s">
        <v>7671</v>
      </c>
      <c r="N1354">
        <v>767149</v>
      </c>
      <c r="O1354" t="s">
        <v>1953</v>
      </c>
      <c r="P1354">
        <v>4330</v>
      </c>
      <c r="Q1354" t="s">
        <v>1954</v>
      </c>
      <c r="R1354" t="s">
        <v>266</v>
      </c>
      <c r="S1354" t="s">
        <v>267</v>
      </c>
      <c r="T1354" t="s">
        <v>44</v>
      </c>
      <c r="U1354" t="s">
        <v>45</v>
      </c>
      <c r="AA1354" t="s">
        <v>105</v>
      </c>
      <c r="AE1354" t="s">
        <v>72</v>
      </c>
      <c r="AG1354" t="s">
        <v>48</v>
      </c>
    </row>
    <row r="1355" spans="1:33" x14ac:dyDescent="0.3">
      <c r="A1355">
        <v>4192</v>
      </c>
      <c r="B1355" t="s">
        <v>7672</v>
      </c>
      <c r="C1355" t="str">
        <f>""</f>
        <v/>
      </c>
      <c r="D1355" t="str">
        <f>"220180D00"</f>
        <v>220180D00</v>
      </c>
      <c r="E1355" s="1">
        <v>42583</v>
      </c>
      <c r="F1355" t="s">
        <v>7673</v>
      </c>
      <c r="G1355" t="e">
        <f>INDEX(#REF!,MATCH(P1355,#REF!,0),1)</f>
        <v>#REF!</v>
      </c>
      <c r="H1355" t="s">
        <v>7674</v>
      </c>
      <c r="J1355" t="s">
        <v>7675</v>
      </c>
      <c r="K1355" t="s">
        <v>251</v>
      </c>
      <c r="L1355" t="str">
        <f>"08034"</f>
        <v>08034</v>
      </c>
      <c r="M1355" t="s">
        <v>7676</v>
      </c>
      <c r="N1355">
        <v>767149</v>
      </c>
      <c r="O1355" t="s">
        <v>1953</v>
      </c>
      <c r="P1355">
        <v>4330</v>
      </c>
      <c r="Q1355" t="s">
        <v>1954</v>
      </c>
      <c r="R1355" t="s">
        <v>266</v>
      </c>
      <c r="S1355" t="s">
        <v>267</v>
      </c>
      <c r="T1355" t="s">
        <v>44</v>
      </c>
      <c r="U1355" t="s">
        <v>45</v>
      </c>
      <c r="AA1355" t="s">
        <v>105</v>
      </c>
      <c r="AE1355" t="s">
        <v>72</v>
      </c>
      <c r="AG1355" t="s">
        <v>48</v>
      </c>
    </row>
    <row r="1356" spans="1:33" x14ac:dyDescent="0.3">
      <c r="A1356">
        <v>4193</v>
      </c>
      <c r="B1356" t="s">
        <v>7677</v>
      </c>
      <c r="C1356" t="str">
        <f>""</f>
        <v/>
      </c>
      <c r="D1356" t="str">
        <f>"221290G00"</f>
        <v>221290G00</v>
      </c>
      <c r="E1356" s="1">
        <v>42583</v>
      </c>
      <c r="F1356" t="s">
        <v>7678</v>
      </c>
      <c r="G1356" t="e">
        <f>INDEX(#REF!,MATCH(P1356,#REF!,0),1)</f>
        <v>#REF!</v>
      </c>
      <c r="H1356" t="s">
        <v>7679</v>
      </c>
      <c r="J1356" t="s">
        <v>7680</v>
      </c>
      <c r="K1356" t="s">
        <v>251</v>
      </c>
      <c r="L1356" t="str">
        <f>"08012"</f>
        <v>08012</v>
      </c>
      <c r="M1356" t="s">
        <v>7681</v>
      </c>
      <c r="N1356">
        <v>767149</v>
      </c>
      <c r="O1356" t="s">
        <v>1953</v>
      </c>
      <c r="P1356">
        <v>4330</v>
      </c>
      <c r="Q1356" t="s">
        <v>1954</v>
      </c>
      <c r="R1356" t="s">
        <v>266</v>
      </c>
      <c r="S1356" t="s">
        <v>267</v>
      </c>
      <c r="T1356" t="s">
        <v>44</v>
      </c>
      <c r="U1356" t="s">
        <v>45</v>
      </c>
      <c r="AA1356" t="s">
        <v>105</v>
      </c>
      <c r="AE1356" t="s">
        <v>72</v>
      </c>
      <c r="AG1356" t="s">
        <v>48</v>
      </c>
    </row>
    <row r="1357" spans="1:33" x14ac:dyDescent="0.3">
      <c r="A1357">
        <v>4194</v>
      </c>
      <c r="B1357" t="s">
        <v>7682</v>
      </c>
      <c r="C1357" t="str">
        <f>""</f>
        <v/>
      </c>
      <c r="D1357" t="str">
        <f>"231890N00"</f>
        <v>231890N00</v>
      </c>
      <c r="E1357" s="1">
        <v>42583</v>
      </c>
      <c r="F1357" t="s">
        <v>7683</v>
      </c>
      <c r="G1357" t="e">
        <f>INDEX(#REF!,MATCH(P1357,#REF!,0),1)</f>
        <v>#REF!</v>
      </c>
      <c r="H1357" t="s">
        <v>7684</v>
      </c>
      <c r="J1357" t="s">
        <v>786</v>
      </c>
      <c r="K1357" t="s">
        <v>65</v>
      </c>
      <c r="L1357">
        <v>19122</v>
      </c>
      <c r="M1357" t="s">
        <v>7685</v>
      </c>
      <c r="N1357">
        <v>4194</v>
      </c>
      <c r="O1357" t="s">
        <v>7683</v>
      </c>
      <c r="P1357">
        <v>4194</v>
      </c>
      <c r="Q1357" t="s">
        <v>7683</v>
      </c>
      <c r="R1357" t="s">
        <v>254</v>
      </c>
      <c r="S1357" t="s">
        <v>255</v>
      </c>
      <c r="T1357" t="s">
        <v>44</v>
      </c>
      <c r="U1357" t="s">
        <v>45</v>
      </c>
    </row>
    <row r="1358" spans="1:33" x14ac:dyDescent="0.3">
      <c r="A1358">
        <v>4201</v>
      </c>
      <c r="B1358" t="s">
        <v>7686</v>
      </c>
      <c r="C1358" t="str">
        <f>"1100005858343"</f>
        <v>1100005858343</v>
      </c>
      <c r="D1358" t="str">
        <f>"231900F00"</f>
        <v>231900F00</v>
      </c>
      <c r="E1358" s="1">
        <v>42156</v>
      </c>
      <c r="F1358" t="s">
        <v>7687</v>
      </c>
      <c r="G1358" t="e">
        <f>INDEX(#REF!,MATCH(P1358,#REF!,0),1)</f>
        <v>#REF!</v>
      </c>
      <c r="H1358" t="s">
        <v>7688</v>
      </c>
      <c r="J1358" t="s">
        <v>7689</v>
      </c>
      <c r="K1358" t="s">
        <v>65</v>
      </c>
      <c r="L1358">
        <v>19096</v>
      </c>
      <c r="M1358" t="s">
        <v>7690</v>
      </c>
      <c r="N1358">
        <v>32845</v>
      </c>
      <c r="O1358" t="s">
        <v>7691</v>
      </c>
      <c r="P1358">
        <v>32845</v>
      </c>
      <c r="Q1358" t="s">
        <v>7691</v>
      </c>
      <c r="R1358" t="s">
        <v>1753</v>
      </c>
      <c r="S1358" t="s">
        <v>1754</v>
      </c>
      <c r="T1358" t="s">
        <v>44</v>
      </c>
      <c r="U1358" t="s">
        <v>45</v>
      </c>
      <c r="AA1358" t="s">
        <v>119</v>
      </c>
      <c r="AE1358" t="s">
        <v>564</v>
      </c>
      <c r="AG1358" t="s">
        <v>48</v>
      </c>
    </row>
    <row r="1359" spans="1:33" x14ac:dyDescent="0.3">
      <c r="A1359">
        <v>4206</v>
      </c>
      <c r="B1359" t="s">
        <v>7692</v>
      </c>
      <c r="C1359" t="str">
        <f>""</f>
        <v/>
      </c>
      <c r="D1359" t="str">
        <f>"74EKTEG00"</f>
        <v>74EKTEG00</v>
      </c>
      <c r="E1359" s="1">
        <v>42583</v>
      </c>
      <c r="F1359" t="s">
        <v>7693</v>
      </c>
      <c r="G1359" t="e">
        <f>INDEX(#REF!,MATCH(P1359,#REF!,0),1)</f>
        <v>#REF!</v>
      </c>
      <c r="H1359" t="s">
        <v>7694</v>
      </c>
      <c r="J1359" t="s">
        <v>906</v>
      </c>
      <c r="K1359" t="s">
        <v>251</v>
      </c>
      <c r="L1359" t="str">
        <f>"07302"</f>
        <v>07302</v>
      </c>
      <c r="M1359" t="s">
        <v>7695</v>
      </c>
      <c r="N1359">
        <v>3209841</v>
      </c>
      <c r="O1359" t="s">
        <v>410</v>
      </c>
      <c r="P1359">
        <v>3209841</v>
      </c>
      <c r="Q1359" t="s">
        <v>410</v>
      </c>
      <c r="R1359" t="s">
        <v>411</v>
      </c>
      <c r="S1359" t="s">
        <v>412</v>
      </c>
      <c r="T1359" t="s">
        <v>44</v>
      </c>
      <c r="U1359" t="s">
        <v>45</v>
      </c>
      <c r="Y1359" t="s">
        <v>46</v>
      </c>
      <c r="Z1359" s="1">
        <v>45170</v>
      </c>
      <c r="AE1359" t="s">
        <v>47</v>
      </c>
      <c r="AG1359" t="s">
        <v>48</v>
      </c>
    </row>
    <row r="1360" spans="1:33" x14ac:dyDescent="0.3">
      <c r="A1360">
        <v>4207</v>
      </c>
      <c r="B1360" t="s">
        <v>7696</v>
      </c>
      <c r="C1360" t="str">
        <f>""</f>
        <v/>
      </c>
      <c r="D1360" t="str">
        <f>"221130900"</f>
        <v>221130900</v>
      </c>
      <c r="E1360" s="1">
        <v>42583</v>
      </c>
      <c r="F1360" t="s">
        <v>7697</v>
      </c>
      <c r="G1360" t="e">
        <f>INDEX(#REF!,MATCH(P1360,#REF!,0),1)</f>
        <v>#REF!</v>
      </c>
      <c r="H1360" t="s">
        <v>7698</v>
      </c>
      <c r="J1360" t="s">
        <v>7699</v>
      </c>
      <c r="K1360" t="s">
        <v>251</v>
      </c>
      <c r="L1360" t="str">
        <f>"07096-1580"</f>
        <v>07096-1580</v>
      </c>
      <c r="M1360" t="s">
        <v>7700</v>
      </c>
      <c r="N1360">
        <v>4207</v>
      </c>
      <c r="O1360" t="s">
        <v>7697</v>
      </c>
      <c r="P1360">
        <v>4207</v>
      </c>
      <c r="Q1360" t="s">
        <v>7697</v>
      </c>
      <c r="R1360" t="s">
        <v>254</v>
      </c>
      <c r="S1360" t="s">
        <v>255</v>
      </c>
      <c r="T1360" t="s">
        <v>44</v>
      </c>
      <c r="U1360" t="s">
        <v>45</v>
      </c>
    </row>
    <row r="1361" spans="1:33" x14ac:dyDescent="0.3">
      <c r="A1361">
        <v>4213</v>
      </c>
      <c r="B1361" t="s">
        <v>7701</v>
      </c>
      <c r="C1361" t="str">
        <f>"1100004938183"</f>
        <v>1100004938183</v>
      </c>
      <c r="D1361" t="str">
        <f>"231920H00"</f>
        <v>231920H00</v>
      </c>
      <c r="E1361" s="1">
        <v>42583</v>
      </c>
      <c r="F1361" t="s">
        <v>7702</v>
      </c>
      <c r="G1361" t="e">
        <f>INDEX(#REF!,MATCH(P1361,#REF!,0),1)</f>
        <v>#REF!</v>
      </c>
      <c r="H1361" t="s">
        <v>7703</v>
      </c>
      <c r="I1361" t="s">
        <v>7704</v>
      </c>
      <c r="J1361" t="s">
        <v>786</v>
      </c>
      <c r="K1361" t="s">
        <v>65</v>
      </c>
      <c r="L1361" t="s">
        <v>7705</v>
      </c>
      <c r="M1361" t="s">
        <v>7706</v>
      </c>
      <c r="N1361">
        <v>767149</v>
      </c>
      <c r="O1361" t="s">
        <v>1953</v>
      </c>
      <c r="P1361">
        <v>4330</v>
      </c>
      <c r="Q1361" t="s">
        <v>1954</v>
      </c>
      <c r="R1361" t="s">
        <v>266</v>
      </c>
      <c r="S1361" t="s">
        <v>267</v>
      </c>
      <c r="T1361" t="s">
        <v>44</v>
      </c>
      <c r="U1361" t="s">
        <v>717</v>
      </c>
      <c r="AA1361" t="s">
        <v>105</v>
      </c>
      <c r="AE1361" t="s">
        <v>72</v>
      </c>
      <c r="AG1361" t="s">
        <v>48</v>
      </c>
    </row>
    <row r="1362" spans="1:33" x14ac:dyDescent="0.3">
      <c r="A1362">
        <v>4214</v>
      </c>
      <c r="B1362" t="s">
        <v>7707</v>
      </c>
      <c r="C1362" t="str">
        <f>""</f>
        <v/>
      </c>
      <c r="D1362" t="str">
        <f>"230410A00"</f>
        <v>230410A00</v>
      </c>
      <c r="E1362" s="1">
        <v>42583</v>
      </c>
      <c r="F1362" t="s">
        <v>7708</v>
      </c>
      <c r="G1362" t="e">
        <f>INDEX(#REF!,MATCH(P1362,#REF!,0),1)</f>
        <v>#REF!</v>
      </c>
      <c r="H1362" t="s">
        <v>7709</v>
      </c>
      <c r="J1362" t="s">
        <v>452</v>
      </c>
      <c r="K1362" t="s">
        <v>65</v>
      </c>
      <c r="L1362">
        <v>18407</v>
      </c>
      <c r="M1362" t="s">
        <v>7710</v>
      </c>
      <c r="N1362">
        <v>64464</v>
      </c>
      <c r="O1362" t="s">
        <v>7498</v>
      </c>
      <c r="P1362">
        <v>64464</v>
      </c>
      <c r="Q1362" t="s">
        <v>7498</v>
      </c>
      <c r="R1362" t="s">
        <v>254</v>
      </c>
      <c r="S1362" t="s">
        <v>255</v>
      </c>
      <c r="T1362" t="s">
        <v>44</v>
      </c>
      <c r="U1362" t="s">
        <v>45</v>
      </c>
    </row>
    <row r="1363" spans="1:33" x14ac:dyDescent="0.3">
      <c r="A1363">
        <v>4217</v>
      </c>
      <c r="B1363" t="s">
        <v>7711</v>
      </c>
      <c r="C1363" t="str">
        <f>"1100004727572"</f>
        <v>1100004727572</v>
      </c>
      <c r="D1363" t="str">
        <f>""</f>
        <v/>
      </c>
      <c r="E1363" s="1">
        <v>43782</v>
      </c>
      <c r="F1363" t="s">
        <v>7712</v>
      </c>
      <c r="G1363" t="e">
        <f>INDEX(#REF!,MATCH(P1363,#REF!,0),1)</f>
        <v>#REF!</v>
      </c>
      <c r="H1363" t="s">
        <v>7713</v>
      </c>
      <c r="J1363" t="s">
        <v>7714</v>
      </c>
      <c r="K1363" t="s">
        <v>251</v>
      </c>
      <c r="L1363" t="str">
        <f>"08873"</f>
        <v>08873</v>
      </c>
      <c r="M1363" t="s">
        <v>7715</v>
      </c>
      <c r="N1363">
        <v>3725949</v>
      </c>
      <c r="O1363" t="s">
        <v>7716</v>
      </c>
      <c r="P1363">
        <v>3725949</v>
      </c>
      <c r="Q1363" t="s">
        <v>7716</v>
      </c>
      <c r="R1363" t="s">
        <v>5064</v>
      </c>
      <c r="S1363" t="s">
        <v>5065</v>
      </c>
      <c r="T1363" t="s">
        <v>2214</v>
      </c>
      <c r="U1363" t="s">
        <v>2214</v>
      </c>
      <c r="V1363" t="s">
        <v>2215</v>
      </c>
    </row>
    <row r="1364" spans="1:33" x14ac:dyDescent="0.3">
      <c r="A1364">
        <v>4226</v>
      </c>
      <c r="B1364" t="s">
        <v>7717</v>
      </c>
      <c r="C1364" t="str">
        <f>"1100004854773"</f>
        <v>1100004854773</v>
      </c>
      <c r="D1364" t="str">
        <f>"233150E00"</f>
        <v>233150E00</v>
      </c>
      <c r="E1364" s="1">
        <v>42583</v>
      </c>
      <c r="F1364" t="s">
        <v>7718</v>
      </c>
      <c r="G1364" t="e">
        <f>INDEX(#REF!,MATCH(P1364,#REF!,0),1)</f>
        <v>#REF!</v>
      </c>
      <c r="H1364" t="s">
        <v>7719</v>
      </c>
      <c r="J1364" t="s">
        <v>7720</v>
      </c>
      <c r="K1364" t="s">
        <v>65</v>
      </c>
      <c r="L1364" t="s">
        <v>7721</v>
      </c>
      <c r="M1364" t="s">
        <v>7722</v>
      </c>
      <c r="N1364">
        <v>2472612</v>
      </c>
      <c r="O1364" t="s">
        <v>2340</v>
      </c>
      <c r="P1364">
        <v>31304</v>
      </c>
      <c r="Q1364" t="s">
        <v>2522</v>
      </c>
      <c r="R1364" t="s">
        <v>2523</v>
      </c>
      <c r="S1364" t="s">
        <v>2524</v>
      </c>
      <c r="T1364" t="s">
        <v>44</v>
      </c>
      <c r="U1364" t="s">
        <v>45</v>
      </c>
      <c r="Y1364" t="s">
        <v>46</v>
      </c>
      <c r="Z1364" s="1">
        <v>44621</v>
      </c>
      <c r="AE1364" t="s">
        <v>47</v>
      </c>
    </row>
    <row r="1365" spans="1:33" x14ac:dyDescent="0.3">
      <c r="A1365">
        <v>4229</v>
      </c>
      <c r="B1365" t="s">
        <v>7723</v>
      </c>
      <c r="C1365" t="str">
        <f>"1100003920448"</f>
        <v>1100003920448</v>
      </c>
      <c r="D1365" t="str">
        <f>"230530D00"</f>
        <v>230530D00</v>
      </c>
      <c r="E1365" s="1">
        <v>42583</v>
      </c>
      <c r="F1365" t="s">
        <v>7724</v>
      </c>
      <c r="G1365" t="e">
        <f>INDEX(#REF!,MATCH(P1365,#REF!,0),1)</f>
        <v>#REF!</v>
      </c>
      <c r="H1365" t="s">
        <v>7725</v>
      </c>
      <c r="J1365" t="s">
        <v>7726</v>
      </c>
      <c r="K1365" t="s">
        <v>65</v>
      </c>
      <c r="L1365">
        <v>18218</v>
      </c>
      <c r="M1365" t="s">
        <v>7727</v>
      </c>
      <c r="N1365">
        <v>3596</v>
      </c>
      <c r="O1365" t="s">
        <v>2749</v>
      </c>
      <c r="P1365">
        <v>3596</v>
      </c>
      <c r="Q1365" t="s">
        <v>2749</v>
      </c>
      <c r="R1365" t="s">
        <v>254</v>
      </c>
      <c r="S1365" t="s">
        <v>255</v>
      </c>
      <c r="T1365" t="s">
        <v>44</v>
      </c>
      <c r="U1365" t="s">
        <v>45</v>
      </c>
    </row>
    <row r="1366" spans="1:33" x14ac:dyDescent="0.3">
      <c r="A1366">
        <v>4230</v>
      </c>
      <c r="B1366" t="s">
        <v>7728</v>
      </c>
      <c r="C1366" t="str">
        <f>"1100003441301"</f>
        <v>1100003441301</v>
      </c>
      <c r="D1366" t="str">
        <f>"8E5877D00"</f>
        <v>8E5877D00</v>
      </c>
      <c r="E1366" s="1">
        <v>42632</v>
      </c>
      <c r="F1366" t="s">
        <v>7729</v>
      </c>
      <c r="G1366" t="e">
        <f>INDEX(#REF!,MATCH(P1366,#REF!,0),1)</f>
        <v>#REF!</v>
      </c>
      <c r="H1366" t="s">
        <v>7730</v>
      </c>
      <c r="J1366" t="s">
        <v>786</v>
      </c>
      <c r="K1366" t="s">
        <v>65</v>
      </c>
      <c r="L1366">
        <v>19143</v>
      </c>
      <c r="M1366" t="s">
        <v>7731</v>
      </c>
      <c r="N1366">
        <v>4007</v>
      </c>
      <c r="O1366" t="s">
        <v>276</v>
      </c>
      <c r="P1366">
        <v>1177</v>
      </c>
      <c r="Q1366" t="s">
        <v>3242</v>
      </c>
      <c r="R1366" t="s">
        <v>277</v>
      </c>
      <c r="S1366" t="s">
        <v>278</v>
      </c>
      <c r="T1366" t="s">
        <v>44</v>
      </c>
      <c r="U1366" t="s">
        <v>45</v>
      </c>
      <c r="AG1366" t="s">
        <v>48</v>
      </c>
    </row>
    <row r="1367" spans="1:33" x14ac:dyDescent="0.3">
      <c r="A1367">
        <v>4233</v>
      </c>
      <c r="B1367" t="s">
        <v>7732</v>
      </c>
      <c r="C1367" t="str">
        <f>""</f>
        <v/>
      </c>
      <c r="D1367" t="str">
        <f>"3K7PVJX00"</f>
        <v>3K7PVJX00</v>
      </c>
      <c r="E1367" s="1">
        <v>42583</v>
      </c>
      <c r="F1367" t="s">
        <v>7733</v>
      </c>
      <c r="G1367" t="e">
        <f>INDEX(#REF!,MATCH(P1367,#REF!,0),1)</f>
        <v>#REF!</v>
      </c>
      <c r="H1367" t="s">
        <v>817</v>
      </c>
      <c r="J1367" t="s">
        <v>7734</v>
      </c>
      <c r="K1367" t="s">
        <v>65</v>
      </c>
      <c r="L1367" t="s">
        <v>7735</v>
      </c>
      <c r="M1367" t="s">
        <v>7736</v>
      </c>
      <c r="N1367">
        <v>4233</v>
      </c>
      <c r="O1367" t="s">
        <v>7733</v>
      </c>
      <c r="P1367">
        <v>4233</v>
      </c>
      <c r="Q1367" t="s">
        <v>7733</v>
      </c>
      <c r="R1367" t="s">
        <v>940</v>
      </c>
      <c r="S1367" t="s">
        <v>941</v>
      </c>
      <c r="T1367" t="s">
        <v>44</v>
      </c>
      <c r="U1367" t="s">
        <v>45</v>
      </c>
      <c r="AA1367" t="s">
        <v>211</v>
      </c>
    </row>
    <row r="1368" spans="1:33" x14ac:dyDescent="0.3">
      <c r="A1368">
        <v>4236</v>
      </c>
      <c r="B1368" t="s">
        <v>7737</v>
      </c>
      <c r="C1368" t="str">
        <f>"1100005702332"</f>
        <v>1100005702332</v>
      </c>
      <c r="D1368" t="str">
        <f>"232670K00"</f>
        <v>232670K00</v>
      </c>
      <c r="E1368" s="1">
        <v>44409</v>
      </c>
      <c r="F1368" t="s">
        <v>7738</v>
      </c>
      <c r="G1368" t="e">
        <f>INDEX(#REF!,MATCH(P1368,#REF!,0),1)</f>
        <v>#REF!</v>
      </c>
      <c r="H1368" t="s">
        <v>7739</v>
      </c>
      <c r="J1368" t="s">
        <v>2519</v>
      </c>
      <c r="K1368" t="s">
        <v>65</v>
      </c>
      <c r="L1368">
        <v>18510</v>
      </c>
      <c r="M1368" t="s">
        <v>7740</v>
      </c>
      <c r="N1368">
        <v>4236</v>
      </c>
      <c r="O1368" t="s">
        <v>7738</v>
      </c>
      <c r="P1368">
        <v>4236</v>
      </c>
      <c r="Q1368" t="s">
        <v>7738</v>
      </c>
      <c r="R1368" t="s">
        <v>254</v>
      </c>
      <c r="S1368" t="s">
        <v>255</v>
      </c>
      <c r="T1368" t="s">
        <v>44</v>
      </c>
      <c r="U1368" t="s">
        <v>45</v>
      </c>
    </row>
    <row r="1369" spans="1:33" x14ac:dyDescent="0.3">
      <c r="A1369">
        <v>4237</v>
      </c>
      <c r="B1369" t="s">
        <v>7741</v>
      </c>
      <c r="C1369" t="str">
        <f>"1100005006287"</f>
        <v>1100005006287</v>
      </c>
      <c r="D1369" t="str">
        <f>"231970M00"</f>
        <v>231970M00</v>
      </c>
      <c r="E1369" s="1">
        <v>42583</v>
      </c>
      <c r="F1369" t="s">
        <v>7742</v>
      </c>
      <c r="G1369" t="e">
        <f>INDEX(#REF!,MATCH(P1369,#REF!,0),1)</f>
        <v>#REF!</v>
      </c>
      <c r="H1369" t="s">
        <v>7743</v>
      </c>
      <c r="J1369" t="s">
        <v>7744</v>
      </c>
      <c r="K1369" t="s">
        <v>65</v>
      </c>
      <c r="L1369">
        <v>19141</v>
      </c>
      <c r="M1369" t="s">
        <v>7745</v>
      </c>
      <c r="N1369">
        <v>767149</v>
      </c>
      <c r="O1369" t="s">
        <v>1953</v>
      </c>
      <c r="P1369">
        <v>767149</v>
      </c>
      <c r="Q1369" t="s">
        <v>1953</v>
      </c>
      <c r="R1369" t="s">
        <v>266</v>
      </c>
      <c r="S1369" t="s">
        <v>267</v>
      </c>
      <c r="T1369" t="s">
        <v>44</v>
      </c>
      <c r="U1369" t="s">
        <v>45</v>
      </c>
      <c r="AA1369" t="s">
        <v>105</v>
      </c>
      <c r="AE1369" t="s">
        <v>72</v>
      </c>
      <c r="AG1369" t="s">
        <v>48</v>
      </c>
    </row>
    <row r="1370" spans="1:33" x14ac:dyDescent="0.3">
      <c r="A1370">
        <v>4238</v>
      </c>
      <c r="B1370" t="s">
        <v>7746</v>
      </c>
      <c r="C1370" t="str">
        <f>"1100003226083"</f>
        <v>1100003226083</v>
      </c>
      <c r="D1370" t="str">
        <f>"5HB1JWD00"</f>
        <v>5HB1JWD00</v>
      </c>
      <c r="E1370" s="1">
        <v>42583</v>
      </c>
      <c r="F1370" t="s">
        <v>7747</v>
      </c>
      <c r="G1370" t="e">
        <f>INDEX(#REF!,MATCH(P1370,#REF!,0),1)</f>
        <v>#REF!</v>
      </c>
      <c r="H1370" t="s">
        <v>7748</v>
      </c>
      <c r="J1370" t="s">
        <v>4792</v>
      </c>
      <c r="K1370" t="s">
        <v>251</v>
      </c>
      <c r="L1370" t="str">
        <f>"07102"</f>
        <v>07102</v>
      </c>
      <c r="M1370" t="s">
        <v>7749</v>
      </c>
      <c r="N1370">
        <v>32686</v>
      </c>
      <c r="O1370" t="s">
        <v>4367</v>
      </c>
      <c r="P1370">
        <v>32686</v>
      </c>
      <c r="Q1370" t="s">
        <v>4367</v>
      </c>
      <c r="R1370" t="s">
        <v>254</v>
      </c>
      <c r="S1370" t="s">
        <v>255</v>
      </c>
      <c r="T1370" t="s">
        <v>44</v>
      </c>
      <c r="U1370" t="s">
        <v>45</v>
      </c>
    </row>
    <row r="1371" spans="1:33" x14ac:dyDescent="0.3">
      <c r="A1371">
        <v>4239</v>
      </c>
      <c r="B1371" t="s">
        <v>7750</v>
      </c>
      <c r="C1371" t="str">
        <f>""</f>
        <v/>
      </c>
      <c r="D1371" t="str">
        <f>""</f>
        <v/>
      </c>
      <c r="E1371" s="1">
        <v>42917</v>
      </c>
      <c r="F1371" t="s">
        <v>7751</v>
      </c>
      <c r="G1371" t="e">
        <f>INDEX(#REF!,MATCH(P1371,#REF!,0),1)</f>
        <v>#REF!</v>
      </c>
      <c r="H1371" t="s">
        <v>7752</v>
      </c>
      <c r="J1371" t="s">
        <v>7753</v>
      </c>
      <c r="K1371" t="s">
        <v>251</v>
      </c>
      <c r="L1371" t="str">
        <f>"08054"</f>
        <v>08054</v>
      </c>
      <c r="M1371" t="s">
        <v>7754</v>
      </c>
      <c r="N1371">
        <v>4239</v>
      </c>
      <c r="O1371" t="s">
        <v>7751</v>
      </c>
      <c r="P1371">
        <v>4239</v>
      </c>
      <c r="Q1371" t="s">
        <v>7751</v>
      </c>
      <c r="R1371" t="s">
        <v>7442</v>
      </c>
      <c r="S1371" t="s">
        <v>7443</v>
      </c>
      <c r="T1371" t="s">
        <v>2214</v>
      </c>
      <c r="U1371" t="s">
        <v>2214</v>
      </c>
    </row>
    <row r="1372" spans="1:33" x14ac:dyDescent="0.3">
      <c r="A1372">
        <v>4244</v>
      </c>
      <c r="B1372" t="s">
        <v>7755</v>
      </c>
      <c r="C1372" t="str">
        <f>"1100002478605"</f>
        <v>1100002478605</v>
      </c>
      <c r="D1372" t="str">
        <f>"232610E00"</f>
        <v>232610E00</v>
      </c>
      <c r="E1372" s="1">
        <v>42583</v>
      </c>
      <c r="F1372" t="s">
        <v>7756</v>
      </c>
      <c r="G1372" t="e">
        <f>INDEX(#REF!,MATCH(P1372,#REF!,0),1)</f>
        <v>#REF!</v>
      </c>
      <c r="H1372" t="s">
        <v>7757</v>
      </c>
      <c r="J1372" t="s">
        <v>7758</v>
      </c>
      <c r="K1372" t="s">
        <v>65</v>
      </c>
      <c r="L1372" t="s">
        <v>7759</v>
      </c>
      <c r="M1372" t="s">
        <v>7760</v>
      </c>
      <c r="N1372">
        <v>4244</v>
      </c>
      <c r="O1372" t="s">
        <v>7756</v>
      </c>
      <c r="P1372">
        <v>4244</v>
      </c>
      <c r="Q1372" t="s">
        <v>7756</v>
      </c>
      <c r="R1372" t="s">
        <v>245</v>
      </c>
      <c r="S1372" t="s">
        <v>246</v>
      </c>
      <c r="T1372" t="s">
        <v>44</v>
      </c>
      <c r="U1372" t="s">
        <v>45</v>
      </c>
    </row>
    <row r="1373" spans="1:33" x14ac:dyDescent="0.3">
      <c r="A1373">
        <v>4245</v>
      </c>
      <c r="B1373" t="s">
        <v>7761</v>
      </c>
      <c r="C1373" t="str">
        <f>"1100002178710"</f>
        <v>1100002178710</v>
      </c>
      <c r="D1373" t="str">
        <f>"232000700"</f>
        <v>232000700</v>
      </c>
      <c r="E1373" s="1">
        <v>42583</v>
      </c>
      <c r="F1373" t="s">
        <v>7762</v>
      </c>
      <c r="G1373" t="e">
        <f>INDEX(#REF!,MATCH(P1373,#REF!,0),1)</f>
        <v>#REF!</v>
      </c>
      <c r="H1373" t="s">
        <v>7763</v>
      </c>
      <c r="J1373" t="s">
        <v>786</v>
      </c>
      <c r="K1373" t="s">
        <v>65</v>
      </c>
      <c r="L1373">
        <v>19152</v>
      </c>
      <c r="M1373" t="s">
        <v>7764</v>
      </c>
      <c r="N1373">
        <v>64464</v>
      </c>
      <c r="O1373" t="s">
        <v>7498</v>
      </c>
      <c r="P1373">
        <v>64464</v>
      </c>
      <c r="Q1373" t="s">
        <v>7498</v>
      </c>
      <c r="R1373" t="s">
        <v>254</v>
      </c>
      <c r="S1373" t="s">
        <v>255</v>
      </c>
      <c r="T1373" t="s">
        <v>44</v>
      </c>
      <c r="U1373" t="s">
        <v>45</v>
      </c>
    </row>
    <row r="1374" spans="1:33" x14ac:dyDescent="0.3">
      <c r="A1374">
        <v>4247</v>
      </c>
      <c r="B1374" t="s">
        <v>7765</v>
      </c>
      <c r="C1374" t="str">
        <f>"1100003078156"</f>
        <v>1100003078156</v>
      </c>
      <c r="D1374" t="str">
        <f>"230690K00"</f>
        <v>230690K00</v>
      </c>
      <c r="E1374" s="1">
        <v>37865</v>
      </c>
      <c r="F1374" t="s">
        <v>7766</v>
      </c>
      <c r="G1374" t="e">
        <f>INDEX(#REF!,MATCH(P1374,#REF!,0),1)</f>
        <v>#REF!</v>
      </c>
      <c r="H1374" t="s">
        <v>7767</v>
      </c>
      <c r="J1374" t="s">
        <v>7768</v>
      </c>
      <c r="K1374" t="s">
        <v>65</v>
      </c>
      <c r="L1374">
        <v>18301</v>
      </c>
      <c r="M1374" t="s">
        <v>2799</v>
      </c>
      <c r="N1374">
        <v>767149</v>
      </c>
      <c r="O1374" t="s">
        <v>1953</v>
      </c>
      <c r="P1374">
        <v>6229940</v>
      </c>
      <c r="Q1374" t="s">
        <v>2719</v>
      </c>
      <c r="R1374" t="s">
        <v>266</v>
      </c>
      <c r="S1374" t="s">
        <v>267</v>
      </c>
      <c r="T1374" t="s">
        <v>44</v>
      </c>
      <c r="U1374" t="s">
        <v>45</v>
      </c>
      <c r="AA1374" t="s">
        <v>105</v>
      </c>
      <c r="AE1374" t="s">
        <v>72</v>
      </c>
      <c r="AG1374" t="s">
        <v>48</v>
      </c>
    </row>
    <row r="1375" spans="1:33" x14ac:dyDescent="0.3">
      <c r="A1375">
        <v>4249</v>
      </c>
      <c r="B1375" t="s">
        <v>7769</v>
      </c>
      <c r="C1375" t="str">
        <f>"1100097665041"</f>
        <v>1100097665041</v>
      </c>
      <c r="D1375" t="str">
        <f>"141570I00"</f>
        <v>141570I00</v>
      </c>
      <c r="E1375" s="1">
        <v>42583</v>
      </c>
      <c r="F1375" t="s">
        <v>7770</v>
      </c>
      <c r="G1375" t="e">
        <f>INDEX(#REF!,MATCH(P1375,#REF!,0),1)</f>
        <v>#REF!</v>
      </c>
      <c r="H1375" t="s">
        <v>7771</v>
      </c>
      <c r="J1375" t="s">
        <v>7772</v>
      </c>
      <c r="K1375" t="s">
        <v>2004</v>
      </c>
      <c r="L1375" t="str">
        <f>"02072"</f>
        <v>02072</v>
      </c>
      <c r="M1375" t="s">
        <v>7773</v>
      </c>
      <c r="N1375">
        <v>2623351</v>
      </c>
      <c r="O1375" t="s">
        <v>2006</v>
      </c>
      <c r="P1375">
        <v>2623351</v>
      </c>
      <c r="Q1375" t="s">
        <v>2006</v>
      </c>
      <c r="R1375" t="s">
        <v>245</v>
      </c>
      <c r="S1375" t="s">
        <v>246</v>
      </c>
      <c r="T1375" t="s">
        <v>44</v>
      </c>
      <c r="U1375" t="s">
        <v>45</v>
      </c>
    </row>
    <row r="1376" spans="1:33" x14ac:dyDescent="0.3">
      <c r="A1376">
        <v>4250</v>
      </c>
      <c r="B1376" t="s">
        <v>7774</v>
      </c>
      <c r="C1376" t="str">
        <f>"1100005659810"</f>
        <v>1100005659810</v>
      </c>
      <c r="D1376" t="str">
        <f>"220780J00"</f>
        <v>220780J00</v>
      </c>
      <c r="E1376" s="1">
        <v>42583</v>
      </c>
      <c r="F1376" t="s">
        <v>7775</v>
      </c>
      <c r="G1376" t="e">
        <f>INDEX(#REF!,MATCH(P1376,#REF!,0),1)</f>
        <v>#REF!</v>
      </c>
      <c r="H1376" t="s">
        <v>7776</v>
      </c>
      <c r="J1376" t="s">
        <v>4792</v>
      </c>
      <c r="K1376" t="s">
        <v>251</v>
      </c>
      <c r="L1376" t="str">
        <f>"07112"</f>
        <v>07112</v>
      </c>
      <c r="M1376" t="s">
        <v>7777</v>
      </c>
      <c r="N1376">
        <v>3209841</v>
      </c>
      <c r="O1376" t="s">
        <v>410</v>
      </c>
      <c r="P1376">
        <v>3209841</v>
      </c>
      <c r="Q1376" t="s">
        <v>410</v>
      </c>
      <c r="R1376" t="s">
        <v>411</v>
      </c>
      <c r="S1376" t="s">
        <v>412</v>
      </c>
      <c r="T1376" t="s">
        <v>44</v>
      </c>
      <c r="U1376" t="s">
        <v>45</v>
      </c>
      <c r="Y1376" t="s">
        <v>46</v>
      </c>
      <c r="Z1376" s="1">
        <v>45170</v>
      </c>
      <c r="AE1376" t="s">
        <v>47</v>
      </c>
      <c r="AG1376" t="s">
        <v>48</v>
      </c>
    </row>
    <row r="1377" spans="1:33" x14ac:dyDescent="0.3">
      <c r="A1377">
        <v>4251</v>
      </c>
      <c r="B1377" t="s">
        <v>7778</v>
      </c>
      <c r="C1377" t="str">
        <f>""</f>
        <v/>
      </c>
      <c r="D1377" t="str">
        <f>"221310900"</f>
        <v>221310900</v>
      </c>
      <c r="E1377" s="1">
        <v>35674</v>
      </c>
      <c r="F1377" t="s">
        <v>7779</v>
      </c>
      <c r="G1377" t="e">
        <f>INDEX(#REF!,MATCH(P1377,#REF!,0),1)</f>
        <v>#REF!</v>
      </c>
      <c r="H1377" t="s">
        <v>7780</v>
      </c>
      <c r="J1377" t="s">
        <v>7781</v>
      </c>
      <c r="K1377" t="s">
        <v>251</v>
      </c>
      <c r="L1377" t="str">
        <f>"08360-5800"</f>
        <v>08360-5800</v>
      </c>
      <c r="M1377" t="s">
        <v>7782</v>
      </c>
      <c r="N1377">
        <v>1247</v>
      </c>
      <c r="O1377" t="s">
        <v>1820</v>
      </c>
      <c r="P1377">
        <v>1247</v>
      </c>
      <c r="Q1377" t="s">
        <v>1820</v>
      </c>
      <c r="R1377" t="s">
        <v>254</v>
      </c>
      <c r="S1377" t="s">
        <v>255</v>
      </c>
      <c r="T1377" t="s">
        <v>117</v>
      </c>
      <c r="U1377" t="s">
        <v>4072</v>
      </c>
    </row>
    <row r="1378" spans="1:33" x14ac:dyDescent="0.3">
      <c r="A1378">
        <v>4253</v>
      </c>
      <c r="B1378" t="s">
        <v>7783</v>
      </c>
      <c r="C1378" t="str">
        <f>""</f>
        <v/>
      </c>
      <c r="D1378" t="str">
        <f>"231590K00"</f>
        <v>231590K00</v>
      </c>
      <c r="E1378" s="1">
        <v>44378</v>
      </c>
      <c r="F1378" t="s">
        <v>7784</v>
      </c>
      <c r="G1378" t="e">
        <f>INDEX(#REF!,MATCH(P1378,#REF!,0),1)</f>
        <v>#REF!</v>
      </c>
      <c r="H1378" t="s">
        <v>7785</v>
      </c>
      <c r="J1378" t="s">
        <v>2759</v>
      </c>
      <c r="K1378" t="s">
        <v>65</v>
      </c>
      <c r="L1378">
        <v>19401</v>
      </c>
      <c r="M1378" t="s">
        <v>7786</v>
      </c>
      <c r="N1378">
        <v>4253</v>
      </c>
      <c r="O1378" t="s">
        <v>7784</v>
      </c>
      <c r="P1378">
        <v>4253</v>
      </c>
      <c r="Q1378" t="s">
        <v>7784</v>
      </c>
      <c r="R1378" t="s">
        <v>245</v>
      </c>
      <c r="S1378" t="s">
        <v>246</v>
      </c>
      <c r="T1378" t="s">
        <v>44</v>
      </c>
      <c r="U1378" t="s">
        <v>45</v>
      </c>
    </row>
    <row r="1379" spans="1:33" x14ac:dyDescent="0.3">
      <c r="A1379">
        <v>4255</v>
      </c>
      <c r="B1379" t="s">
        <v>7787</v>
      </c>
      <c r="C1379" t="str">
        <f>""</f>
        <v/>
      </c>
      <c r="D1379" t="str">
        <f>"232010800"</f>
        <v>232010800</v>
      </c>
      <c r="E1379" s="1">
        <v>44409</v>
      </c>
      <c r="F1379" t="s">
        <v>7788</v>
      </c>
      <c r="G1379" t="e">
        <f>INDEX(#REF!,MATCH(P1379,#REF!,0),1)</f>
        <v>#REF!</v>
      </c>
      <c r="H1379" t="s">
        <v>7789</v>
      </c>
      <c r="J1379" t="s">
        <v>786</v>
      </c>
      <c r="K1379" t="s">
        <v>65</v>
      </c>
      <c r="L1379">
        <v>19134</v>
      </c>
      <c r="M1379" t="s">
        <v>7790</v>
      </c>
      <c r="N1379">
        <v>56976</v>
      </c>
      <c r="O1379" t="s">
        <v>1752</v>
      </c>
      <c r="P1379">
        <v>56976</v>
      </c>
      <c r="Q1379" t="s">
        <v>1752</v>
      </c>
      <c r="R1379" t="s">
        <v>1753</v>
      </c>
      <c r="S1379" t="s">
        <v>1754</v>
      </c>
      <c r="T1379" t="s">
        <v>44</v>
      </c>
      <c r="U1379" t="s">
        <v>45</v>
      </c>
      <c r="AA1379" t="s">
        <v>119</v>
      </c>
      <c r="AE1379" t="s">
        <v>564</v>
      </c>
      <c r="AG1379" t="s">
        <v>48</v>
      </c>
    </row>
    <row r="1380" spans="1:33" x14ac:dyDescent="0.3">
      <c r="A1380">
        <v>4259</v>
      </c>
      <c r="B1380" t="s">
        <v>7791</v>
      </c>
      <c r="C1380" t="str">
        <f>"1100002440398"</f>
        <v>1100002440398</v>
      </c>
      <c r="D1380" t="str">
        <f>"220840G00"</f>
        <v>220840G00</v>
      </c>
      <c r="E1380" s="1">
        <v>42583</v>
      </c>
      <c r="F1380" t="s">
        <v>7792</v>
      </c>
      <c r="G1380" t="e">
        <f>INDEX(#REF!,MATCH(P1380,#REF!,0),1)</f>
        <v>#REF!</v>
      </c>
      <c r="H1380" t="s">
        <v>7793</v>
      </c>
      <c r="J1380" t="s">
        <v>7794</v>
      </c>
      <c r="K1380" t="s">
        <v>251</v>
      </c>
      <c r="L1380" t="str">
        <f>"07047"</f>
        <v>07047</v>
      </c>
      <c r="M1380" t="s">
        <v>7795</v>
      </c>
      <c r="N1380">
        <v>35683</v>
      </c>
      <c r="O1380" t="s">
        <v>931</v>
      </c>
      <c r="P1380">
        <v>35683</v>
      </c>
      <c r="Q1380" t="s">
        <v>931</v>
      </c>
      <c r="R1380" t="s">
        <v>254</v>
      </c>
      <c r="S1380" t="s">
        <v>255</v>
      </c>
      <c r="T1380" t="s">
        <v>44</v>
      </c>
      <c r="U1380" t="s">
        <v>45</v>
      </c>
    </row>
    <row r="1381" spans="1:33" x14ac:dyDescent="0.3">
      <c r="A1381">
        <v>4260</v>
      </c>
      <c r="B1381" t="s">
        <v>7796</v>
      </c>
      <c r="C1381" t="str">
        <f>""</f>
        <v/>
      </c>
      <c r="D1381" t="str">
        <f>"231640G00"</f>
        <v>231640G00</v>
      </c>
      <c r="E1381" s="1">
        <v>38565</v>
      </c>
      <c r="F1381" t="s">
        <v>2750</v>
      </c>
      <c r="G1381" t="e">
        <f>INDEX(#REF!,MATCH(P1381,#REF!,0),1)</f>
        <v>#REF!</v>
      </c>
      <c r="H1381" t="s">
        <v>2745</v>
      </c>
      <c r="J1381" t="s">
        <v>2746</v>
      </c>
      <c r="K1381" t="s">
        <v>65</v>
      </c>
      <c r="L1381" t="s">
        <v>2747</v>
      </c>
      <c r="M1381" t="s">
        <v>2748</v>
      </c>
      <c r="N1381">
        <v>3596</v>
      </c>
      <c r="O1381" t="s">
        <v>2749</v>
      </c>
      <c r="P1381">
        <v>3596</v>
      </c>
      <c r="Q1381" t="s">
        <v>2749</v>
      </c>
      <c r="R1381" t="s">
        <v>254</v>
      </c>
      <c r="S1381" t="s">
        <v>255</v>
      </c>
      <c r="T1381" t="s">
        <v>44</v>
      </c>
      <c r="U1381" t="s">
        <v>81</v>
      </c>
    </row>
    <row r="1382" spans="1:33" x14ac:dyDescent="0.3">
      <c r="A1382">
        <v>4261</v>
      </c>
      <c r="B1382" t="s">
        <v>7797</v>
      </c>
      <c r="C1382" t="str">
        <f>""</f>
        <v/>
      </c>
      <c r="D1382" t="str">
        <f>"231650H00"</f>
        <v>231650H00</v>
      </c>
      <c r="E1382" s="1">
        <v>42156</v>
      </c>
      <c r="F1382" t="s">
        <v>7798</v>
      </c>
      <c r="G1382" t="e">
        <f>INDEX(#REF!,MATCH(P1382,#REF!,0),1)</f>
        <v>#REF!</v>
      </c>
      <c r="H1382" t="s">
        <v>7799</v>
      </c>
      <c r="J1382" t="s">
        <v>7800</v>
      </c>
      <c r="K1382" t="s">
        <v>65</v>
      </c>
      <c r="L1382" t="s">
        <v>7801</v>
      </c>
      <c r="M1382" t="s">
        <v>7802</v>
      </c>
      <c r="N1382">
        <v>32845</v>
      </c>
      <c r="O1382" t="s">
        <v>7691</v>
      </c>
      <c r="P1382">
        <v>32845</v>
      </c>
      <c r="Q1382" t="s">
        <v>7691</v>
      </c>
      <c r="R1382" t="s">
        <v>1753</v>
      </c>
      <c r="S1382" t="s">
        <v>1754</v>
      </c>
      <c r="T1382" t="s">
        <v>44</v>
      </c>
      <c r="U1382" t="s">
        <v>45</v>
      </c>
      <c r="AA1382" t="s">
        <v>119</v>
      </c>
      <c r="AE1382" t="s">
        <v>564</v>
      </c>
      <c r="AG1382" t="s">
        <v>48</v>
      </c>
    </row>
    <row r="1383" spans="1:33" x14ac:dyDescent="0.3">
      <c r="A1383">
        <v>4263</v>
      </c>
      <c r="B1383" t="s">
        <v>7803</v>
      </c>
      <c r="C1383" t="str">
        <f>""</f>
        <v/>
      </c>
      <c r="D1383" t="str">
        <f>"221360E00"</f>
        <v>221360E00</v>
      </c>
      <c r="E1383" s="1">
        <v>42583</v>
      </c>
      <c r="F1383" t="s">
        <v>7804</v>
      </c>
      <c r="G1383" t="e">
        <f>INDEX(#REF!,MATCH(P1383,#REF!,0),1)</f>
        <v>#REF!</v>
      </c>
      <c r="H1383" t="s">
        <v>7805</v>
      </c>
      <c r="J1383" t="s">
        <v>7806</v>
      </c>
      <c r="K1383" t="s">
        <v>251</v>
      </c>
      <c r="L1383" t="str">
        <f>"07675"</f>
        <v>07675</v>
      </c>
      <c r="M1383" t="s">
        <v>7807</v>
      </c>
      <c r="N1383">
        <v>35683</v>
      </c>
      <c r="O1383" t="s">
        <v>931</v>
      </c>
      <c r="P1383">
        <v>35683</v>
      </c>
      <c r="Q1383" t="s">
        <v>931</v>
      </c>
      <c r="R1383" t="s">
        <v>254</v>
      </c>
      <c r="S1383" t="s">
        <v>255</v>
      </c>
      <c r="T1383" t="s">
        <v>44</v>
      </c>
      <c r="U1383" t="s">
        <v>45</v>
      </c>
    </row>
    <row r="1384" spans="1:33" x14ac:dyDescent="0.3">
      <c r="A1384">
        <v>4274</v>
      </c>
      <c r="B1384" t="s">
        <v>7808</v>
      </c>
      <c r="C1384" t="str">
        <f>""</f>
        <v/>
      </c>
      <c r="D1384" t="str">
        <f>"232060D00"</f>
        <v>232060D00</v>
      </c>
      <c r="E1384" s="1">
        <v>36305</v>
      </c>
      <c r="F1384" t="s">
        <v>7809</v>
      </c>
      <c r="G1384" t="e">
        <f>INDEX(#REF!,MATCH(P1384,#REF!,0),1)</f>
        <v>#REF!</v>
      </c>
      <c r="H1384" t="s">
        <v>7810</v>
      </c>
      <c r="J1384" t="s">
        <v>786</v>
      </c>
      <c r="K1384" t="s">
        <v>65</v>
      </c>
      <c r="L1384" t="s">
        <v>7811</v>
      </c>
      <c r="M1384" t="s">
        <v>7812</v>
      </c>
      <c r="N1384">
        <v>4007</v>
      </c>
      <c r="O1384" t="s">
        <v>276</v>
      </c>
      <c r="P1384">
        <v>4007</v>
      </c>
      <c r="Q1384" t="s">
        <v>276</v>
      </c>
      <c r="R1384" t="s">
        <v>277</v>
      </c>
      <c r="S1384" t="s">
        <v>278</v>
      </c>
      <c r="T1384" t="s">
        <v>44</v>
      </c>
      <c r="U1384" t="s">
        <v>45</v>
      </c>
      <c r="AG1384" t="s">
        <v>48</v>
      </c>
    </row>
    <row r="1385" spans="1:33" x14ac:dyDescent="0.3">
      <c r="A1385">
        <v>4276</v>
      </c>
      <c r="B1385" t="s">
        <v>7813</v>
      </c>
      <c r="C1385" t="str">
        <f>""</f>
        <v/>
      </c>
      <c r="D1385" t="str">
        <f>"221410AF0"</f>
        <v>221410AF0</v>
      </c>
      <c r="E1385" s="1">
        <v>43782</v>
      </c>
      <c r="F1385" t="s">
        <v>7814</v>
      </c>
      <c r="G1385" t="e">
        <f>INDEX(#REF!,MATCH(P1385,#REF!,0),1)</f>
        <v>#REF!</v>
      </c>
      <c r="H1385" t="s">
        <v>7815</v>
      </c>
      <c r="J1385" t="s">
        <v>7816</v>
      </c>
      <c r="K1385" t="s">
        <v>251</v>
      </c>
      <c r="L1385" t="str">
        <f>"07481"</f>
        <v>07481</v>
      </c>
      <c r="M1385" t="s">
        <v>7817</v>
      </c>
      <c r="N1385">
        <v>32720</v>
      </c>
      <c r="O1385" t="s">
        <v>7818</v>
      </c>
      <c r="P1385">
        <v>32720</v>
      </c>
      <c r="Q1385" t="s">
        <v>7818</v>
      </c>
      <c r="R1385" t="s">
        <v>6187</v>
      </c>
      <c r="S1385" t="s">
        <v>6188</v>
      </c>
      <c r="T1385" t="s">
        <v>44</v>
      </c>
      <c r="U1385" t="s">
        <v>1823</v>
      </c>
      <c r="V1385" t="s">
        <v>2215</v>
      </c>
    </row>
    <row r="1386" spans="1:33" x14ac:dyDescent="0.3">
      <c r="A1386">
        <v>4278</v>
      </c>
      <c r="B1386" t="s">
        <v>7819</v>
      </c>
      <c r="C1386" t="str">
        <f>""</f>
        <v/>
      </c>
      <c r="D1386" t="str">
        <f>"220950I00"</f>
        <v>220950I00</v>
      </c>
      <c r="E1386" s="1">
        <v>42583</v>
      </c>
      <c r="F1386" t="s">
        <v>7820</v>
      </c>
      <c r="G1386" t="e">
        <f>INDEX(#REF!,MATCH(P1386,#REF!,0),1)</f>
        <v>#REF!</v>
      </c>
      <c r="H1386" t="s">
        <v>7821</v>
      </c>
      <c r="J1386" t="s">
        <v>7822</v>
      </c>
      <c r="K1386" t="s">
        <v>251</v>
      </c>
      <c r="L1386" t="str">
        <f>"08861"</f>
        <v>08861</v>
      </c>
      <c r="M1386" t="s">
        <v>7823</v>
      </c>
      <c r="N1386">
        <v>35683</v>
      </c>
      <c r="O1386" t="s">
        <v>931</v>
      </c>
      <c r="P1386">
        <v>35683</v>
      </c>
      <c r="Q1386" t="s">
        <v>931</v>
      </c>
      <c r="R1386" t="s">
        <v>254</v>
      </c>
      <c r="S1386" t="s">
        <v>255</v>
      </c>
      <c r="T1386" t="s">
        <v>44</v>
      </c>
      <c r="U1386" t="s">
        <v>45</v>
      </c>
    </row>
    <row r="1387" spans="1:33" x14ac:dyDescent="0.3">
      <c r="A1387">
        <v>4281</v>
      </c>
      <c r="B1387" t="s">
        <v>7824</v>
      </c>
      <c r="C1387" t="str">
        <f>""</f>
        <v/>
      </c>
      <c r="D1387" t="str">
        <f>"231420C00"</f>
        <v>231420C00</v>
      </c>
      <c r="E1387" s="1">
        <v>42156</v>
      </c>
      <c r="F1387" t="s">
        <v>7825</v>
      </c>
      <c r="G1387" t="e">
        <f>INDEX(#REF!,MATCH(P1387,#REF!,0),1)</f>
        <v>#REF!</v>
      </c>
      <c r="H1387" t="s">
        <v>7826</v>
      </c>
      <c r="J1387" t="s">
        <v>7827</v>
      </c>
      <c r="K1387" t="s">
        <v>65</v>
      </c>
      <c r="L1387">
        <v>19063</v>
      </c>
      <c r="M1387" t="s">
        <v>7828</v>
      </c>
      <c r="N1387">
        <v>32845</v>
      </c>
      <c r="O1387" t="s">
        <v>7691</v>
      </c>
      <c r="P1387">
        <v>32845</v>
      </c>
      <c r="Q1387" t="s">
        <v>7691</v>
      </c>
      <c r="R1387" t="s">
        <v>1753</v>
      </c>
      <c r="S1387" t="s">
        <v>1754</v>
      </c>
      <c r="T1387" t="s">
        <v>44</v>
      </c>
      <c r="U1387" t="s">
        <v>45</v>
      </c>
      <c r="AA1387" t="s">
        <v>119</v>
      </c>
      <c r="AE1387" t="s">
        <v>564</v>
      </c>
      <c r="AG1387" t="s">
        <v>48</v>
      </c>
    </row>
    <row r="1388" spans="1:33" x14ac:dyDescent="0.3">
      <c r="A1388">
        <v>4285</v>
      </c>
      <c r="B1388" t="s">
        <v>7829</v>
      </c>
      <c r="C1388" t="str">
        <f>""</f>
        <v/>
      </c>
      <c r="D1388" t="str">
        <f>"220640E00"</f>
        <v>220640E00</v>
      </c>
      <c r="E1388" s="1">
        <v>42917</v>
      </c>
      <c r="F1388" t="s">
        <v>7830</v>
      </c>
      <c r="G1388" t="e">
        <f>INDEX(#REF!,MATCH(P1388,#REF!,0),1)</f>
        <v>#REF!</v>
      </c>
      <c r="H1388" t="s">
        <v>7831</v>
      </c>
      <c r="J1388" t="s">
        <v>7665</v>
      </c>
      <c r="K1388" t="s">
        <v>251</v>
      </c>
      <c r="L1388" t="str">
        <f>"08817"</f>
        <v>08817</v>
      </c>
      <c r="M1388" t="s">
        <v>7832</v>
      </c>
      <c r="N1388">
        <v>76560</v>
      </c>
      <c r="O1388" t="s">
        <v>7833</v>
      </c>
      <c r="P1388">
        <v>76560</v>
      </c>
      <c r="Q1388" t="s">
        <v>7833</v>
      </c>
      <c r="R1388" t="s">
        <v>7442</v>
      </c>
      <c r="S1388" t="s">
        <v>7443</v>
      </c>
      <c r="T1388" t="s">
        <v>2214</v>
      </c>
      <c r="U1388" t="s">
        <v>2214</v>
      </c>
    </row>
    <row r="1389" spans="1:33" x14ac:dyDescent="0.3">
      <c r="A1389">
        <v>4286</v>
      </c>
      <c r="B1389" t="s">
        <v>7834</v>
      </c>
      <c r="C1389" t="str">
        <f>""</f>
        <v/>
      </c>
      <c r="D1389" t="str">
        <f>"232070E00"</f>
        <v>232070E00</v>
      </c>
      <c r="E1389" s="1">
        <v>43374</v>
      </c>
      <c r="F1389" t="s">
        <v>7835</v>
      </c>
      <c r="G1389" t="e">
        <f>INDEX(#REF!,MATCH(P1389,#REF!,0),1)</f>
        <v>#REF!</v>
      </c>
      <c r="H1389" t="s">
        <v>7836</v>
      </c>
      <c r="J1389" t="s">
        <v>786</v>
      </c>
      <c r="K1389" t="s">
        <v>65</v>
      </c>
      <c r="L1389">
        <v>19128</v>
      </c>
      <c r="M1389" t="s">
        <v>7837</v>
      </c>
      <c r="N1389">
        <v>56976</v>
      </c>
      <c r="O1389" t="s">
        <v>1752</v>
      </c>
      <c r="P1389">
        <v>56976</v>
      </c>
      <c r="Q1389" t="s">
        <v>1752</v>
      </c>
      <c r="R1389" t="s">
        <v>1753</v>
      </c>
      <c r="S1389" t="s">
        <v>1754</v>
      </c>
      <c r="T1389" t="s">
        <v>2277</v>
      </c>
      <c r="U1389" t="s">
        <v>2278</v>
      </c>
      <c r="Y1389" t="s">
        <v>46</v>
      </c>
      <c r="Z1389" s="1">
        <v>43374</v>
      </c>
      <c r="AA1389" t="s">
        <v>119</v>
      </c>
      <c r="AE1389" t="s">
        <v>564</v>
      </c>
      <c r="AG1389" t="s">
        <v>48</v>
      </c>
    </row>
    <row r="1390" spans="1:33" x14ac:dyDescent="0.3">
      <c r="A1390">
        <v>4287</v>
      </c>
      <c r="B1390" t="s">
        <v>7838</v>
      </c>
      <c r="C1390" t="str">
        <f>"1100005059146"</f>
        <v>1100005059146</v>
      </c>
      <c r="D1390" t="str">
        <f>"220060A00"</f>
        <v>220060A00</v>
      </c>
      <c r="E1390" s="1">
        <v>42583</v>
      </c>
      <c r="F1390" t="s">
        <v>7839</v>
      </c>
      <c r="G1390" t="e">
        <f>INDEX(#REF!,MATCH(P1390,#REF!,0),1)</f>
        <v>#REF!</v>
      </c>
      <c r="H1390" t="s">
        <v>7840</v>
      </c>
      <c r="J1390" t="s">
        <v>7841</v>
      </c>
      <c r="K1390" t="s">
        <v>251</v>
      </c>
      <c r="L1390" t="str">
        <f>"07922"</f>
        <v>07922</v>
      </c>
      <c r="M1390" t="s">
        <v>7842</v>
      </c>
      <c r="N1390">
        <v>4287</v>
      </c>
      <c r="O1390" t="s">
        <v>7839</v>
      </c>
      <c r="P1390">
        <v>4287</v>
      </c>
      <c r="Q1390" t="s">
        <v>7839</v>
      </c>
      <c r="R1390" t="s">
        <v>245</v>
      </c>
      <c r="S1390" t="s">
        <v>246</v>
      </c>
      <c r="T1390" t="s">
        <v>44</v>
      </c>
      <c r="U1390" t="s">
        <v>717</v>
      </c>
    </row>
    <row r="1391" spans="1:33" x14ac:dyDescent="0.3">
      <c r="A1391">
        <v>4288</v>
      </c>
      <c r="B1391" t="s">
        <v>7843</v>
      </c>
      <c r="C1391" t="str">
        <f>""</f>
        <v/>
      </c>
      <c r="D1391" t="str">
        <f>"230100600"</f>
        <v>230100600</v>
      </c>
      <c r="E1391" s="1">
        <v>42583</v>
      </c>
      <c r="F1391" t="s">
        <v>7313</v>
      </c>
      <c r="G1391" t="e">
        <f>INDEX(#REF!,MATCH(P1391,#REF!,0),1)</f>
        <v>#REF!</v>
      </c>
      <c r="H1391" t="s">
        <v>7844</v>
      </c>
      <c r="J1391" t="s">
        <v>2716</v>
      </c>
      <c r="K1391" t="s">
        <v>65</v>
      </c>
      <c r="L1391">
        <v>18102</v>
      </c>
      <c r="M1391" t="s">
        <v>7845</v>
      </c>
      <c r="N1391">
        <v>3596</v>
      </c>
      <c r="O1391" t="s">
        <v>2749</v>
      </c>
      <c r="P1391">
        <v>3596</v>
      </c>
      <c r="Q1391" t="s">
        <v>2749</v>
      </c>
      <c r="R1391" t="s">
        <v>254</v>
      </c>
      <c r="S1391" t="s">
        <v>255</v>
      </c>
      <c r="T1391" t="s">
        <v>44</v>
      </c>
      <c r="U1391" t="s">
        <v>45</v>
      </c>
    </row>
    <row r="1392" spans="1:33" x14ac:dyDescent="0.3">
      <c r="A1392">
        <v>4289</v>
      </c>
      <c r="B1392" t="s">
        <v>7846</v>
      </c>
      <c r="C1392" t="str">
        <f>""</f>
        <v/>
      </c>
      <c r="D1392" t="str">
        <f>"220570G00"</f>
        <v>220570G00</v>
      </c>
      <c r="E1392" s="1">
        <v>42583</v>
      </c>
      <c r="F1392" t="s">
        <v>7847</v>
      </c>
      <c r="G1392" t="e">
        <f>INDEX(#REF!,MATCH(P1392,#REF!,0),1)</f>
        <v>#REF!</v>
      </c>
      <c r="H1392" t="s">
        <v>7848</v>
      </c>
      <c r="J1392" t="s">
        <v>7642</v>
      </c>
      <c r="K1392" t="s">
        <v>251</v>
      </c>
      <c r="L1392" t="str">
        <f>"07039"</f>
        <v>07039</v>
      </c>
      <c r="M1392" t="s">
        <v>7849</v>
      </c>
      <c r="N1392">
        <v>3209841</v>
      </c>
      <c r="O1392" t="s">
        <v>410</v>
      </c>
      <c r="P1392">
        <v>3209841</v>
      </c>
      <c r="Q1392" t="s">
        <v>410</v>
      </c>
      <c r="R1392" t="s">
        <v>411</v>
      </c>
      <c r="S1392" t="s">
        <v>412</v>
      </c>
      <c r="T1392" t="s">
        <v>44</v>
      </c>
      <c r="U1392" t="s">
        <v>45</v>
      </c>
      <c r="Y1392" t="s">
        <v>46</v>
      </c>
      <c r="Z1392" s="1">
        <v>45170</v>
      </c>
      <c r="AE1392" t="s">
        <v>47</v>
      </c>
      <c r="AG1392" t="s">
        <v>48</v>
      </c>
    </row>
    <row r="1393" spans="1:33" x14ac:dyDescent="0.3">
      <c r="A1393">
        <v>4290</v>
      </c>
      <c r="B1393" t="s">
        <v>7850</v>
      </c>
      <c r="C1393" t="str">
        <f>"1100002494919"</f>
        <v>1100002494919</v>
      </c>
      <c r="D1393" t="str">
        <f>"140370F00"</f>
        <v>140370F00</v>
      </c>
      <c r="E1393" s="1">
        <v>42583</v>
      </c>
      <c r="F1393" t="s">
        <v>7851</v>
      </c>
      <c r="G1393" t="e">
        <f>INDEX(#REF!,MATCH(P1393,#REF!,0),1)</f>
        <v>#REF!</v>
      </c>
      <c r="H1393" t="s">
        <v>7852</v>
      </c>
      <c r="J1393" t="s">
        <v>7502</v>
      </c>
      <c r="K1393" t="s">
        <v>2004</v>
      </c>
      <c r="L1393" t="str">
        <f>"02135"</f>
        <v>02135</v>
      </c>
      <c r="M1393" t="s">
        <v>7853</v>
      </c>
      <c r="N1393">
        <v>42207</v>
      </c>
      <c r="O1393" t="s">
        <v>6941</v>
      </c>
      <c r="P1393">
        <v>42207</v>
      </c>
      <c r="Q1393" t="s">
        <v>6941</v>
      </c>
      <c r="R1393" t="s">
        <v>1301</v>
      </c>
      <c r="S1393" t="s">
        <v>1302</v>
      </c>
      <c r="T1393" t="s">
        <v>44</v>
      </c>
      <c r="U1393" t="s">
        <v>45</v>
      </c>
    </row>
    <row r="1394" spans="1:33" x14ac:dyDescent="0.3">
      <c r="A1394">
        <v>4292</v>
      </c>
      <c r="B1394" t="s">
        <v>7854</v>
      </c>
      <c r="C1394" t="str">
        <f>"1100003023279"</f>
        <v>1100003023279</v>
      </c>
      <c r="D1394" t="str">
        <f>"232720G00"</f>
        <v>232720G00</v>
      </c>
      <c r="E1394" s="1">
        <v>42583</v>
      </c>
      <c r="F1394" t="s">
        <v>7855</v>
      </c>
      <c r="G1394" t="e">
        <f>INDEX(#REF!,MATCH(P1394,#REF!,0),1)</f>
        <v>#REF!</v>
      </c>
      <c r="H1394" t="s">
        <v>7856</v>
      </c>
      <c r="J1394" t="s">
        <v>7857</v>
      </c>
      <c r="K1394" t="s">
        <v>65</v>
      </c>
      <c r="L1394">
        <v>17866</v>
      </c>
      <c r="M1394" t="s">
        <v>7858</v>
      </c>
      <c r="N1394">
        <v>2472612</v>
      </c>
      <c r="O1394" t="s">
        <v>2340</v>
      </c>
      <c r="P1394">
        <v>4125</v>
      </c>
      <c r="Q1394" t="s">
        <v>7520</v>
      </c>
      <c r="R1394" t="s">
        <v>2523</v>
      </c>
      <c r="S1394" t="s">
        <v>2524</v>
      </c>
      <c r="T1394" t="s">
        <v>44</v>
      </c>
      <c r="U1394" t="s">
        <v>45</v>
      </c>
      <c r="Y1394" t="s">
        <v>46</v>
      </c>
      <c r="Z1394" s="1">
        <v>44621</v>
      </c>
      <c r="AE1394" t="s">
        <v>47</v>
      </c>
    </row>
    <row r="1395" spans="1:33" x14ac:dyDescent="0.3">
      <c r="A1395">
        <v>4295</v>
      </c>
      <c r="B1395" t="s">
        <v>7859</v>
      </c>
      <c r="C1395" t="str">
        <f>"1100004742544"</f>
        <v>1100004742544</v>
      </c>
      <c r="D1395" t="str">
        <f>"M3X47JG00"</f>
        <v>M3X47JG00</v>
      </c>
      <c r="E1395" s="1">
        <v>35339</v>
      </c>
      <c r="F1395" t="s">
        <v>7860</v>
      </c>
      <c r="G1395" t="e">
        <f>INDEX(#REF!,MATCH(P1395,#REF!,0),1)</f>
        <v>#REF!</v>
      </c>
      <c r="H1395" t="s">
        <v>7861</v>
      </c>
      <c r="J1395" t="s">
        <v>786</v>
      </c>
      <c r="K1395" t="s">
        <v>65</v>
      </c>
      <c r="L1395">
        <v>19103</v>
      </c>
      <c r="M1395" t="s">
        <v>7862</v>
      </c>
      <c r="N1395">
        <v>4295</v>
      </c>
      <c r="O1395" t="s">
        <v>7860</v>
      </c>
      <c r="P1395">
        <v>4295</v>
      </c>
      <c r="Q1395" t="s">
        <v>7860</v>
      </c>
      <c r="R1395" t="s">
        <v>6187</v>
      </c>
      <c r="S1395" t="s">
        <v>6188</v>
      </c>
      <c r="T1395" t="s">
        <v>2277</v>
      </c>
      <c r="U1395" t="s">
        <v>2278</v>
      </c>
      <c r="V1395" t="s">
        <v>2215</v>
      </c>
    </row>
    <row r="1396" spans="1:33" x14ac:dyDescent="0.3">
      <c r="A1396">
        <v>4297</v>
      </c>
      <c r="B1396" t="s">
        <v>7863</v>
      </c>
      <c r="C1396" t="str">
        <f>""</f>
        <v/>
      </c>
      <c r="D1396" t="str">
        <f>"212510B00"</f>
        <v>212510B00</v>
      </c>
      <c r="E1396" s="1">
        <v>42583</v>
      </c>
      <c r="F1396" t="s">
        <v>7864</v>
      </c>
      <c r="G1396" t="e">
        <f>INDEX(#REF!,MATCH(P1396,#REF!,0),1)</f>
        <v>#REF!</v>
      </c>
      <c r="H1396" t="s">
        <v>7865</v>
      </c>
      <c r="J1396" t="s">
        <v>7866</v>
      </c>
      <c r="K1396" t="s">
        <v>2244</v>
      </c>
      <c r="L1396" t="s">
        <v>7867</v>
      </c>
      <c r="M1396" t="s">
        <v>7868</v>
      </c>
      <c r="N1396">
        <v>37277</v>
      </c>
      <c r="O1396" t="s">
        <v>2301</v>
      </c>
      <c r="P1396">
        <v>58423</v>
      </c>
      <c r="Q1396" t="s">
        <v>2324</v>
      </c>
      <c r="R1396" t="s">
        <v>562</v>
      </c>
      <c r="S1396" t="s">
        <v>563</v>
      </c>
      <c r="T1396" t="s">
        <v>44</v>
      </c>
      <c r="U1396" t="s">
        <v>45</v>
      </c>
      <c r="AA1396" t="s">
        <v>119</v>
      </c>
      <c r="AC1396" t="s">
        <v>2310</v>
      </c>
      <c r="AE1396" t="s">
        <v>60</v>
      </c>
    </row>
    <row r="1397" spans="1:33" x14ac:dyDescent="0.3">
      <c r="A1397">
        <v>4298</v>
      </c>
      <c r="B1397" t="s">
        <v>7869</v>
      </c>
      <c r="C1397" t="str">
        <f>""</f>
        <v/>
      </c>
      <c r="D1397" t="str">
        <f>"221150B00"</f>
        <v>221150B00</v>
      </c>
      <c r="E1397" s="1">
        <v>42583</v>
      </c>
      <c r="F1397" t="s">
        <v>7870</v>
      </c>
      <c r="G1397" t="e">
        <f>INDEX(#REF!,MATCH(P1397,#REF!,0),1)</f>
        <v>#REF!</v>
      </c>
      <c r="H1397" t="s">
        <v>7871</v>
      </c>
      <c r="J1397" t="s">
        <v>7872</v>
      </c>
      <c r="K1397" t="s">
        <v>251</v>
      </c>
      <c r="L1397" t="str">
        <f>"08876"</f>
        <v>08876</v>
      </c>
      <c r="M1397" t="s">
        <v>7873</v>
      </c>
      <c r="N1397">
        <v>3209841</v>
      </c>
      <c r="O1397" t="s">
        <v>410</v>
      </c>
      <c r="P1397">
        <v>3209841</v>
      </c>
      <c r="Q1397" t="s">
        <v>410</v>
      </c>
      <c r="R1397" t="s">
        <v>411</v>
      </c>
      <c r="S1397" t="s">
        <v>412</v>
      </c>
      <c r="T1397" t="s">
        <v>44</v>
      </c>
      <c r="U1397" t="s">
        <v>45</v>
      </c>
      <c r="Y1397" t="s">
        <v>46</v>
      </c>
      <c r="Z1397" s="1">
        <v>45170</v>
      </c>
      <c r="AE1397" t="s">
        <v>47</v>
      </c>
      <c r="AG1397" t="s">
        <v>48</v>
      </c>
    </row>
    <row r="1398" spans="1:33" x14ac:dyDescent="0.3">
      <c r="A1398">
        <v>4307</v>
      </c>
      <c r="B1398" t="s">
        <v>7874</v>
      </c>
      <c r="C1398" t="str">
        <f>""</f>
        <v/>
      </c>
      <c r="D1398" t="str">
        <f>"232100800"</f>
        <v>232100800</v>
      </c>
      <c r="E1398" s="1">
        <v>42583</v>
      </c>
      <c r="F1398" t="s">
        <v>7875</v>
      </c>
      <c r="G1398" t="e">
        <f>INDEX(#REF!,MATCH(P1398,#REF!,0),1)</f>
        <v>#REF!</v>
      </c>
      <c r="H1398" t="s">
        <v>7876</v>
      </c>
      <c r="J1398" t="s">
        <v>786</v>
      </c>
      <c r="K1398" t="s">
        <v>65</v>
      </c>
      <c r="L1398">
        <v>19145</v>
      </c>
      <c r="M1398" t="s">
        <v>7877</v>
      </c>
      <c r="N1398">
        <v>64464</v>
      </c>
      <c r="O1398" t="s">
        <v>7498</v>
      </c>
      <c r="P1398">
        <v>64464</v>
      </c>
      <c r="Q1398" t="s">
        <v>7498</v>
      </c>
      <c r="R1398" t="s">
        <v>254</v>
      </c>
      <c r="S1398" t="s">
        <v>255</v>
      </c>
      <c r="T1398" t="s">
        <v>2214</v>
      </c>
      <c r="U1398" t="s">
        <v>2214</v>
      </c>
    </row>
    <row r="1399" spans="1:33" x14ac:dyDescent="0.3">
      <c r="A1399">
        <v>4309</v>
      </c>
      <c r="B1399" t="s">
        <v>7878</v>
      </c>
      <c r="C1399" t="str">
        <f>"1100004771186"</f>
        <v>1100004771186</v>
      </c>
      <c r="D1399" t="str">
        <f>"220290F00"</f>
        <v>220290F00</v>
      </c>
      <c r="E1399" s="1">
        <v>42583</v>
      </c>
      <c r="F1399" t="s">
        <v>7470</v>
      </c>
      <c r="G1399" t="e">
        <f>INDEX(#REF!,MATCH(P1399,#REF!,0),1)</f>
        <v>#REF!</v>
      </c>
      <c r="H1399" t="s">
        <v>7879</v>
      </c>
      <c r="J1399" t="s">
        <v>7468</v>
      </c>
      <c r="K1399" t="s">
        <v>251</v>
      </c>
      <c r="L1399" t="str">
        <f>"07202"</f>
        <v>07202</v>
      </c>
      <c r="M1399" t="s">
        <v>7880</v>
      </c>
      <c r="N1399">
        <v>3209841</v>
      </c>
      <c r="O1399" t="s">
        <v>410</v>
      </c>
      <c r="P1399">
        <v>3209841</v>
      </c>
      <c r="Q1399" t="s">
        <v>410</v>
      </c>
      <c r="R1399" t="s">
        <v>411</v>
      </c>
      <c r="S1399" t="s">
        <v>412</v>
      </c>
      <c r="T1399" t="s">
        <v>44</v>
      </c>
      <c r="U1399" t="s">
        <v>45</v>
      </c>
      <c r="Y1399" t="s">
        <v>46</v>
      </c>
      <c r="Z1399" s="1">
        <v>45170</v>
      </c>
      <c r="AE1399" t="s">
        <v>47</v>
      </c>
      <c r="AG1399" t="s">
        <v>48</v>
      </c>
    </row>
    <row r="1400" spans="1:33" x14ac:dyDescent="0.3">
      <c r="A1400">
        <v>4310</v>
      </c>
      <c r="B1400" t="s">
        <v>7881</v>
      </c>
      <c r="C1400" t="str">
        <f>""</f>
        <v/>
      </c>
      <c r="D1400" t="str">
        <f>"221270E00"</f>
        <v>221270E00</v>
      </c>
      <c r="E1400" s="1">
        <v>42583</v>
      </c>
      <c r="F1400" t="s">
        <v>7882</v>
      </c>
      <c r="G1400" t="e">
        <f>INDEX(#REF!,MATCH(P1400,#REF!,0),1)</f>
        <v>#REF!</v>
      </c>
      <c r="H1400" t="s">
        <v>7883</v>
      </c>
      <c r="J1400" t="s">
        <v>5175</v>
      </c>
      <c r="K1400" t="s">
        <v>251</v>
      </c>
      <c r="L1400" t="str">
        <f>"08629-1986"</f>
        <v>08629-1986</v>
      </c>
      <c r="M1400" t="s">
        <v>7884</v>
      </c>
      <c r="N1400">
        <v>32686</v>
      </c>
      <c r="O1400" t="s">
        <v>4367</v>
      </c>
      <c r="P1400">
        <v>32686</v>
      </c>
      <c r="Q1400" t="s">
        <v>4367</v>
      </c>
      <c r="R1400" t="s">
        <v>254</v>
      </c>
      <c r="S1400" t="s">
        <v>255</v>
      </c>
      <c r="T1400" t="s">
        <v>44</v>
      </c>
      <c r="U1400" t="s">
        <v>45</v>
      </c>
    </row>
    <row r="1401" spans="1:33" x14ac:dyDescent="0.3">
      <c r="A1401">
        <v>4313</v>
      </c>
      <c r="B1401" t="s">
        <v>7885</v>
      </c>
      <c r="C1401" t="str">
        <f>""</f>
        <v/>
      </c>
      <c r="D1401" t="str">
        <f>"220930G00"</f>
        <v>220930G00</v>
      </c>
      <c r="E1401" s="1">
        <v>42583</v>
      </c>
      <c r="F1401" t="s">
        <v>7886</v>
      </c>
      <c r="G1401" t="e">
        <f>INDEX(#REF!,MATCH(P1401,#REF!,0),1)</f>
        <v>#REF!</v>
      </c>
      <c r="H1401" t="s">
        <v>7887</v>
      </c>
      <c r="J1401" t="s">
        <v>7888</v>
      </c>
      <c r="K1401" t="s">
        <v>251</v>
      </c>
      <c r="L1401" t="str">
        <f>"07503"</f>
        <v>07503</v>
      </c>
      <c r="M1401" t="s">
        <v>7889</v>
      </c>
      <c r="N1401">
        <v>3660652</v>
      </c>
      <c r="O1401" t="s">
        <v>7890</v>
      </c>
      <c r="P1401">
        <v>3660652</v>
      </c>
      <c r="Q1401" t="s">
        <v>7890</v>
      </c>
      <c r="R1401" t="s">
        <v>909</v>
      </c>
      <c r="S1401" t="s">
        <v>910</v>
      </c>
      <c r="T1401" t="s">
        <v>44</v>
      </c>
      <c r="U1401" t="s">
        <v>45</v>
      </c>
      <c r="AA1401" t="s">
        <v>337</v>
      </c>
      <c r="AD1401" t="s">
        <v>94</v>
      </c>
      <c r="AE1401" t="s">
        <v>564</v>
      </c>
      <c r="AG1401" t="s">
        <v>48</v>
      </c>
    </row>
    <row r="1402" spans="1:33" x14ac:dyDescent="0.3">
      <c r="A1402">
        <v>4316</v>
      </c>
      <c r="B1402" t="s">
        <v>7891</v>
      </c>
      <c r="C1402" t="str">
        <f>"1100003298684"</f>
        <v>1100003298684</v>
      </c>
      <c r="D1402" t="str">
        <f>"232530F00"</f>
        <v>232530F00</v>
      </c>
      <c r="E1402" s="1">
        <v>42583</v>
      </c>
      <c r="F1402" t="s">
        <v>7892</v>
      </c>
      <c r="G1402" t="e">
        <f>INDEX(#REF!,MATCH(P1402,#REF!,0),1)</f>
        <v>#REF!</v>
      </c>
      <c r="H1402" t="s">
        <v>7893</v>
      </c>
      <c r="J1402" t="s">
        <v>7894</v>
      </c>
      <c r="K1402" t="s">
        <v>65</v>
      </c>
      <c r="L1402">
        <v>18951</v>
      </c>
      <c r="M1402" t="s">
        <v>7895</v>
      </c>
      <c r="N1402">
        <v>3596</v>
      </c>
      <c r="O1402" t="s">
        <v>2749</v>
      </c>
      <c r="P1402">
        <v>3596</v>
      </c>
      <c r="Q1402" t="s">
        <v>2749</v>
      </c>
      <c r="R1402" t="s">
        <v>254</v>
      </c>
      <c r="S1402" t="s">
        <v>255</v>
      </c>
      <c r="T1402" t="s">
        <v>44</v>
      </c>
      <c r="U1402" t="s">
        <v>45</v>
      </c>
    </row>
    <row r="1403" spans="1:33" x14ac:dyDescent="0.3">
      <c r="A1403">
        <v>4317</v>
      </c>
      <c r="B1403" t="s">
        <v>7896</v>
      </c>
      <c r="C1403" t="str">
        <f>"1100002031251"</f>
        <v>1100002031251</v>
      </c>
      <c r="D1403" t="str">
        <f>"231190G00"</f>
        <v>231190G00</v>
      </c>
      <c r="E1403" s="1">
        <v>42583</v>
      </c>
      <c r="F1403" t="s">
        <v>7897</v>
      </c>
      <c r="G1403" t="e">
        <f>INDEX(#REF!,MATCH(P1403,#REF!,0),1)</f>
        <v>#REF!</v>
      </c>
      <c r="H1403" t="s">
        <v>7898</v>
      </c>
      <c r="J1403" t="s">
        <v>7899</v>
      </c>
      <c r="K1403" t="s">
        <v>65</v>
      </c>
      <c r="L1403">
        <v>19047</v>
      </c>
      <c r="M1403" t="s">
        <v>7900</v>
      </c>
      <c r="N1403">
        <v>64464</v>
      </c>
      <c r="O1403" t="s">
        <v>7498</v>
      </c>
      <c r="P1403">
        <v>64464</v>
      </c>
      <c r="Q1403" t="s">
        <v>7498</v>
      </c>
      <c r="R1403" t="s">
        <v>254</v>
      </c>
      <c r="S1403" t="s">
        <v>255</v>
      </c>
      <c r="T1403" t="s">
        <v>44</v>
      </c>
      <c r="U1403" t="s">
        <v>45</v>
      </c>
    </row>
    <row r="1404" spans="1:33" x14ac:dyDescent="0.3">
      <c r="A1404">
        <v>4320</v>
      </c>
      <c r="B1404" t="s">
        <v>7901</v>
      </c>
      <c r="C1404" t="str">
        <f>"1100004128904"</f>
        <v>1100004128904</v>
      </c>
      <c r="D1404" t="str">
        <f>"231610D00"</f>
        <v>231610D00</v>
      </c>
      <c r="E1404" s="1">
        <v>44531</v>
      </c>
      <c r="F1404" t="s">
        <v>7902</v>
      </c>
      <c r="G1404" t="e">
        <f>INDEX(#REF!,MATCH(P1404,#REF!,0),1)</f>
        <v>#REF!</v>
      </c>
      <c r="H1404" t="s">
        <v>7903</v>
      </c>
      <c r="J1404" t="s">
        <v>2759</v>
      </c>
      <c r="K1404" t="s">
        <v>65</v>
      </c>
      <c r="L1404">
        <v>19401</v>
      </c>
      <c r="M1404" t="s">
        <v>7904</v>
      </c>
      <c r="N1404">
        <v>64464</v>
      </c>
      <c r="O1404" t="s">
        <v>7498</v>
      </c>
      <c r="P1404">
        <v>64464</v>
      </c>
      <c r="Q1404" t="s">
        <v>7498</v>
      </c>
      <c r="R1404" t="s">
        <v>254</v>
      </c>
      <c r="S1404" t="s">
        <v>255</v>
      </c>
      <c r="T1404" t="s">
        <v>44</v>
      </c>
      <c r="U1404" t="s">
        <v>45</v>
      </c>
    </row>
    <row r="1405" spans="1:33" x14ac:dyDescent="0.3">
      <c r="A1405">
        <v>4323</v>
      </c>
      <c r="B1405" t="s">
        <v>7905</v>
      </c>
      <c r="C1405" t="str">
        <f>"1200180163246"</f>
        <v>1200180163246</v>
      </c>
      <c r="D1405" t="str">
        <f>"232140C00"</f>
        <v>232140C00</v>
      </c>
      <c r="E1405" s="1">
        <v>42583</v>
      </c>
      <c r="F1405" t="s">
        <v>1760</v>
      </c>
      <c r="G1405" t="e">
        <f>INDEX(#REF!,MATCH(P1405,#REF!,0),1)</f>
        <v>#REF!</v>
      </c>
      <c r="H1405" t="s">
        <v>7906</v>
      </c>
      <c r="J1405" t="s">
        <v>786</v>
      </c>
      <c r="K1405" t="s">
        <v>65</v>
      </c>
      <c r="L1405">
        <v>19140</v>
      </c>
      <c r="M1405" t="s">
        <v>1850</v>
      </c>
      <c r="N1405">
        <v>56976</v>
      </c>
      <c r="O1405" t="s">
        <v>1752</v>
      </c>
      <c r="P1405">
        <v>56976</v>
      </c>
      <c r="Q1405" t="s">
        <v>1752</v>
      </c>
      <c r="R1405" t="s">
        <v>1753</v>
      </c>
      <c r="S1405" t="s">
        <v>1754</v>
      </c>
      <c r="T1405" t="s">
        <v>44</v>
      </c>
      <c r="U1405" t="s">
        <v>45</v>
      </c>
      <c r="Y1405" t="s">
        <v>46</v>
      </c>
      <c r="Z1405" s="1">
        <v>42644</v>
      </c>
      <c r="AA1405" t="s">
        <v>119</v>
      </c>
      <c r="AE1405" t="s">
        <v>564</v>
      </c>
      <c r="AG1405" t="s">
        <v>48</v>
      </c>
    </row>
    <row r="1406" spans="1:33" x14ac:dyDescent="0.3">
      <c r="A1406">
        <v>4325</v>
      </c>
      <c r="B1406" t="s">
        <v>7907</v>
      </c>
      <c r="C1406" t="str">
        <f>"1100004990839"</f>
        <v>1100004990839</v>
      </c>
      <c r="D1406" t="str">
        <f>"221110700"</f>
        <v>221110700</v>
      </c>
      <c r="E1406" s="1">
        <v>42583</v>
      </c>
      <c r="F1406" t="s">
        <v>7908</v>
      </c>
      <c r="G1406" t="e">
        <f>INDEX(#REF!,MATCH(P1406,#REF!,0),1)</f>
        <v>#REF!</v>
      </c>
      <c r="H1406" t="s">
        <v>7909</v>
      </c>
      <c r="J1406" t="s">
        <v>7910</v>
      </c>
      <c r="K1406" t="s">
        <v>251</v>
      </c>
      <c r="L1406" t="str">
        <f>"08079"</f>
        <v>08079</v>
      </c>
      <c r="M1406" t="s">
        <v>7911</v>
      </c>
      <c r="N1406">
        <v>1247</v>
      </c>
      <c r="O1406" t="s">
        <v>1820</v>
      </c>
      <c r="P1406">
        <v>1247</v>
      </c>
      <c r="Q1406" t="s">
        <v>1820</v>
      </c>
      <c r="R1406" t="s">
        <v>254</v>
      </c>
      <c r="S1406" t="s">
        <v>255</v>
      </c>
      <c r="T1406" t="s">
        <v>44</v>
      </c>
      <c r="U1406" t="s">
        <v>45</v>
      </c>
    </row>
    <row r="1407" spans="1:33" x14ac:dyDescent="0.3">
      <c r="A1407">
        <v>4328</v>
      </c>
      <c r="B1407" t="s">
        <v>7912</v>
      </c>
      <c r="C1407" t="str">
        <f>""</f>
        <v/>
      </c>
      <c r="D1407" t="str">
        <f>"221070C00"</f>
        <v>221070C00</v>
      </c>
      <c r="E1407" s="1">
        <v>36039</v>
      </c>
      <c r="F1407" t="s">
        <v>7913</v>
      </c>
      <c r="G1407" t="e">
        <f>INDEX(#REF!,MATCH(P1407,#REF!,0),1)</f>
        <v>#REF!</v>
      </c>
      <c r="H1407" t="s">
        <v>7914</v>
      </c>
      <c r="J1407" t="s">
        <v>7915</v>
      </c>
      <c r="K1407" t="s">
        <v>251</v>
      </c>
      <c r="L1407" t="str">
        <f>"07450-2726"</f>
        <v>07450-2726</v>
      </c>
      <c r="M1407" t="s">
        <v>7916</v>
      </c>
      <c r="N1407">
        <v>46430</v>
      </c>
      <c r="O1407" t="s">
        <v>7917</v>
      </c>
      <c r="P1407">
        <v>4125573</v>
      </c>
      <c r="Q1407" t="s">
        <v>7918</v>
      </c>
      <c r="R1407" t="s">
        <v>1283</v>
      </c>
      <c r="S1407" t="s">
        <v>1284</v>
      </c>
      <c r="T1407" t="s">
        <v>44</v>
      </c>
      <c r="U1407" t="s">
        <v>45</v>
      </c>
      <c r="Y1407" t="s">
        <v>46</v>
      </c>
      <c r="Z1407" s="1">
        <v>42278</v>
      </c>
      <c r="AE1407" t="s">
        <v>564</v>
      </c>
    </row>
    <row r="1408" spans="1:33" x14ac:dyDescent="0.3">
      <c r="A1408">
        <v>4329</v>
      </c>
      <c r="B1408" t="s">
        <v>7919</v>
      </c>
      <c r="C1408" t="str">
        <f>""</f>
        <v/>
      </c>
      <c r="D1408" t="str">
        <f>"34FJKC100"</f>
        <v>34FJKC100</v>
      </c>
      <c r="E1408" s="1">
        <v>42917</v>
      </c>
      <c r="F1408" t="s">
        <v>7920</v>
      </c>
      <c r="G1408" t="e">
        <f>INDEX(#REF!,MATCH(P1408,#REF!,0),1)</f>
        <v>#REF!</v>
      </c>
      <c r="H1408" t="s">
        <v>7921</v>
      </c>
      <c r="J1408" t="s">
        <v>7922</v>
      </c>
      <c r="K1408" t="s">
        <v>251</v>
      </c>
      <c r="L1408" t="str">
        <f>"07420-1520"</f>
        <v>07420-1520</v>
      </c>
      <c r="M1408" t="s">
        <v>7923</v>
      </c>
      <c r="N1408">
        <v>35291</v>
      </c>
      <c r="O1408" t="s">
        <v>7924</v>
      </c>
      <c r="P1408">
        <v>35291</v>
      </c>
      <c r="Q1408" t="s">
        <v>7924</v>
      </c>
      <c r="R1408" t="s">
        <v>7442</v>
      </c>
      <c r="S1408" t="s">
        <v>7443</v>
      </c>
      <c r="T1408" t="s">
        <v>2214</v>
      </c>
      <c r="U1408" t="s">
        <v>2214</v>
      </c>
    </row>
    <row r="1409" spans="1:33" x14ac:dyDescent="0.3">
      <c r="A1409">
        <v>4330</v>
      </c>
      <c r="B1409" t="s">
        <v>7925</v>
      </c>
      <c r="C1409" t="str">
        <f>"1100004605603"</f>
        <v>1100004605603</v>
      </c>
      <c r="D1409" t="str">
        <f>"MHUET8C00"</f>
        <v>MHUET8C00</v>
      </c>
      <c r="E1409" s="1">
        <v>42583</v>
      </c>
      <c r="F1409" t="s">
        <v>1954</v>
      </c>
      <c r="G1409" t="e">
        <f>INDEX(#REF!,MATCH(P1409,#REF!,0),1)</f>
        <v>#REF!</v>
      </c>
      <c r="H1409" t="s">
        <v>7926</v>
      </c>
      <c r="J1409" t="s">
        <v>786</v>
      </c>
      <c r="K1409" t="s">
        <v>65</v>
      </c>
      <c r="L1409">
        <v>19107</v>
      </c>
      <c r="M1409" t="s">
        <v>7927</v>
      </c>
      <c r="N1409">
        <v>767149</v>
      </c>
      <c r="O1409" t="s">
        <v>1953</v>
      </c>
      <c r="P1409">
        <v>767149</v>
      </c>
      <c r="Q1409" t="s">
        <v>1953</v>
      </c>
      <c r="R1409" t="s">
        <v>266</v>
      </c>
      <c r="S1409" t="s">
        <v>267</v>
      </c>
      <c r="T1409" t="s">
        <v>44</v>
      </c>
      <c r="U1409" t="s">
        <v>45</v>
      </c>
      <c r="AA1409" t="s">
        <v>105</v>
      </c>
      <c r="AE1409" t="s">
        <v>72</v>
      </c>
      <c r="AG1409" t="s">
        <v>48</v>
      </c>
    </row>
    <row r="1410" spans="1:33" x14ac:dyDescent="0.3">
      <c r="A1410">
        <v>4332</v>
      </c>
      <c r="B1410" t="s">
        <v>7928</v>
      </c>
      <c r="C1410" t="str">
        <f>""</f>
        <v/>
      </c>
      <c r="D1410" t="str">
        <f>"221280F00"</f>
        <v>221280F00</v>
      </c>
      <c r="E1410" s="1">
        <v>42583</v>
      </c>
      <c r="F1410" t="s">
        <v>7929</v>
      </c>
      <c r="G1410" t="e">
        <f>INDEX(#REF!,MATCH(P1410,#REF!,0),1)</f>
        <v>#REF!</v>
      </c>
      <c r="H1410" t="s">
        <v>7930</v>
      </c>
      <c r="J1410" t="s">
        <v>5175</v>
      </c>
      <c r="K1410" t="s">
        <v>251</v>
      </c>
      <c r="L1410" t="str">
        <f>"08628"</f>
        <v>08628</v>
      </c>
      <c r="M1410" t="s">
        <v>7931</v>
      </c>
      <c r="N1410">
        <v>4332</v>
      </c>
      <c r="O1410" t="s">
        <v>7929</v>
      </c>
      <c r="P1410">
        <v>4332</v>
      </c>
      <c r="Q1410" t="s">
        <v>7929</v>
      </c>
      <c r="R1410" t="s">
        <v>245</v>
      </c>
      <c r="S1410" t="s">
        <v>246</v>
      </c>
      <c r="T1410" t="s">
        <v>44</v>
      </c>
      <c r="U1410" t="s">
        <v>1823</v>
      </c>
    </row>
    <row r="1411" spans="1:33" x14ac:dyDescent="0.3">
      <c r="A1411">
        <v>4335</v>
      </c>
      <c r="B1411" t="s">
        <v>7932</v>
      </c>
      <c r="C1411" t="str">
        <f>""</f>
        <v/>
      </c>
      <c r="D1411" t="str">
        <f>"221300800"</f>
        <v>221300800</v>
      </c>
      <c r="E1411" s="1">
        <v>42583</v>
      </c>
      <c r="F1411" t="s">
        <v>7933</v>
      </c>
      <c r="G1411" t="e">
        <f>INDEX(#REF!,MATCH(P1411,#REF!,0),1)</f>
        <v>#REF!</v>
      </c>
      <c r="H1411" t="s">
        <v>7934</v>
      </c>
      <c r="J1411" t="s">
        <v>7935</v>
      </c>
      <c r="K1411" t="s">
        <v>251</v>
      </c>
      <c r="L1411" t="str">
        <f>"07083"</f>
        <v>07083</v>
      </c>
      <c r="M1411" t="s">
        <v>7936</v>
      </c>
      <c r="N1411">
        <v>37243</v>
      </c>
      <c r="O1411" t="s">
        <v>2668</v>
      </c>
      <c r="P1411">
        <v>37243</v>
      </c>
      <c r="Q1411" t="s">
        <v>2668</v>
      </c>
      <c r="R1411" t="s">
        <v>254</v>
      </c>
      <c r="S1411" t="s">
        <v>255</v>
      </c>
      <c r="T1411" t="s">
        <v>44</v>
      </c>
      <c r="U1411" t="s">
        <v>7937</v>
      </c>
    </row>
    <row r="1412" spans="1:33" x14ac:dyDescent="0.3">
      <c r="A1412">
        <v>4336</v>
      </c>
      <c r="B1412" t="s">
        <v>7938</v>
      </c>
      <c r="C1412" t="str">
        <f>""</f>
        <v/>
      </c>
      <c r="D1412" t="str">
        <f>"230710D00"</f>
        <v>230710D00</v>
      </c>
      <c r="E1412" s="1">
        <v>44470</v>
      </c>
      <c r="F1412" t="s">
        <v>7939</v>
      </c>
      <c r="G1412" t="e">
        <f>INDEX(#REF!,MATCH(P1412,#REF!,0),1)</f>
        <v>#REF!</v>
      </c>
      <c r="H1412" t="s">
        <v>7940</v>
      </c>
      <c r="J1412" t="s">
        <v>7600</v>
      </c>
      <c r="K1412" t="s">
        <v>65</v>
      </c>
      <c r="L1412" t="s">
        <v>7941</v>
      </c>
      <c r="M1412" t="s">
        <v>7942</v>
      </c>
      <c r="N1412">
        <v>2603008</v>
      </c>
      <c r="O1412" t="s">
        <v>3927</v>
      </c>
      <c r="P1412">
        <v>4158</v>
      </c>
      <c r="Q1412" t="s">
        <v>7598</v>
      </c>
      <c r="R1412" t="s">
        <v>1753</v>
      </c>
      <c r="S1412" t="s">
        <v>1754</v>
      </c>
      <c r="T1412" t="s">
        <v>44</v>
      </c>
      <c r="U1412" t="s">
        <v>45</v>
      </c>
      <c r="AA1412" t="s">
        <v>119</v>
      </c>
      <c r="AE1412" t="s">
        <v>564</v>
      </c>
      <c r="AG1412" t="s">
        <v>48</v>
      </c>
    </row>
    <row r="1413" spans="1:33" x14ac:dyDescent="0.3">
      <c r="A1413">
        <v>4338</v>
      </c>
      <c r="B1413" t="s">
        <v>7943</v>
      </c>
      <c r="C1413" t="str">
        <f>"1100002266110"</f>
        <v>1100002266110</v>
      </c>
      <c r="D1413" t="str">
        <f>"231620E00"</f>
        <v>231620E00</v>
      </c>
      <c r="E1413" s="1">
        <v>42583</v>
      </c>
      <c r="F1413" t="s">
        <v>7944</v>
      </c>
      <c r="G1413" t="e">
        <f>INDEX(#REF!,MATCH(P1413,#REF!,0),1)</f>
        <v>#REF!</v>
      </c>
      <c r="H1413" t="s">
        <v>7945</v>
      </c>
      <c r="J1413" t="s">
        <v>2759</v>
      </c>
      <c r="K1413" t="s">
        <v>65</v>
      </c>
      <c r="L1413">
        <v>19403</v>
      </c>
      <c r="M1413" t="s">
        <v>7946</v>
      </c>
      <c r="N1413">
        <v>6159350</v>
      </c>
      <c r="O1413" t="s">
        <v>7947</v>
      </c>
      <c r="P1413">
        <v>6159350</v>
      </c>
      <c r="Q1413" t="s">
        <v>7947</v>
      </c>
      <c r="R1413" t="s">
        <v>254</v>
      </c>
      <c r="S1413" t="s">
        <v>255</v>
      </c>
      <c r="T1413" t="s">
        <v>44</v>
      </c>
      <c r="U1413" t="s">
        <v>717</v>
      </c>
    </row>
    <row r="1414" spans="1:33" x14ac:dyDescent="0.3">
      <c r="A1414">
        <v>4341</v>
      </c>
      <c r="B1414" t="s">
        <v>7948</v>
      </c>
      <c r="C1414" t="str">
        <f>""</f>
        <v/>
      </c>
      <c r="D1414" t="str">
        <f>"221340C00"</f>
        <v>221340C00</v>
      </c>
      <c r="E1414" s="1">
        <v>42583</v>
      </c>
      <c r="F1414" t="s">
        <v>7949</v>
      </c>
      <c r="G1414" t="e">
        <f>INDEX(#REF!,MATCH(P1414,#REF!,0),1)</f>
        <v>#REF!</v>
      </c>
      <c r="H1414" t="s">
        <v>7950</v>
      </c>
      <c r="J1414" t="s">
        <v>7951</v>
      </c>
      <c r="K1414" t="s">
        <v>251</v>
      </c>
      <c r="L1414" t="str">
        <f>"07470"</f>
        <v>07470</v>
      </c>
      <c r="M1414" t="s">
        <v>7952</v>
      </c>
      <c r="N1414">
        <v>3660652</v>
      </c>
      <c r="O1414" t="s">
        <v>7890</v>
      </c>
      <c r="P1414">
        <v>3660652</v>
      </c>
      <c r="Q1414" t="s">
        <v>7890</v>
      </c>
      <c r="R1414" t="s">
        <v>909</v>
      </c>
      <c r="S1414" t="s">
        <v>910</v>
      </c>
      <c r="T1414" t="s">
        <v>44</v>
      </c>
      <c r="U1414" t="s">
        <v>45</v>
      </c>
      <c r="AA1414" t="s">
        <v>337</v>
      </c>
      <c r="AD1414" t="s">
        <v>94</v>
      </c>
      <c r="AE1414" t="s">
        <v>564</v>
      </c>
      <c r="AG1414" t="s">
        <v>48</v>
      </c>
    </row>
    <row r="1415" spans="1:33" x14ac:dyDescent="0.3">
      <c r="A1415">
        <v>4342</v>
      </c>
      <c r="B1415" t="s">
        <v>7953</v>
      </c>
      <c r="C1415" t="str">
        <f>""</f>
        <v/>
      </c>
      <c r="D1415" t="str">
        <f>"231020800"</f>
        <v>231020800</v>
      </c>
      <c r="E1415" s="1">
        <v>42583</v>
      </c>
      <c r="F1415" t="s">
        <v>7954</v>
      </c>
      <c r="G1415" t="e">
        <f>INDEX(#REF!,MATCH(P1415,#REF!,0),1)</f>
        <v>#REF!</v>
      </c>
      <c r="H1415" t="s">
        <v>7955</v>
      </c>
      <c r="J1415" t="s">
        <v>7956</v>
      </c>
      <c r="K1415" t="s">
        <v>65</v>
      </c>
      <c r="L1415">
        <v>18431</v>
      </c>
      <c r="M1415" t="s">
        <v>7957</v>
      </c>
      <c r="N1415">
        <v>4342</v>
      </c>
      <c r="O1415" t="s">
        <v>7954</v>
      </c>
      <c r="P1415">
        <v>4342</v>
      </c>
      <c r="Q1415" t="s">
        <v>7954</v>
      </c>
      <c r="R1415" t="s">
        <v>940</v>
      </c>
      <c r="S1415" t="s">
        <v>941</v>
      </c>
      <c r="T1415" t="s">
        <v>44</v>
      </c>
      <c r="U1415" t="s">
        <v>45</v>
      </c>
    </row>
    <row r="1416" spans="1:33" x14ac:dyDescent="0.3">
      <c r="A1416">
        <v>4346</v>
      </c>
      <c r="B1416" t="s">
        <v>7958</v>
      </c>
      <c r="C1416" t="str">
        <f>"1100003215094"</f>
        <v>1100003215094</v>
      </c>
      <c r="D1416" t="str">
        <f>"220530C00"</f>
        <v>220530C00</v>
      </c>
      <c r="E1416" s="1">
        <v>42583</v>
      </c>
      <c r="F1416" t="s">
        <v>7959</v>
      </c>
      <c r="G1416" t="e">
        <f>INDEX(#REF!,MATCH(P1416,#REF!,0),1)</f>
        <v>#REF!</v>
      </c>
      <c r="H1416" t="s">
        <v>7960</v>
      </c>
      <c r="J1416" t="s">
        <v>7961</v>
      </c>
      <c r="K1416" t="s">
        <v>251</v>
      </c>
      <c r="L1416" t="str">
        <f>"07032"</f>
        <v>07032</v>
      </c>
      <c r="M1416" t="s">
        <v>7962</v>
      </c>
      <c r="N1416">
        <v>3209841</v>
      </c>
      <c r="O1416" t="s">
        <v>410</v>
      </c>
      <c r="P1416">
        <v>3209841</v>
      </c>
      <c r="Q1416" t="s">
        <v>410</v>
      </c>
      <c r="R1416" t="s">
        <v>411</v>
      </c>
      <c r="S1416" t="s">
        <v>412</v>
      </c>
      <c r="T1416" t="s">
        <v>44</v>
      </c>
      <c r="U1416" t="s">
        <v>45</v>
      </c>
      <c r="Y1416" t="s">
        <v>46</v>
      </c>
      <c r="Z1416" s="1">
        <v>45170</v>
      </c>
      <c r="AE1416" t="s">
        <v>47</v>
      </c>
      <c r="AG1416" t="s">
        <v>48</v>
      </c>
    </row>
    <row r="1417" spans="1:33" x14ac:dyDescent="0.3">
      <c r="A1417">
        <v>4347</v>
      </c>
      <c r="B1417" t="s">
        <v>7963</v>
      </c>
      <c r="C1417" t="str">
        <f>""</f>
        <v/>
      </c>
      <c r="D1417" t="str">
        <f>"220070BF0"</f>
        <v>220070BF0</v>
      </c>
      <c r="E1417" s="1">
        <v>36892</v>
      </c>
      <c r="F1417" t="s">
        <v>7964</v>
      </c>
      <c r="G1417" t="e">
        <f>INDEX(#REF!,MATCH(P1417,#REF!,0),1)</f>
        <v>#REF!</v>
      </c>
      <c r="H1417" t="s">
        <v>7965</v>
      </c>
      <c r="J1417" t="s">
        <v>1288</v>
      </c>
      <c r="K1417" t="s">
        <v>251</v>
      </c>
      <c r="L1417" t="str">
        <f>"08009-9035"</f>
        <v>08009-9035</v>
      </c>
      <c r="M1417" t="s">
        <v>7966</v>
      </c>
      <c r="N1417">
        <v>109541</v>
      </c>
      <c r="O1417" t="s">
        <v>253</v>
      </c>
      <c r="P1417">
        <v>109541</v>
      </c>
      <c r="Q1417" t="s">
        <v>253</v>
      </c>
      <c r="R1417" t="s">
        <v>254</v>
      </c>
      <c r="S1417" t="s">
        <v>255</v>
      </c>
      <c r="T1417" t="s">
        <v>44</v>
      </c>
      <c r="U1417" t="s">
        <v>45</v>
      </c>
    </row>
    <row r="1418" spans="1:33" x14ac:dyDescent="0.3">
      <c r="A1418">
        <v>4349</v>
      </c>
      <c r="B1418" t="s">
        <v>7967</v>
      </c>
      <c r="C1418" t="str">
        <f>""</f>
        <v/>
      </c>
      <c r="D1418" t="str">
        <f>"220630D00"</f>
        <v>220630D00</v>
      </c>
      <c r="E1418" s="1">
        <v>36892</v>
      </c>
      <c r="F1418" t="s">
        <v>7968</v>
      </c>
      <c r="G1418" t="e">
        <f>INDEX(#REF!,MATCH(P1418,#REF!,0),1)</f>
        <v>#REF!</v>
      </c>
      <c r="H1418" t="s">
        <v>7969</v>
      </c>
      <c r="J1418" t="s">
        <v>7970</v>
      </c>
      <c r="K1418" t="s">
        <v>251</v>
      </c>
      <c r="L1418" t="str">
        <f>"08053-2177"</f>
        <v>08053-2177</v>
      </c>
      <c r="M1418" t="s">
        <v>7971</v>
      </c>
      <c r="N1418">
        <v>109541</v>
      </c>
      <c r="O1418" t="s">
        <v>253</v>
      </c>
      <c r="P1418">
        <v>109541</v>
      </c>
      <c r="Q1418" t="s">
        <v>253</v>
      </c>
      <c r="R1418" t="s">
        <v>254</v>
      </c>
      <c r="S1418" t="s">
        <v>255</v>
      </c>
      <c r="T1418" t="s">
        <v>44</v>
      </c>
      <c r="U1418" t="s">
        <v>45</v>
      </c>
    </row>
    <row r="1419" spans="1:33" x14ac:dyDescent="0.3">
      <c r="A1419">
        <v>4350</v>
      </c>
      <c r="B1419" t="s">
        <v>7972</v>
      </c>
      <c r="C1419" t="str">
        <f>""</f>
        <v/>
      </c>
      <c r="D1419" t="str">
        <f>"221330B00"</f>
        <v>221330B00</v>
      </c>
      <c r="E1419" s="1">
        <v>36892</v>
      </c>
      <c r="F1419" t="s">
        <v>7973</v>
      </c>
      <c r="G1419" t="e">
        <f>INDEX(#REF!,MATCH(P1419,#REF!,0),1)</f>
        <v>#REF!</v>
      </c>
      <c r="H1419" t="s">
        <v>7974</v>
      </c>
      <c r="J1419" t="s">
        <v>7975</v>
      </c>
      <c r="K1419" t="s">
        <v>251</v>
      </c>
      <c r="L1419" t="str">
        <f>"08043-9612"</f>
        <v>08043-9612</v>
      </c>
      <c r="M1419" t="s">
        <v>7976</v>
      </c>
      <c r="N1419">
        <v>109541</v>
      </c>
      <c r="O1419" t="s">
        <v>253</v>
      </c>
      <c r="P1419">
        <v>109541</v>
      </c>
      <c r="Q1419" t="s">
        <v>253</v>
      </c>
      <c r="R1419" t="s">
        <v>254</v>
      </c>
      <c r="S1419" t="s">
        <v>255</v>
      </c>
      <c r="T1419" t="s">
        <v>44</v>
      </c>
      <c r="U1419" t="s">
        <v>45</v>
      </c>
    </row>
    <row r="1420" spans="1:33" x14ac:dyDescent="0.3">
      <c r="A1420">
        <v>4356</v>
      </c>
      <c r="B1420" t="s">
        <v>7977</v>
      </c>
      <c r="C1420" t="str">
        <f>""</f>
        <v/>
      </c>
      <c r="D1420" t="str">
        <f>"141250D00"</f>
        <v>141250D00</v>
      </c>
      <c r="E1420" s="1">
        <v>42583</v>
      </c>
      <c r="F1420" t="s">
        <v>7978</v>
      </c>
      <c r="G1420" t="e">
        <f>INDEX(#REF!,MATCH(P1420,#REF!,0),1)</f>
        <v>#REF!</v>
      </c>
      <c r="H1420" t="s">
        <v>7979</v>
      </c>
      <c r="J1420" t="s">
        <v>7980</v>
      </c>
      <c r="K1420" t="s">
        <v>2004</v>
      </c>
      <c r="L1420" t="str">
        <f>"01069"</f>
        <v>01069</v>
      </c>
      <c r="M1420" t="s">
        <v>7981</v>
      </c>
      <c r="N1420">
        <v>33556</v>
      </c>
      <c r="O1420" t="s">
        <v>2934</v>
      </c>
      <c r="P1420">
        <v>33556</v>
      </c>
      <c r="Q1420" t="s">
        <v>2934</v>
      </c>
      <c r="R1420" t="s">
        <v>1301</v>
      </c>
      <c r="S1420" t="s">
        <v>1302</v>
      </c>
      <c r="T1420" t="s">
        <v>44</v>
      </c>
      <c r="U1420" t="s">
        <v>45</v>
      </c>
      <c r="AG1420" t="s">
        <v>48</v>
      </c>
    </row>
    <row r="1421" spans="1:33" x14ac:dyDescent="0.3">
      <c r="A1421">
        <v>4357</v>
      </c>
      <c r="B1421" t="s">
        <v>7982</v>
      </c>
      <c r="C1421" t="str">
        <f>"1100003520075"</f>
        <v>1100003520075</v>
      </c>
      <c r="D1421" t="str">
        <f>""</f>
        <v/>
      </c>
      <c r="E1421" s="1">
        <v>43555</v>
      </c>
      <c r="F1421" t="s">
        <v>7983</v>
      </c>
      <c r="G1421" t="e">
        <f>INDEX(#REF!,MATCH(P1421,#REF!,0),1)</f>
        <v>#REF!</v>
      </c>
      <c r="H1421" t="s">
        <v>7984</v>
      </c>
      <c r="J1421" t="s">
        <v>7985</v>
      </c>
      <c r="K1421" t="s">
        <v>251</v>
      </c>
      <c r="L1421" t="str">
        <f>"07646"</f>
        <v>07646</v>
      </c>
      <c r="M1421" t="s">
        <v>7986</v>
      </c>
      <c r="N1421">
        <v>3418839</v>
      </c>
      <c r="O1421" t="s">
        <v>7987</v>
      </c>
      <c r="P1421">
        <v>3418839</v>
      </c>
      <c r="Q1421" t="s">
        <v>7987</v>
      </c>
      <c r="R1421" t="s">
        <v>5064</v>
      </c>
      <c r="S1421" t="s">
        <v>5065</v>
      </c>
      <c r="T1421" t="s">
        <v>2214</v>
      </c>
      <c r="U1421" t="s">
        <v>2214</v>
      </c>
      <c r="V1421" t="s">
        <v>2215</v>
      </c>
    </row>
    <row r="1422" spans="1:33" x14ac:dyDescent="0.3">
      <c r="A1422">
        <v>4371</v>
      </c>
      <c r="B1422" t="s">
        <v>7988</v>
      </c>
      <c r="C1422" t="str">
        <f>"1100005809192"</f>
        <v>1100005809192</v>
      </c>
      <c r="D1422" t="str">
        <f>"935390T00"</f>
        <v>935390T00</v>
      </c>
      <c r="E1422" s="1">
        <v>35431</v>
      </c>
      <c r="F1422" t="s">
        <v>7989</v>
      </c>
      <c r="G1422" t="e">
        <f>INDEX(#REF!,MATCH(P1422,#REF!,0),1)</f>
        <v>#REF!</v>
      </c>
      <c r="H1422" t="s">
        <v>7990</v>
      </c>
      <c r="J1422" t="s">
        <v>2816</v>
      </c>
      <c r="K1422" t="s">
        <v>88</v>
      </c>
      <c r="L1422" t="s">
        <v>7991</v>
      </c>
      <c r="M1422" t="s">
        <v>7992</v>
      </c>
      <c r="N1422">
        <v>812</v>
      </c>
      <c r="O1422" t="s">
        <v>2814</v>
      </c>
      <c r="P1422">
        <v>812</v>
      </c>
      <c r="Q1422" t="s">
        <v>2814</v>
      </c>
      <c r="R1422" t="s">
        <v>1571</v>
      </c>
      <c r="S1422" t="s">
        <v>1572</v>
      </c>
      <c r="T1422" t="s">
        <v>44</v>
      </c>
      <c r="U1422" t="s">
        <v>45</v>
      </c>
      <c r="AA1422" t="s">
        <v>1032</v>
      </c>
      <c r="AD1422" t="s">
        <v>94</v>
      </c>
      <c r="AE1422" t="s">
        <v>1033</v>
      </c>
    </row>
    <row r="1423" spans="1:33" x14ac:dyDescent="0.3">
      <c r="A1423">
        <v>4372</v>
      </c>
      <c r="B1423" t="s">
        <v>7993</v>
      </c>
      <c r="C1423" t="str">
        <f>""</f>
        <v/>
      </c>
      <c r="D1423" t="str">
        <f>"0L07CGK00"</f>
        <v>0L07CGK00</v>
      </c>
      <c r="E1423" s="1">
        <v>35431</v>
      </c>
      <c r="F1423" t="s">
        <v>7994</v>
      </c>
      <c r="G1423" t="e">
        <f>INDEX(#REF!,MATCH(P1423,#REF!,0),1)</f>
        <v>#REF!</v>
      </c>
      <c r="H1423" t="s">
        <v>7995</v>
      </c>
      <c r="J1423" t="s">
        <v>6001</v>
      </c>
      <c r="K1423" t="s">
        <v>353</v>
      </c>
      <c r="L1423" t="s">
        <v>7996</v>
      </c>
      <c r="M1423" t="s">
        <v>7997</v>
      </c>
      <c r="N1423">
        <v>284</v>
      </c>
      <c r="O1423" t="s">
        <v>925</v>
      </c>
      <c r="P1423">
        <v>284</v>
      </c>
      <c r="Q1423" t="s">
        <v>925</v>
      </c>
      <c r="R1423" t="s">
        <v>893</v>
      </c>
      <c r="S1423" t="s">
        <v>894</v>
      </c>
      <c r="T1423" t="s">
        <v>44</v>
      </c>
      <c r="U1423" t="s">
        <v>45</v>
      </c>
      <c r="AA1423" t="s">
        <v>105</v>
      </c>
      <c r="AE1423" t="s">
        <v>106</v>
      </c>
    </row>
    <row r="1424" spans="1:33" x14ac:dyDescent="0.3">
      <c r="A1424">
        <v>4373</v>
      </c>
      <c r="B1424" t="s">
        <v>7998</v>
      </c>
      <c r="C1424" t="str">
        <f>""</f>
        <v/>
      </c>
      <c r="D1424" t="str">
        <f>"233230DF1"</f>
        <v>233230DF1</v>
      </c>
      <c r="E1424" s="1">
        <v>42583</v>
      </c>
      <c r="F1424" t="s">
        <v>7999</v>
      </c>
      <c r="G1424" t="e">
        <f>INDEX(#REF!,MATCH(P1424,#REF!,0),1)</f>
        <v>#REF!</v>
      </c>
      <c r="H1424" t="s">
        <v>8000</v>
      </c>
      <c r="J1424" t="s">
        <v>8001</v>
      </c>
      <c r="K1424" t="s">
        <v>65</v>
      </c>
      <c r="L1424" t="s">
        <v>8002</v>
      </c>
      <c r="M1424" t="s">
        <v>8003</v>
      </c>
      <c r="N1424">
        <v>4373</v>
      </c>
      <c r="O1424" t="s">
        <v>7999</v>
      </c>
      <c r="P1424">
        <v>4373</v>
      </c>
      <c r="Q1424" t="s">
        <v>7999</v>
      </c>
      <c r="R1424" t="s">
        <v>940</v>
      </c>
      <c r="S1424" t="s">
        <v>941</v>
      </c>
      <c r="T1424" t="s">
        <v>44</v>
      </c>
      <c r="U1424" t="s">
        <v>45</v>
      </c>
      <c r="AA1424" t="s">
        <v>211</v>
      </c>
    </row>
    <row r="1425" spans="1:33" x14ac:dyDescent="0.3">
      <c r="A1425">
        <v>4378</v>
      </c>
      <c r="B1425" t="s">
        <v>8004</v>
      </c>
      <c r="C1425" t="str">
        <f>""</f>
        <v/>
      </c>
      <c r="D1425" t="str">
        <f>"ADVAJ6H00"</f>
        <v>ADVAJ6H00</v>
      </c>
      <c r="E1425" s="1">
        <v>35431</v>
      </c>
      <c r="F1425" t="s">
        <v>8005</v>
      </c>
      <c r="G1425" t="e">
        <f>INDEX(#REF!,MATCH(P1425,#REF!,0),1)</f>
        <v>#REF!</v>
      </c>
      <c r="H1425" t="s">
        <v>8006</v>
      </c>
      <c r="J1425" t="s">
        <v>8007</v>
      </c>
      <c r="K1425" t="s">
        <v>1454</v>
      </c>
      <c r="L1425" t="s">
        <v>8008</v>
      </c>
      <c r="M1425" t="s">
        <v>8009</v>
      </c>
      <c r="N1425">
        <v>717069</v>
      </c>
      <c r="O1425" t="s">
        <v>1457</v>
      </c>
      <c r="P1425">
        <v>717069</v>
      </c>
      <c r="Q1425" t="s">
        <v>1457</v>
      </c>
      <c r="R1425" t="s">
        <v>5924</v>
      </c>
      <c r="S1425" t="s">
        <v>5925</v>
      </c>
      <c r="T1425" t="s">
        <v>117</v>
      </c>
      <c r="U1425" t="s">
        <v>4108</v>
      </c>
      <c r="V1425" t="s">
        <v>1824</v>
      </c>
      <c r="AD1425" t="s">
        <v>94</v>
      </c>
      <c r="AG1425" t="s">
        <v>48</v>
      </c>
    </row>
    <row r="1426" spans="1:33" x14ac:dyDescent="0.3">
      <c r="A1426">
        <v>4381</v>
      </c>
      <c r="B1426" t="s">
        <v>8010</v>
      </c>
      <c r="C1426" t="str">
        <f>""</f>
        <v/>
      </c>
      <c r="D1426" t="str">
        <f>"MG3QWVM00"</f>
        <v>MG3QWVM00</v>
      </c>
      <c r="E1426" s="1">
        <v>42558</v>
      </c>
      <c r="F1426" t="s">
        <v>8011</v>
      </c>
      <c r="G1426" t="e">
        <f>INDEX(#REF!,MATCH(P1426,#REF!,0),1)</f>
        <v>#REF!</v>
      </c>
      <c r="H1426" t="s">
        <v>8012</v>
      </c>
      <c r="J1426" t="s">
        <v>1926</v>
      </c>
      <c r="K1426" t="s">
        <v>342</v>
      </c>
      <c r="L1426">
        <v>60612</v>
      </c>
      <c r="M1426" t="s">
        <v>8013</v>
      </c>
      <c r="N1426">
        <v>1063262</v>
      </c>
      <c r="O1426" t="s">
        <v>2392</v>
      </c>
      <c r="P1426">
        <v>1063262</v>
      </c>
      <c r="Q1426" t="s">
        <v>2392</v>
      </c>
      <c r="R1426" t="s">
        <v>2550</v>
      </c>
      <c r="S1426" t="s">
        <v>2551</v>
      </c>
      <c r="T1426" t="s">
        <v>117</v>
      </c>
      <c r="U1426" t="s">
        <v>2479</v>
      </c>
      <c r="V1426" t="s">
        <v>1824</v>
      </c>
      <c r="AA1426" t="s">
        <v>58</v>
      </c>
      <c r="AC1426" t="s">
        <v>2393</v>
      </c>
      <c r="AE1426" t="s">
        <v>60</v>
      </c>
    </row>
    <row r="1427" spans="1:33" x14ac:dyDescent="0.3">
      <c r="A1427">
        <v>4383</v>
      </c>
      <c r="B1427" t="s">
        <v>8014</v>
      </c>
      <c r="C1427" t="str">
        <f>""</f>
        <v/>
      </c>
      <c r="D1427" t="str">
        <f>"617TGJ600"</f>
        <v>617TGJ600</v>
      </c>
      <c r="E1427" s="1">
        <v>35431</v>
      </c>
      <c r="F1427" t="s">
        <v>8015</v>
      </c>
      <c r="G1427" t="e">
        <f>INDEX(#REF!,MATCH(P1427,#REF!,0),1)</f>
        <v>#REF!</v>
      </c>
      <c r="H1427" t="s">
        <v>8016</v>
      </c>
      <c r="J1427" t="s">
        <v>1745</v>
      </c>
      <c r="K1427" t="s">
        <v>283</v>
      </c>
      <c r="L1427">
        <v>56201</v>
      </c>
      <c r="M1427" t="s">
        <v>8017</v>
      </c>
      <c r="N1427">
        <v>3460</v>
      </c>
      <c r="O1427" t="s">
        <v>1155</v>
      </c>
      <c r="P1427">
        <v>3460</v>
      </c>
      <c r="Q1427" t="s">
        <v>1155</v>
      </c>
      <c r="R1427" t="s">
        <v>3864</v>
      </c>
      <c r="S1427" t="s">
        <v>3865</v>
      </c>
      <c r="T1427" t="s">
        <v>117</v>
      </c>
      <c r="U1427" t="s">
        <v>2479</v>
      </c>
      <c r="V1427" t="s">
        <v>1824</v>
      </c>
      <c r="AA1427" t="s">
        <v>119</v>
      </c>
      <c r="AE1427" t="s">
        <v>120</v>
      </c>
    </row>
    <row r="1428" spans="1:33" x14ac:dyDescent="0.3">
      <c r="A1428">
        <v>4618</v>
      </c>
      <c r="B1428" t="s">
        <v>8018</v>
      </c>
      <c r="C1428" t="str">
        <f>"1100005614543"</f>
        <v>1100005614543</v>
      </c>
      <c r="D1428" t="str">
        <f>"611770M00"</f>
        <v>611770M00</v>
      </c>
      <c r="E1428" s="1">
        <v>32540</v>
      </c>
      <c r="F1428" t="s">
        <v>8019</v>
      </c>
      <c r="G1428" t="e">
        <f>INDEX(#REF!,MATCH(P1428,#REF!,0),1)</f>
        <v>#REF!</v>
      </c>
      <c r="H1428" t="s">
        <v>8020</v>
      </c>
      <c r="J1428" t="s">
        <v>8021</v>
      </c>
      <c r="K1428" t="s">
        <v>283</v>
      </c>
      <c r="L1428" t="s">
        <v>8022</v>
      </c>
      <c r="M1428" t="s">
        <v>8023</v>
      </c>
      <c r="N1428">
        <v>75245</v>
      </c>
      <c r="O1428" t="s">
        <v>1020</v>
      </c>
      <c r="P1428">
        <v>75245</v>
      </c>
      <c r="Q1428" t="s">
        <v>1020</v>
      </c>
      <c r="R1428" t="s">
        <v>1021</v>
      </c>
      <c r="S1428" t="s">
        <v>1022</v>
      </c>
      <c r="T1428" t="s">
        <v>44</v>
      </c>
      <c r="U1428" t="s">
        <v>45</v>
      </c>
      <c r="AA1428" t="s">
        <v>119</v>
      </c>
      <c r="AE1428" t="s">
        <v>120</v>
      </c>
      <c r="AG1428" t="s">
        <v>48</v>
      </c>
    </row>
    <row r="1429" spans="1:33" x14ac:dyDescent="0.3">
      <c r="A1429">
        <v>4620</v>
      </c>
      <c r="B1429" t="s">
        <v>8024</v>
      </c>
      <c r="C1429" t="str">
        <f>"1100002358051"</f>
        <v>1100002358051</v>
      </c>
      <c r="D1429" t="str">
        <f>"520960M00"</f>
        <v>520960M00</v>
      </c>
      <c r="E1429" s="1">
        <v>32539</v>
      </c>
      <c r="F1429" t="s">
        <v>8025</v>
      </c>
      <c r="G1429" t="e">
        <f>INDEX(#REF!,MATCH(P1429,#REF!,0),1)</f>
        <v>#REF!</v>
      </c>
      <c r="H1429" t="s">
        <v>8026</v>
      </c>
      <c r="J1429" t="s">
        <v>8027</v>
      </c>
      <c r="K1429" t="s">
        <v>139</v>
      </c>
      <c r="L1429" t="s">
        <v>8028</v>
      </c>
      <c r="M1429" t="s">
        <v>8029</v>
      </c>
      <c r="N1429">
        <v>7585</v>
      </c>
      <c r="O1429" t="s">
        <v>433</v>
      </c>
      <c r="P1429">
        <v>7585</v>
      </c>
      <c r="Q1429" t="s">
        <v>433</v>
      </c>
      <c r="R1429" t="s">
        <v>434</v>
      </c>
      <c r="S1429" t="s">
        <v>435</v>
      </c>
      <c r="T1429" t="s">
        <v>44</v>
      </c>
      <c r="U1429" t="s">
        <v>45</v>
      </c>
      <c r="AA1429" t="s">
        <v>119</v>
      </c>
      <c r="AE1429" t="s">
        <v>120</v>
      </c>
    </row>
    <row r="1430" spans="1:33" x14ac:dyDescent="0.3">
      <c r="A1430">
        <v>4624</v>
      </c>
      <c r="B1430" t="s">
        <v>8030</v>
      </c>
      <c r="C1430" t="str">
        <f>""</f>
        <v/>
      </c>
      <c r="D1430" t="str">
        <f>"840540L00"</f>
        <v>840540L00</v>
      </c>
      <c r="E1430" s="1">
        <v>41061</v>
      </c>
      <c r="F1430" t="s">
        <v>8031</v>
      </c>
      <c r="G1430" t="e">
        <f>INDEX(#REF!,MATCH(P1430,#REF!,0),1)</f>
        <v>#REF!</v>
      </c>
      <c r="H1430" t="s">
        <v>8032</v>
      </c>
      <c r="J1430" t="s">
        <v>8033</v>
      </c>
      <c r="K1430" t="s">
        <v>225</v>
      </c>
      <c r="L1430">
        <v>80517</v>
      </c>
      <c r="M1430" t="s">
        <v>8034</v>
      </c>
      <c r="N1430">
        <v>3037807</v>
      </c>
      <c r="O1430" t="s">
        <v>813</v>
      </c>
      <c r="P1430">
        <v>3037807</v>
      </c>
      <c r="Q1430" t="s">
        <v>813</v>
      </c>
      <c r="R1430" t="s">
        <v>196</v>
      </c>
      <c r="S1430" t="s">
        <v>197</v>
      </c>
      <c r="T1430" t="s">
        <v>44</v>
      </c>
      <c r="U1430" t="s">
        <v>45</v>
      </c>
    </row>
    <row r="1431" spans="1:33" x14ac:dyDescent="0.3">
      <c r="A1431">
        <v>4758</v>
      </c>
      <c r="B1431" t="s">
        <v>8035</v>
      </c>
      <c r="C1431" t="str">
        <f>""</f>
        <v/>
      </c>
      <c r="D1431" t="str">
        <f>"380610I00"</f>
        <v>380610I00</v>
      </c>
      <c r="E1431" s="1">
        <v>32567</v>
      </c>
      <c r="F1431" t="s">
        <v>8036</v>
      </c>
      <c r="G1431" t="e">
        <f>INDEX(#REF!,MATCH(P1431,#REF!,0),1)</f>
        <v>#REF!</v>
      </c>
      <c r="H1431" t="s">
        <v>8037</v>
      </c>
      <c r="J1431" t="s">
        <v>8038</v>
      </c>
      <c r="K1431" t="s">
        <v>99</v>
      </c>
      <c r="L1431" t="s">
        <v>8039</v>
      </c>
      <c r="M1431" t="s">
        <v>8040</v>
      </c>
      <c r="N1431">
        <v>35682</v>
      </c>
      <c r="O1431" t="s">
        <v>528</v>
      </c>
      <c r="P1431">
        <v>134</v>
      </c>
      <c r="Q1431" t="s">
        <v>523</v>
      </c>
      <c r="R1431" t="s">
        <v>434</v>
      </c>
      <c r="S1431" t="s">
        <v>435</v>
      </c>
      <c r="T1431" t="s">
        <v>44</v>
      </c>
      <c r="U1431" t="s">
        <v>45</v>
      </c>
      <c r="AA1431" t="s">
        <v>105</v>
      </c>
      <c r="AE1431" t="s">
        <v>106</v>
      </c>
    </row>
    <row r="1432" spans="1:33" x14ac:dyDescent="0.3">
      <c r="A1432">
        <v>4759</v>
      </c>
      <c r="B1432" t="s">
        <v>8041</v>
      </c>
      <c r="C1432" t="str">
        <f>""</f>
        <v/>
      </c>
      <c r="D1432" t="str">
        <f>"381640M00"</f>
        <v>381640M00</v>
      </c>
      <c r="E1432" s="1">
        <v>32567</v>
      </c>
      <c r="F1432" t="s">
        <v>8042</v>
      </c>
      <c r="G1432" t="e">
        <f>INDEX(#REF!,MATCH(P1432,#REF!,0),1)</f>
        <v>#REF!</v>
      </c>
      <c r="H1432" t="s">
        <v>8043</v>
      </c>
      <c r="J1432" t="s">
        <v>8044</v>
      </c>
      <c r="K1432" t="s">
        <v>99</v>
      </c>
      <c r="L1432" t="s">
        <v>8045</v>
      </c>
      <c r="M1432" t="s">
        <v>8046</v>
      </c>
      <c r="N1432">
        <v>35682</v>
      </c>
      <c r="O1432" t="s">
        <v>528</v>
      </c>
      <c r="P1432">
        <v>134</v>
      </c>
      <c r="Q1432" t="s">
        <v>523</v>
      </c>
      <c r="R1432" t="s">
        <v>434</v>
      </c>
      <c r="S1432" t="s">
        <v>435</v>
      </c>
      <c r="T1432" t="s">
        <v>44</v>
      </c>
      <c r="U1432" t="s">
        <v>45</v>
      </c>
      <c r="AA1432" t="s">
        <v>105</v>
      </c>
      <c r="AE1432" t="s">
        <v>106</v>
      </c>
    </row>
    <row r="1433" spans="1:33" x14ac:dyDescent="0.3">
      <c r="A1433">
        <v>4831</v>
      </c>
      <c r="B1433" t="s">
        <v>8047</v>
      </c>
      <c r="C1433" t="str">
        <f>"1100005535428"</f>
        <v>1100005535428</v>
      </c>
      <c r="D1433" t="str">
        <f>"320850I00"</f>
        <v>320850I00</v>
      </c>
      <c r="E1433" s="1">
        <v>32598</v>
      </c>
      <c r="F1433" t="s">
        <v>8048</v>
      </c>
      <c r="G1433" t="e">
        <f>INDEX(#REF!,MATCH(P1433,#REF!,0),1)</f>
        <v>#REF!</v>
      </c>
      <c r="H1433" t="s">
        <v>8049</v>
      </c>
      <c r="J1433" t="s">
        <v>8050</v>
      </c>
      <c r="K1433" t="s">
        <v>982</v>
      </c>
      <c r="L1433" t="s">
        <v>8051</v>
      </c>
      <c r="M1433" t="s">
        <v>8052</v>
      </c>
      <c r="N1433">
        <v>996596</v>
      </c>
      <c r="O1433" t="s">
        <v>8053</v>
      </c>
      <c r="P1433">
        <v>996596</v>
      </c>
      <c r="Q1433" t="s">
        <v>8053</v>
      </c>
      <c r="R1433" t="s">
        <v>5443</v>
      </c>
      <c r="S1433" t="s">
        <v>5444</v>
      </c>
      <c r="T1433" t="s">
        <v>44</v>
      </c>
      <c r="U1433" t="s">
        <v>45</v>
      </c>
      <c r="AE1433" t="s">
        <v>591</v>
      </c>
    </row>
    <row r="1434" spans="1:33" x14ac:dyDescent="0.3">
      <c r="A1434">
        <v>4833</v>
      </c>
      <c r="B1434" t="s">
        <v>8054</v>
      </c>
      <c r="C1434" t="str">
        <f>"1100006123686"</f>
        <v>1100006123686</v>
      </c>
      <c r="D1434" t="str">
        <f>"611240E00"</f>
        <v>611240E00</v>
      </c>
      <c r="E1434" s="1">
        <v>32598</v>
      </c>
      <c r="F1434" t="s">
        <v>8055</v>
      </c>
      <c r="G1434" t="e">
        <f>INDEX(#REF!,MATCH(P1434,#REF!,0),1)</f>
        <v>#REF!</v>
      </c>
      <c r="H1434" t="s">
        <v>8056</v>
      </c>
      <c r="J1434" t="s">
        <v>8057</v>
      </c>
      <c r="K1434" t="s">
        <v>283</v>
      </c>
      <c r="L1434">
        <v>56573</v>
      </c>
      <c r="M1434" t="s">
        <v>8058</v>
      </c>
      <c r="N1434">
        <v>871561</v>
      </c>
      <c r="O1434" t="s">
        <v>194</v>
      </c>
      <c r="P1434">
        <v>6179343</v>
      </c>
      <c r="Q1434" t="s">
        <v>1137</v>
      </c>
      <c r="R1434" t="s">
        <v>196</v>
      </c>
      <c r="S1434" t="s">
        <v>197</v>
      </c>
      <c r="T1434" t="s">
        <v>44</v>
      </c>
      <c r="U1434" t="s">
        <v>45</v>
      </c>
      <c r="AA1434" t="s">
        <v>119</v>
      </c>
      <c r="AE1434" t="s">
        <v>120</v>
      </c>
      <c r="AG1434" t="s">
        <v>48</v>
      </c>
    </row>
    <row r="1435" spans="1:33" x14ac:dyDescent="0.3">
      <c r="A1435">
        <v>4838</v>
      </c>
      <c r="B1435" t="s">
        <v>8059</v>
      </c>
      <c r="C1435" t="str">
        <f>"1100002922511"</f>
        <v>1100002922511</v>
      </c>
      <c r="D1435" t="str">
        <f>"410850I00"</f>
        <v>410850I00</v>
      </c>
      <c r="E1435" s="1">
        <v>32690</v>
      </c>
      <c r="F1435" t="s">
        <v>8060</v>
      </c>
      <c r="G1435" t="e">
        <f>INDEX(#REF!,MATCH(P1435,#REF!,0),1)</f>
        <v>#REF!</v>
      </c>
      <c r="H1435" t="s">
        <v>8061</v>
      </c>
      <c r="J1435" t="s">
        <v>446</v>
      </c>
      <c r="K1435" t="s">
        <v>37</v>
      </c>
      <c r="L1435" t="s">
        <v>8062</v>
      </c>
      <c r="M1435" t="s">
        <v>8063</v>
      </c>
      <c r="N1435">
        <v>210</v>
      </c>
      <c r="O1435" t="s">
        <v>840</v>
      </c>
      <c r="P1435">
        <v>210</v>
      </c>
      <c r="Q1435" t="s">
        <v>840</v>
      </c>
      <c r="R1435" t="s">
        <v>844</v>
      </c>
      <c r="S1435" t="s">
        <v>845</v>
      </c>
      <c r="T1435" t="s">
        <v>44</v>
      </c>
      <c r="U1435" t="s">
        <v>45</v>
      </c>
      <c r="Y1435" t="s">
        <v>46</v>
      </c>
      <c r="Z1435" s="1">
        <v>42370</v>
      </c>
      <c r="AE1435" t="s">
        <v>47</v>
      </c>
    </row>
    <row r="1436" spans="1:33" x14ac:dyDescent="0.3">
      <c r="A1436">
        <v>4839</v>
      </c>
      <c r="B1436" t="s">
        <v>8064</v>
      </c>
      <c r="C1436" t="str">
        <f>""</f>
        <v/>
      </c>
      <c r="D1436" t="str">
        <f>"239HGCN00"</f>
        <v>239HGCN00</v>
      </c>
      <c r="E1436" s="1">
        <v>32598</v>
      </c>
      <c r="F1436" t="s">
        <v>8065</v>
      </c>
      <c r="G1436" t="e">
        <f>INDEX(#REF!,MATCH(P1436,#REF!,0),1)</f>
        <v>#REF!</v>
      </c>
      <c r="H1436" t="s">
        <v>8066</v>
      </c>
      <c r="J1436" t="s">
        <v>6499</v>
      </c>
      <c r="K1436" t="s">
        <v>1504</v>
      </c>
      <c r="L1436" t="str">
        <f>"04330-6606"</f>
        <v>04330-6606</v>
      </c>
      <c r="M1436" t="s">
        <v>8067</v>
      </c>
      <c r="N1436">
        <v>37708</v>
      </c>
      <c r="O1436" t="s">
        <v>1506</v>
      </c>
      <c r="P1436">
        <v>37708</v>
      </c>
      <c r="Q1436" t="s">
        <v>1506</v>
      </c>
      <c r="R1436" t="s">
        <v>3751</v>
      </c>
      <c r="S1436" t="s">
        <v>3752</v>
      </c>
      <c r="T1436" t="s">
        <v>2214</v>
      </c>
      <c r="U1436" t="s">
        <v>2214</v>
      </c>
      <c r="V1436" t="s">
        <v>1824</v>
      </c>
      <c r="AA1436" t="s">
        <v>119</v>
      </c>
      <c r="AC1436" t="s">
        <v>8068</v>
      </c>
      <c r="AE1436" t="s">
        <v>60</v>
      </c>
      <c r="AG1436" t="s">
        <v>48</v>
      </c>
    </row>
    <row r="1437" spans="1:33" x14ac:dyDescent="0.3">
      <c r="A1437">
        <v>4840</v>
      </c>
      <c r="B1437" t="s">
        <v>8069</v>
      </c>
      <c r="C1437" t="str">
        <f>""</f>
        <v/>
      </c>
      <c r="D1437" t="str">
        <f>"3CJXNO600"</f>
        <v>3CJXNO600</v>
      </c>
      <c r="E1437" s="1">
        <v>32598</v>
      </c>
      <c r="F1437" t="s">
        <v>8070</v>
      </c>
      <c r="G1437" t="e">
        <f>INDEX(#REF!,MATCH(P1437,#REF!,0),1)</f>
        <v>#REF!</v>
      </c>
      <c r="H1437" t="s">
        <v>8071</v>
      </c>
      <c r="J1437" t="s">
        <v>8072</v>
      </c>
      <c r="K1437" t="s">
        <v>1504</v>
      </c>
      <c r="L1437" t="str">
        <f>"04345-2615"</f>
        <v>04345-2615</v>
      </c>
      <c r="M1437" t="s">
        <v>8073</v>
      </c>
      <c r="N1437">
        <v>37708</v>
      </c>
      <c r="O1437" t="s">
        <v>1506</v>
      </c>
      <c r="P1437">
        <v>37708</v>
      </c>
      <c r="Q1437" t="s">
        <v>1506</v>
      </c>
      <c r="R1437" t="s">
        <v>3751</v>
      </c>
      <c r="S1437" t="s">
        <v>3752</v>
      </c>
      <c r="T1437" t="s">
        <v>117</v>
      </c>
      <c r="U1437" t="s">
        <v>118</v>
      </c>
      <c r="V1437" t="s">
        <v>1824</v>
      </c>
      <c r="AA1437" t="s">
        <v>119</v>
      </c>
      <c r="AC1437" t="s">
        <v>8068</v>
      </c>
      <c r="AE1437" t="s">
        <v>60</v>
      </c>
      <c r="AG1437" t="s">
        <v>48</v>
      </c>
    </row>
    <row r="1438" spans="1:33" x14ac:dyDescent="0.3">
      <c r="A1438">
        <v>4841</v>
      </c>
      <c r="B1438" t="s">
        <v>8074</v>
      </c>
      <c r="C1438" t="str">
        <f>""</f>
        <v/>
      </c>
      <c r="D1438" t="str">
        <f>"110020400"</f>
        <v>110020400</v>
      </c>
      <c r="E1438" s="1">
        <v>32598</v>
      </c>
      <c r="F1438" t="s">
        <v>8075</v>
      </c>
      <c r="G1438" t="e">
        <f>INDEX(#REF!,MATCH(P1438,#REF!,0),1)</f>
        <v>#REF!</v>
      </c>
      <c r="H1438" t="s">
        <v>8076</v>
      </c>
      <c r="J1438" t="s">
        <v>6499</v>
      </c>
      <c r="K1438" t="s">
        <v>1504</v>
      </c>
      <c r="L1438" t="str">
        <f>"04330-8160"</f>
        <v>04330-8160</v>
      </c>
      <c r="M1438" t="s">
        <v>8077</v>
      </c>
      <c r="N1438">
        <v>37708</v>
      </c>
      <c r="O1438" t="s">
        <v>1506</v>
      </c>
      <c r="P1438">
        <v>37708</v>
      </c>
      <c r="Q1438" t="s">
        <v>1506</v>
      </c>
      <c r="R1438" t="s">
        <v>658</v>
      </c>
      <c r="S1438" t="s">
        <v>659</v>
      </c>
      <c r="T1438" t="s">
        <v>44</v>
      </c>
      <c r="U1438" t="s">
        <v>45</v>
      </c>
      <c r="AA1438" t="s">
        <v>119</v>
      </c>
      <c r="AE1438" t="s">
        <v>60</v>
      </c>
      <c r="AG1438" t="s">
        <v>48</v>
      </c>
    </row>
    <row r="1439" spans="1:33" x14ac:dyDescent="0.3">
      <c r="A1439">
        <v>5023</v>
      </c>
      <c r="B1439" t="s">
        <v>8078</v>
      </c>
      <c r="C1439" t="str">
        <f>"1100003234507"</f>
        <v>1100003234507</v>
      </c>
      <c r="D1439" t="str">
        <f>"361230F00"</f>
        <v>361230F00</v>
      </c>
      <c r="E1439" s="1">
        <v>42598</v>
      </c>
      <c r="F1439" t="s">
        <v>8079</v>
      </c>
      <c r="G1439" t="e">
        <f>INDEX(#REF!,MATCH(P1439,#REF!,0),1)</f>
        <v>#REF!</v>
      </c>
      <c r="H1439" t="s">
        <v>8080</v>
      </c>
      <c r="J1439" t="s">
        <v>2347</v>
      </c>
      <c r="K1439" t="s">
        <v>384</v>
      </c>
      <c r="L1439">
        <v>27607</v>
      </c>
      <c r="M1439" t="s">
        <v>8081</v>
      </c>
      <c r="N1439">
        <v>2627538</v>
      </c>
      <c r="O1439" t="s">
        <v>4554</v>
      </c>
      <c r="P1439">
        <v>2627538</v>
      </c>
      <c r="Q1439" t="s">
        <v>4554</v>
      </c>
      <c r="R1439" t="s">
        <v>679</v>
      </c>
      <c r="S1439" t="s">
        <v>680</v>
      </c>
      <c r="T1439" t="s">
        <v>44</v>
      </c>
      <c r="U1439" t="s">
        <v>45</v>
      </c>
      <c r="AA1439" t="s">
        <v>93</v>
      </c>
      <c r="AE1439" t="s">
        <v>591</v>
      </c>
      <c r="AG1439" t="s">
        <v>48</v>
      </c>
    </row>
    <row r="1440" spans="1:33" x14ac:dyDescent="0.3">
      <c r="A1440">
        <v>5028</v>
      </c>
      <c r="B1440" t="s">
        <v>8082</v>
      </c>
      <c r="C1440" t="str">
        <f>"1100002158811"</f>
        <v>1100002158811</v>
      </c>
      <c r="D1440" t="str">
        <f>""</f>
        <v/>
      </c>
      <c r="E1440" s="1">
        <v>42583</v>
      </c>
      <c r="F1440" t="s">
        <v>6387</v>
      </c>
      <c r="G1440" t="e">
        <f>INDEX(#REF!,MATCH(P1440,#REF!,0),1)</f>
        <v>#REF!</v>
      </c>
      <c r="H1440" t="s">
        <v>8083</v>
      </c>
      <c r="J1440" t="s">
        <v>8084</v>
      </c>
      <c r="K1440" t="s">
        <v>307</v>
      </c>
      <c r="L1440">
        <v>46107</v>
      </c>
      <c r="M1440" t="s">
        <v>3226</v>
      </c>
      <c r="N1440">
        <v>843565</v>
      </c>
      <c r="O1440" t="s">
        <v>8085</v>
      </c>
      <c r="P1440">
        <v>843565</v>
      </c>
      <c r="Q1440" t="s">
        <v>8085</v>
      </c>
      <c r="R1440" t="s">
        <v>492</v>
      </c>
      <c r="S1440" t="s">
        <v>493</v>
      </c>
      <c r="T1440" t="s">
        <v>44</v>
      </c>
      <c r="U1440" t="s">
        <v>45</v>
      </c>
    </row>
    <row r="1441" spans="1:33" x14ac:dyDescent="0.3">
      <c r="A1441">
        <v>5646</v>
      </c>
      <c r="B1441" t="s">
        <v>8086</v>
      </c>
      <c r="C1441" t="str">
        <f>""</f>
        <v/>
      </c>
      <c r="D1441" t="str">
        <f>"610670K00"</f>
        <v>610670K00</v>
      </c>
      <c r="E1441" s="1">
        <v>32681</v>
      </c>
      <c r="F1441" t="s">
        <v>8087</v>
      </c>
      <c r="G1441" t="e">
        <f>INDEX(#REF!,MATCH(P1441,#REF!,0),1)</f>
        <v>#REF!</v>
      </c>
      <c r="H1441" t="s">
        <v>8088</v>
      </c>
      <c r="J1441" t="s">
        <v>8089</v>
      </c>
      <c r="K1441" t="s">
        <v>283</v>
      </c>
      <c r="L1441" t="s">
        <v>8090</v>
      </c>
      <c r="M1441" t="s">
        <v>8091</v>
      </c>
      <c r="N1441">
        <v>4214155</v>
      </c>
      <c r="O1441" t="s">
        <v>2198</v>
      </c>
      <c r="P1441">
        <v>909</v>
      </c>
      <c r="Q1441" t="s">
        <v>2199</v>
      </c>
      <c r="R1441" t="s">
        <v>419</v>
      </c>
      <c r="S1441" t="s">
        <v>420</v>
      </c>
      <c r="T1441" t="s">
        <v>44</v>
      </c>
      <c r="U1441" t="s">
        <v>45</v>
      </c>
      <c r="AA1441" t="s">
        <v>119</v>
      </c>
      <c r="AE1441" t="s">
        <v>120</v>
      </c>
    </row>
    <row r="1442" spans="1:33" x14ac:dyDescent="0.3">
      <c r="A1442">
        <v>5647</v>
      </c>
      <c r="B1442" t="s">
        <v>8092</v>
      </c>
      <c r="C1442" t="str">
        <f>""</f>
        <v/>
      </c>
      <c r="D1442" t="str">
        <f>"621440H00"</f>
        <v>621440H00</v>
      </c>
      <c r="E1442" s="1">
        <v>32681</v>
      </c>
      <c r="F1442" t="s">
        <v>8093</v>
      </c>
      <c r="G1442" t="e">
        <f>INDEX(#REF!,MATCH(P1442,#REF!,0),1)</f>
        <v>#REF!</v>
      </c>
      <c r="H1442" t="s">
        <v>8094</v>
      </c>
      <c r="I1442" t="s">
        <v>8095</v>
      </c>
      <c r="J1442" t="s">
        <v>8096</v>
      </c>
      <c r="K1442" t="s">
        <v>1603</v>
      </c>
      <c r="L1442" t="s">
        <v>8097</v>
      </c>
      <c r="M1442" t="s">
        <v>8098</v>
      </c>
      <c r="N1442">
        <v>4214155</v>
      </c>
      <c r="O1442" t="s">
        <v>2198</v>
      </c>
      <c r="P1442">
        <v>909</v>
      </c>
      <c r="Q1442" t="s">
        <v>2199</v>
      </c>
      <c r="R1442" t="s">
        <v>419</v>
      </c>
      <c r="S1442" t="s">
        <v>420</v>
      </c>
      <c r="T1442" t="s">
        <v>44</v>
      </c>
      <c r="U1442" t="s">
        <v>45</v>
      </c>
      <c r="AA1442" t="s">
        <v>119</v>
      </c>
      <c r="AE1442" t="s">
        <v>120</v>
      </c>
    </row>
    <row r="1443" spans="1:33" x14ac:dyDescent="0.3">
      <c r="A1443">
        <v>5650</v>
      </c>
      <c r="B1443" t="s">
        <v>8099</v>
      </c>
      <c r="C1443" t="str">
        <f>"1100004420503"</f>
        <v>1100004420503</v>
      </c>
      <c r="D1443" t="str">
        <f>"520760K00"</f>
        <v>520760K00</v>
      </c>
      <c r="E1443" s="1">
        <v>41091</v>
      </c>
      <c r="F1443" t="s">
        <v>8100</v>
      </c>
      <c r="G1443" t="e">
        <f>INDEX(#REF!,MATCH(P1443,#REF!,0),1)</f>
        <v>#REF!</v>
      </c>
      <c r="H1443" t="s">
        <v>8101</v>
      </c>
      <c r="J1443" t="s">
        <v>430</v>
      </c>
      <c r="K1443" t="s">
        <v>139</v>
      </c>
      <c r="L1443" t="s">
        <v>8102</v>
      </c>
      <c r="M1443" t="s">
        <v>8103</v>
      </c>
      <c r="N1443">
        <v>5650</v>
      </c>
      <c r="O1443" t="s">
        <v>8100</v>
      </c>
      <c r="P1443">
        <v>5650</v>
      </c>
      <c r="Q1443" t="s">
        <v>8100</v>
      </c>
      <c r="R1443" t="s">
        <v>3133</v>
      </c>
      <c r="S1443" t="s">
        <v>3134</v>
      </c>
      <c r="T1443" t="s">
        <v>44</v>
      </c>
      <c r="U1443" t="s">
        <v>288</v>
      </c>
      <c r="X1443" t="s">
        <v>289</v>
      </c>
      <c r="AA1443" t="s">
        <v>290</v>
      </c>
      <c r="AE1443" t="s">
        <v>72</v>
      </c>
      <c r="AG1443" t="s">
        <v>48</v>
      </c>
    </row>
    <row r="1444" spans="1:33" x14ac:dyDescent="0.3">
      <c r="A1444">
        <v>5651</v>
      </c>
      <c r="B1444" t="s">
        <v>8104</v>
      </c>
      <c r="C1444" t="str">
        <f>""</f>
        <v/>
      </c>
      <c r="D1444" t="str">
        <f>"420670J00"</f>
        <v>420670J00</v>
      </c>
      <c r="E1444" s="1">
        <v>32681</v>
      </c>
      <c r="F1444" t="s">
        <v>8105</v>
      </c>
      <c r="G1444" t="e">
        <f>INDEX(#REF!,MATCH(P1444,#REF!,0),1)</f>
        <v>#REF!</v>
      </c>
      <c r="H1444" t="s">
        <v>8106</v>
      </c>
      <c r="J1444" t="s">
        <v>306</v>
      </c>
      <c r="K1444" t="s">
        <v>307</v>
      </c>
      <c r="L1444" t="s">
        <v>8107</v>
      </c>
      <c r="M1444" t="s">
        <v>8108</v>
      </c>
      <c r="N1444">
        <v>36874</v>
      </c>
      <c r="O1444" t="s">
        <v>710</v>
      </c>
      <c r="P1444">
        <v>838044</v>
      </c>
      <c r="Q1444" t="s">
        <v>8109</v>
      </c>
      <c r="R1444" t="s">
        <v>711</v>
      </c>
      <c r="S1444" t="s">
        <v>712</v>
      </c>
      <c r="T1444" t="s">
        <v>44</v>
      </c>
      <c r="U1444" t="s">
        <v>45</v>
      </c>
      <c r="AD1444" t="s">
        <v>94</v>
      </c>
      <c r="AE1444" t="s">
        <v>60</v>
      </c>
      <c r="AG1444" t="s">
        <v>48</v>
      </c>
    </row>
    <row r="1445" spans="1:33" x14ac:dyDescent="0.3">
      <c r="A1445">
        <v>5666</v>
      </c>
      <c r="B1445" t="s">
        <v>8110</v>
      </c>
      <c r="C1445" t="str">
        <f>"1100005533684"</f>
        <v>1100005533684</v>
      </c>
      <c r="D1445" t="str">
        <f>"611520F00"</f>
        <v>611520F00</v>
      </c>
      <c r="E1445" s="1">
        <v>42583</v>
      </c>
      <c r="F1445" t="s">
        <v>8111</v>
      </c>
      <c r="G1445" t="e">
        <f>INDEX(#REF!,MATCH(P1445,#REF!,0),1)</f>
        <v>#REF!</v>
      </c>
      <c r="H1445" t="s">
        <v>8112</v>
      </c>
      <c r="J1445" t="s">
        <v>3956</v>
      </c>
      <c r="K1445" t="s">
        <v>283</v>
      </c>
      <c r="L1445">
        <v>55101</v>
      </c>
      <c r="M1445" t="s">
        <v>8113</v>
      </c>
      <c r="N1445">
        <v>5666</v>
      </c>
      <c r="O1445" t="s">
        <v>8111</v>
      </c>
      <c r="P1445">
        <v>5666</v>
      </c>
      <c r="Q1445" t="s">
        <v>8111</v>
      </c>
      <c r="R1445" t="s">
        <v>1046</v>
      </c>
      <c r="S1445" t="s">
        <v>1047</v>
      </c>
      <c r="T1445" t="s">
        <v>44</v>
      </c>
      <c r="U1445" t="s">
        <v>288</v>
      </c>
    </row>
    <row r="1446" spans="1:33" x14ac:dyDescent="0.3">
      <c r="A1446">
        <v>5808</v>
      </c>
      <c r="B1446" t="s">
        <v>8114</v>
      </c>
      <c r="C1446" t="str">
        <f>""</f>
        <v/>
      </c>
      <c r="D1446" t="str">
        <f>"H3HE2J000"</f>
        <v>H3HE2J000</v>
      </c>
      <c r="E1446" s="1">
        <v>44409</v>
      </c>
      <c r="F1446" t="s">
        <v>8115</v>
      </c>
      <c r="G1446" t="e">
        <f>INDEX(#REF!,MATCH(P1446,#REF!,0),1)</f>
        <v>#REF!</v>
      </c>
      <c r="H1446" t="s">
        <v>8116</v>
      </c>
      <c r="J1446" t="s">
        <v>8117</v>
      </c>
      <c r="K1446" t="s">
        <v>65</v>
      </c>
      <c r="L1446">
        <v>17403</v>
      </c>
      <c r="M1446" t="s">
        <v>8118</v>
      </c>
      <c r="N1446">
        <v>5808</v>
      </c>
      <c r="O1446" t="s">
        <v>8115</v>
      </c>
      <c r="P1446">
        <v>5808</v>
      </c>
      <c r="Q1446" t="s">
        <v>8115</v>
      </c>
      <c r="R1446" t="s">
        <v>245</v>
      </c>
      <c r="S1446" t="s">
        <v>246</v>
      </c>
      <c r="T1446" t="s">
        <v>44</v>
      </c>
      <c r="U1446" t="s">
        <v>81</v>
      </c>
    </row>
    <row r="1447" spans="1:33" x14ac:dyDescent="0.3">
      <c r="A1447">
        <v>5809</v>
      </c>
      <c r="B1447" t="s">
        <v>8119</v>
      </c>
      <c r="C1447" t="str">
        <f>"1100002751043"</f>
        <v>1100002751043</v>
      </c>
      <c r="D1447" t="str">
        <f>"421210A00"</f>
        <v>421210A00</v>
      </c>
      <c r="E1447" s="1">
        <v>32752</v>
      </c>
      <c r="F1447" t="s">
        <v>8120</v>
      </c>
      <c r="G1447" t="e">
        <f>INDEX(#REF!,MATCH(P1447,#REF!,0),1)</f>
        <v>#REF!</v>
      </c>
      <c r="H1447" t="s">
        <v>8121</v>
      </c>
      <c r="J1447" t="s">
        <v>8122</v>
      </c>
      <c r="K1447" t="s">
        <v>307</v>
      </c>
      <c r="L1447" t="s">
        <v>8123</v>
      </c>
      <c r="M1447" t="s">
        <v>8124</v>
      </c>
      <c r="N1447">
        <v>36874</v>
      </c>
      <c r="O1447" t="s">
        <v>710</v>
      </c>
      <c r="P1447">
        <v>36874</v>
      </c>
      <c r="Q1447" t="s">
        <v>710</v>
      </c>
      <c r="R1447" t="s">
        <v>711</v>
      </c>
      <c r="S1447" t="s">
        <v>712</v>
      </c>
      <c r="T1447" t="s">
        <v>44</v>
      </c>
      <c r="U1447" t="s">
        <v>45</v>
      </c>
      <c r="AD1447" t="s">
        <v>94</v>
      </c>
      <c r="AE1447" t="s">
        <v>60</v>
      </c>
      <c r="AG1447" t="s">
        <v>48</v>
      </c>
    </row>
    <row r="1448" spans="1:33" x14ac:dyDescent="0.3">
      <c r="A1448">
        <v>5810</v>
      </c>
      <c r="B1448" t="s">
        <v>8125</v>
      </c>
      <c r="C1448" t="str">
        <f>""</f>
        <v/>
      </c>
      <c r="D1448" t="str">
        <f>"230260D00"</f>
        <v>230260D00</v>
      </c>
      <c r="E1448" s="1">
        <v>42583</v>
      </c>
      <c r="F1448" t="s">
        <v>8126</v>
      </c>
      <c r="G1448" t="e">
        <f>INDEX(#REF!,MATCH(P1448,#REF!,0),1)</f>
        <v>#REF!</v>
      </c>
      <c r="H1448" t="s">
        <v>8127</v>
      </c>
      <c r="J1448" t="s">
        <v>8128</v>
      </c>
      <c r="K1448" t="s">
        <v>65</v>
      </c>
      <c r="L1448">
        <v>16701</v>
      </c>
      <c r="M1448" t="s">
        <v>8129</v>
      </c>
      <c r="N1448">
        <v>5810</v>
      </c>
      <c r="O1448" t="s">
        <v>8126</v>
      </c>
      <c r="P1448">
        <v>5810</v>
      </c>
      <c r="Q1448" t="s">
        <v>8126</v>
      </c>
      <c r="R1448" t="s">
        <v>940</v>
      </c>
      <c r="S1448" t="s">
        <v>941</v>
      </c>
      <c r="T1448" t="s">
        <v>44</v>
      </c>
      <c r="U1448" t="s">
        <v>45</v>
      </c>
    </row>
    <row r="1449" spans="1:33" x14ac:dyDescent="0.3">
      <c r="A1449">
        <v>5811</v>
      </c>
      <c r="B1449" t="s">
        <v>8130</v>
      </c>
      <c r="C1449" t="str">
        <f>""</f>
        <v/>
      </c>
      <c r="D1449" t="str">
        <f>"150100700"</f>
        <v>150100700</v>
      </c>
      <c r="E1449" s="1">
        <v>32752</v>
      </c>
      <c r="F1449" t="s">
        <v>8131</v>
      </c>
      <c r="G1449" t="e">
        <f>INDEX(#REF!,MATCH(P1449,#REF!,0),1)</f>
        <v>#REF!</v>
      </c>
      <c r="H1449" t="s">
        <v>8132</v>
      </c>
      <c r="J1449" t="s">
        <v>1465</v>
      </c>
      <c r="K1449" t="s">
        <v>2507</v>
      </c>
      <c r="L1449" t="str">
        <f>"02906-4829"</f>
        <v>02906-4829</v>
      </c>
      <c r="M1449" t="s">
        <v>8133</v>
      </c>
      <c r="N1449">
        <v>81773</v>
      </c>
      <c r="O1449" t="s">
        <v>2865</v>
      </c>
      <c r="P1449">
        <v>81773</v>
      </c>
      <c r="Q1449" t="s">
        <v>2865</v>
      </c>
      <c r="R1449" t="s">
        <v>658</v>
      </c>
      <c r="S1449" t="s">
        <v>659</v>
      </c>
      <c r="T1449" t="s">
        <v>44</v>
      </c>
      <c r="U1449" t="s">
        <v>45</v>
      </c>
      <c r="AA1449" t="s">
        <v>119</v>
      </c>
      <c r="AE1449" t="s">
        <v>60</v>
      </c>
      <c r="AG1449" t="s">
        <v>48</v>
      </c>
    </row>
    <row r="1450" spans="1:33" x14ac:dyDescent="0.3">
      <c r="A1450">
        <v>5814</v>
      </c>
      <c r="B1450" t="s">
        <v>8134</v>
      </c>
      <c r="C1450" t="str">
        <f>""</f>
        <v/>
      </c>
      <c r="D1450" t="str">
        <f>"M5EU80700"</f>
        <v>M5EU80700</v>
      </c>
      <c r="E1450" s="1">
        <v>42583</v>
      </c>
      <c r="F1450" t="s">
        <v>433</v>
      </c>
      <c r="G1450" t="e">
        <f>INDEX(#REF!,MATCH(P1450,#REF!,0),1)</f>
        <v>#REF!</v>
      </c>
      <c r="H1450" t="s">
        <v>1462</v>
      </c>
      <c r="J1450" t="s">
        <v>1463</v>
      </c>
      <c r="K1450" t="s">
        <v>676</v>
      </c>
      <c r="L1450">
        <v>79410</v>
      </c>
      <c r="M1450" t="s">
        <v>1464</v>
      </c>
      <c r="N1450">
        <v>43193</v>
      </c>
      <c r="O1450" t="s">
        <v>1465</v>
      </c>
      <c r="P1450">
        <v>1101885</v>
      </c>
      <c r="Q1450" t="s">
        <v>1466</v>
      </c>
      <c r="R1450" t="s">
        <v>1467</v>
      </c>
      <c r="S1450" t="s">
        <v>1468</v>
      </c>
      <c r="T1450" t="s">
        <v>44</v>
      </c>
      <c r="U1450" t="s">
        <v>81</v>
      </c>
      <c r="AA1450" t="s">
        <v>1031</v>
      </c>
      <c r="AE1450" t="s">
        <v>72</v>
      </c>
    </row>
    <row r="1451" spans="1:33" x14ac:dyDescent="0.3">
      <c r="A1451">
        <v>5949</v>
      </c>
      <c r="B1451" t="s">
        <v>8135</v>
      </c>
      <c r="C1451" t="str">
        <f>"1100002983659"</f>
        <v>1100002983659</v>
      </c>
      <c r="D1451" t="str">
        <f>"4TM064T00"</f>
        <v>4TM064T00</v>
      </c>
      <c r="E1451" s="1">
        <v>42583</v>
      </c>
      <c r="F1451" t="s">
        <v>2330</v>
      </c>
      <c r="G1451" t="e">
        <f>INDEX(#REF!,MATCH(P1451,#REF!,0),1)</f>
        <v>#REF!</v>
      </c>
      <c r="H1451" t="s">
        <v>2327</v>
      </c>
      <c r="J1451" t="s">
        <v>2328</v>
      </c>
      <c r="K1451" t="s">
        <v>384</v>
      </c>
      <c r="L1451">
        <v>28203</v>
      </c>
      <c r="M1451" t="s">
        <v>8136</v>
      </c>
      <c r="N1451">
        <v>5949</v>
      </c>
      <c r="O1451" t="s">
        <v>2330</v>
      </c>
      <c r="P1451">
        <v>5949</v>
      </c>
      <c r="Q1451" t="s">
        <v>2330</v>
      </c>
      <c r="R1451" t="s">
        <v>2331</v>
      </c>
      <c r="S1451" t="s">
        <v>2332</v>
      </c>
      <c r="T1451" t="s">
        <v>44</v>
      </c>
      <c r="U1451" t="s">
        <v>81</v>
      </c>
      <c r="AC1451" t="s">
        <v>2333</v>
      </c>
    </row>
    <row r="1452" spans="1:33" x14ac:dyDescent="0.3">
      <c r="A1452">
        <v>5960</v>
      </c>
      <c r="B1452" t="s">
        <v>8137</v>
      </c>
      <c r="C1452" t="str">
        <f>""</f>
        <v/>
      </c>
      <c r="D1452" t="str">
        <f>"450900I00"</f>
        <v>450900I00</v>
      </c>
      <c r="E1452" s="1">
        <v>32813</v>
      </c>
      <c r="F1452" t="s">
        <v>8138</v>
      </c>
      <c r="G1452" t="e">
        <f>INDEX(#REF!,MATCH(P1452,#REF!,0),1)</f>
        <v>#REF!</v>
      </c>
      <c r="H1452" t="s">
        <v>8139</v>
      </c>
      <c r="J1452" t="s">
        <v>6320</v>
      </c>
      <c r="K1452" t="s">
        <v>208</v>
      </c>
      <c r="L1452" t="s">
        <v>8140</v>
      </c>
      <c r="M1452" t="s">
        <v>8141</v>
      </c>
      <c r="N1452">
        <v>711504</v>
      </c>
      <c r="O1452" t="s">
        <v>737</v>
      </c>
      <c r="P1452">
        <v>711504</v>
      </c>
      <c r="Q1452" t="s">
        <v>737</v>
      </c>
      <c r="R1452" t="s">
        <v>711</v>
      </c>
      <c r="S1452" t="s">
        <v>712</v>
      </c>
      <c r="T1452" t="s">
        <v>44</v>
      </c>
      <c r="U1452" t="s">
        <v>45</v>
      </c>
      <c r="AA1452" t="s">
        <v>119</v>
      </c>
      <c r="AE1452" t="s">
        <v>120</v>
      </c>
      <c r="AG1452" t="s">
        <v>48</v>
      </c>
    </row>
    <row r="1453" spans="1:33" x14ac:dyDescent="0.3">
      <c r="A1453">
        <v>5962</v>
      </c>
      <c r="B1453" t="s">
        <v>8142</v>
      </c>
      <c r="C1453" t="str">
        <f>"1100003376153"</f>
        <v>1100003376153</v>
      </c>
      <c r="D1453" t="str">
        <f>"743850R00"</f>
        <v>743850R00</v>
      </c>
      <c r="E1453" s="1">
        <v>42583</v>
      </c>
      <c r="F1453" t="s">
        <v>8143</v>
      </c>
      <c r="G1453" t="e">
        <f>INDEX(#REF!,MATCH(P1453,#REF!,0),1)</f>
        <v>#REF!</v>
      </c>
      <c r="H1453" t="s">
        <v>8144</v>
      </c>
      <c r="J1453" t="s">
        <v>8145</v>
      </c>
      <c r="K1453" t="s">
        <v>676</v>
      </c>
      <c r="L1453" t="s">
        <v>8146</v>
      </c>
      <c r="M1453" t="s">
        <v>8147</v>
      </c>
      <c r="N1453">
        <v>5962</v>
      </c>
      <c r="O1453" t="s">
        <v>8143</v>
      </c>
      <c r="P1453">
        <v>5962</v>
      </c>
      <c r="Q1453" t="s">
        <v>8143</v>
      </c>
      <c r="R1453" t="s">
        <v>356</v>
      </c>
      <c r="S1453" t="s">
        <v>357</v>
      </c>
      <c r="T1453" t="s">
        <v>44</v>
      </c>
      <c r="U1453" t="s">
        <v>45</v>
      </c>
      <c r="AA1453" t="s">
        <v>1031</v>
      </c>
      <c r="AE1453" t="s">
        <v>8148</v>
      </c>
    </row>
    <row r="1454" spans="1:33" x14ac:dyDescent="0.3">
      <c r="A1454">
        <v>5965</v>
      </c>
      <c r="B1454" t="s">
        <v>8149</v>
      </c>
      <c r="C1454" t="str">
        <f>""</f>
        <v/>
      </c>
      <c r="D1454" t="str">
        <f>"911070I00"</f>
        <v>911070I00</v>
      </c>
      <c r="E1454" s="1">
        <v>32813</v>
      </c>
      <c r="F1454" t="s">
        <v>8150</v>
      </c>
      <c r="G1454" t="e">
        <f>INDEX(#REF!,MATCH(P1454,#REF!,0),1)</f>
        <v>#REF!</v>
      </c>
      <c r="H1454" t="s">
        <v>4829</v>
      </c>
      <c r="J1454" t="s">
        <v>2126</v>
      </c>
      <c r="K1454" t="s">
        <v>2127</v>
      </c>
      <c r="L1454" t="s">
        <v>4830</v>
      </c>
      <c r="M1454" t="s">
        <v>8151</v>
      </c>
      <c r="N1454">
        <v>41172</v>
      </c>
      <c r="O1454" t="s">
        <v>2130</v>
      </c>
      <c r="P1454">
        <v>3080764</v>
      </c>
      <c r="Q1454" t="s">
        <v>3350</v>
      </c>
      <c r="R1454" t="s">
        <v>1844</v>
      </c>
      <c r="S1454" t="s">
        <v>1845</v>
      </c>
      <c r="T1454" t="s">
        <v>44</v>
      </c>
      <c r="U1454" t="s">
        <v>45</v>
      </c>
      <c r="AC1454" t="s">
        <v>538</v>
      </c>
      <c r="AD1454" t="s">
        <v>94</v>
      </c>
      <c r="AE1454" t="s">
        <v>539</v>
      </c>
    </row>
    <row r="1455" spans="1:33" x14ac:dyDescent="0.3">
      <c r="A1455">
        <v>6068</v>
      </c>
      <c r="B1455" t="s">
        <v>8152</v>
      </c>
      <c r="C1455" t="str">
        <f>"1100002884093"</f>
        <v>1100002884093</v>
      </c>
      <c r="D1455" t="str">
        <f>"930010D00"</f>
        <v>930010D00</v>
      </c>
      <c r="E1455" s="1">
        <v>42641</v>
      </c>
      <c r="F1455" t="s">
        <v>8153</v>
      </c>
      <c r="G1455" t="e">
        <f>INDEX(#REF!,MATCH(P1455,#REF!,0),1)</f>
        <v>#REF!</v>
      </c>
      <c r="H1455" t="s">
        <v>8154</v>
      </c>
      <c r="J1455" t="s">
        <v>8155</v>
      </c>
      <c r="K1455" t="s">
        <v>88</v>
      </c>
      <c r="L1455">
        <v>94501</v>
      </c>
      <c r="M1455" t="s">
        <v>8156</v>
      </c>
      <c r="N1455">
        <v>50346</v>
      </c>
      <c r="O1455" t="s">
        <v>8157</v>
      </c>
      <c r="P1455">
        <v>50346</v>
      </c>
      <c r="Q1455" t="s">
        <v>8157</v>
      </c>
      <c r="R1455" t="s">
        <v>1625</v>
      </c>
      <c r="S1455" t="s">
        <v>1626</v>
      </c>
      <c r="T1455" t="s">
        <v>44</v>
      </c>
      <c r="U1455" t="s">
        <v>45</v>
      </c>
      <c r="AA1455" t="s">
        <v>1032</v>
      </c>
      <c r="AD1455" t="s">
        <v>94</v>
      </c>
      <c r="AE1455" t="s">
        <v>1033</v>
      </c>
      <c r="AG1455" t="s">
        <v>48</v>
      </c>
    </row>
    <row r="1456" spans="1:33" x14ac:dyDescent="0.3">
      <c r="A1456">
        <v>6073</v>
      </c>
      <c r="B1456" t="s">
        <v>8158</v>
      </c>
      <c r="C1456" t="str">
        <f>"1100004369710"</f>
        <v>1100004369710</v>
      </c>
      <c r="D1456" t="str">
        <f>"650600H00"</f>
        <v>650600H00</v>
      </c>
      <c r="E1456" s="1">
        <v>32846</v>
      </c>
      <c r="F1456" t="s">
        <v>8159</v>
      </c>
      <c r="G1456" t="e">
        <f>INDEX(#REF!,MATCH(P1456,#REF!,0),1)</f>
        <v>#REF!</v>
      </c>
      <c r="H1456" t="s">
        <v>8160</v>
      </c>
      <c r="J1456" t="s">
        <v>8161</v>
      </c>
      <c r="K1456" t="s">
        <v>899</v>
      </c>
      <c r="L1456" t="s">
        <v>8162</v>
      </c>
      <c r="M1456" t="s">
        <v>8163</v>
      </c>
      <c r="N1456">
        <v>871561</v>
      </c>
      <c r="O1456" t="s">
        <v>194</v>
      </c>
      <c r="P1456">
        <v>102627</v>
      </c>
      <c r="Q1456" t="s">
        <v>3048</v>
      </c>
      <c r="R1456" t="s">
        <v>196</v>
      </c>
      <c r="S1456" t="s">
        <v>197</v>
      </c>
      <c r="T1456" t="s">
        <v>44</v>
      </c>
      <c r="U1456" t="s">
        <v>45</v>
      </c>
      <c r="AA1456" t="s">
        <v>119</v>
      </c>
      <c r="AE1456" t="s">
        <v>120</v>
      </c>
      <c r="AG1456" t="s">
        <v>48</v>
      </c>
    </row>
    <row r="1457" spans="1:33" x14ac:dyDescent="0.3">
      <c r="A1457">
        <v>6400</v>
      </c>
      <c r="B1457" t="s">
        <v>8164</v>
      </c>
      <c r="C1457" t="str">
        <f>"1100004132055"</f>
        <v>1100004132055</v>
      </c>
      <c r="D1457" t="str">
        <f>"630320E00"</f>
        <v>630320E00</v>
      </c>
      <c r="E1457" s="1">
        <v>32874</v>
      </c>
      <c r="F1457" t="s">
        <v>8165</v>
      </c>
      <c r="G1457" t="e">
        <f>INDEX(#REF!,MATCH(P1457,#REF!,0),1)</f>
        <v>#REF!</v>
      </c>
      <c r="H1457" t="s">
        <v>8166</v>
      </c>
      <c r="J1457" t="s">
        <v>176</v>
      </c>
      <c r="K1457" t="s">
        <v>177</v>
      </c>
      <c r="L1457">
        <v>63141</v>
      </c>
      <c r="M1457" t="s">
        <v>8167</v>
      </c>
      <c r="N1457">
        <v>6104582</v>
      </c>
      <c r="O1457" t="s">
        <v>180</v>
      </c>
      <c r="P1457">
        <v>1351</v>
      </c>
      <c r="Q1457" t="s">
        <v>181</v>
      </c>
      <c r="R1457" t="s">
        <v>182</v>
      </c>
      <c r="S1457" t="s">
        <v>183</v>
      </c>
      <c r="T1457" t="s">
        <v>44</v>
      </c>
      <c r="U1457" t="s">
        <v>45</v>
      </c>
      <c r="AA1457" t="s">
        <v>185</v>
      </c>
      <c r="AE1457" t="s">
        <v>186</v>
      </c>
    </row>
    <row r="1458" spans="1:33" x14ac:dyDescent="0.3">
      <c r="A1458">
        <v>6401</v>
      </c>
      <c r="B1458" t="s">
        <v>8168</v>
      </c>
      <c r="C1458" t="str">
        <f>"1100003195440"</f>
        <v>1100003195440</v>
      </c>
      <c r="D1458" t="str">
        <f>"420740H00"</f>
        <v>420740H00</v>
      </c>
      <c r="E1458" s="1">
        <v>32904</v>
      </c>
      <c r="F1458" t="s">
        <v>8169</v>
      </c>
      <c r="G1458" t="e">
        <f>INDEX(#REF!,MATCH(P1458,#REF!,0),1)</f>
        <v>#REF!</v>
      </c>
      <c r="H1458" t="s">
        <v>8170</v>
      </c>
      <c r="J1458" t="s">
        <v>306</v>
      </c>
      <c r="K1458" t="s">
        <v>307</v>
      </c>
      <c r="L1458" t="s">
        <v>8171</v>
      </c>
      <c r="M1458" t="s">
        <v>8172</v>
      </c>
      <c r="N1458">
        <v>67</v>
      </c>
      <c r="O1458" t="s">
        <v>304</v>
      </c>
      <c r="P1458">
        <v>67</v>
      </c>
      <c r="Q1458" t="s">
        <v>304</v>
      </c>
      <c r="R1458" t="s">
        <v>310</v>
      </c>
      <c r="S1458" t="s">
        <v>311</v>
      </c>
      <c r="T1458" t="s">
        <v>44</v>
      </c>
      <c r="U1458" t="s">
        <v>45</v>
      </c>
      <c r="AE1458" t="s">
        <v>269</v>
      </c>
    </row>
    <row r="1459" spans="1:33" x14ac:dyDescent="0.3">
      <c r="A1459">
        <v>6444</v>
      </c>
      <c r="B1459" t="s">
        <v>8173</v>
      </c>
      <c r="C1459" t="str">
        <f>"1100004097385"</f>
        <v>1100004097385</v>
      </c>
      <c r="D1459" t="str">
        <f>"421170F00"</f>
        <v>421170F00</v>
      </c>
      <c r="E1459" s="1">
        <v>32932</v>
      </c>
      <c r="F1459" t="s">
        <v>8174</v>
      </c>
      <c r="G1459" t="e">
        <f>INDEX(#REF!,MATCH(P1459,#REF!,0),1)</f>
        <v>#REF!</v>
      </c>
      <c r="H1459" t="s">
        <v>8175</v>
      </c>
      <c r="J1459" t="s">
        <v>7800</v>
      </c>
      <c r="K1459" t="s">
        <v>307</v>
      </c>
      <c r="L1459" t="s">
        <v>8176</v>
      </c>
      <c r="M1459" t="s">
        <v>8177</v>
      </c>
      <c r="N1459">
        <v>36874</v>
      </c>
      <c r="O1459" t="s">
        <v>710</v>
      </c>
      <c r="P1459">
        <v>474</v>
      </c>
      <c r="Q1459" t="s">
        <v>1721</v>
      </c>
      <c r="R1459" t="s">
        <v>711</v>
      </c>
      <c r="S1459" t="s">
        <v>712</v>
      </c>
      <c r="T1459" t="s">
        <v>44</v>
      </c>
      <c r="U1459" t="s">
        <v>45</v>
      </c>
      <c r="AD1459" t="s">
        <v>94</v>
      </c>
      <c r="AE1459" t="s">
        <v>60</v>
      </c>
      <c r="AG1459" t="s">
        <v>48</v>
      </c>
    </row>
    <row r="1460" spans="1:33" x14ac:dyDescent="0.3">
      <c r="A1460">
        <v>6445</v>
      </c>
      <c r="B1460" t="s">
        <v>8178</v>
      </c>
      <c r="C1460" t="str">
        <f>"1100003934568"</f>
        <v>1100003934568</v>
      </c>
      <c r="D1460" t="str">
        <f>"231380H00"</f>
        <v>231380H00</v>
      </c>
      <c r="E1460" s="1">
        <v>42583</v>
      </c>
      <c r="F1460" t="s">
        <v>8179</v>
      </c>
      <c r="G1460" t="e">
        <f>INDEX(#REF!,MATCH(P1460,#REF!,0),1)</f>
        <v>#REF!</v>
      </c>
      <c r="H1460" t="s">
        <v>8180</v>
      </c>
      <c r="J1460" t="s">
        <v>8181</v>
      </c>
      <c r="K1460" t="s">
        <v>65</v>
      </c>
      <c r="L1460">
        <v>16335</v>
      </c>
      <c r="M1460" t="s">
        <v>8182</v>
      </c>
      <c r="N1460">
        <v>6445</v>
      </c>
      <c r="O1460" t="s">
        <v>8179</v>
      </c>
      <c r="P1460">
        <v>6445</v>
      </c>
      <c r="Q1460" t="s">
        <v>8179</v>
      </c>
      <c r="R1460" t="s">
        <v>940</v>
      </c>
      <c r="S1460" t="s">
        <v>941</v>
      </c>
      <c r="T1460" t="s">
        <v>44</v>
      </c>
      <c r="U1460" t="s">
        <v>45</v>
      </c>
    </row>
    <row r="1461" spans="1:33" x14ac:dyDescent="0.3">
      <c r="A1461">
        <v>6446</v>
      </c>
      <c r="B1461" t="s">
        <v>8183</v>
      </c>
      <c r="C1461" t="str">
        <f>"1100003777660"</f>
        <v>1100003777660</v>
      </c>
      <c r="D1461" t="str">
        <f>""</f>
        <v/>
      </c>
      <c r="E1461" s="1">
        <v>32932</v>
      </c>
      <c r="F1461" t="s">
        <v>8184</v>
      </c>
      <c r="G1461" t="e">
        <f>INDEX(#REF!,MATCH(P1461,#REF!,0),1)</f>
        <v>#REF!</v>
      </c>
      <c r="H1461" t="s">
        <v>8185</v>
      </c>
      <c r="J1461" t="s">
        <v>7951</v>
      </c>
      <c r="K1461" t="s">
        <v>261</v>
      </c>
      <c r="L1461" t="s">
        <v>8186</v>
      </c>
      <c r="M1461" t="s">
        <v>8187</v>
      </c>
      <c r="N1461">
        <v>4168349</v>
      </c>
      <c r="O1461" t="s">
        <v>264</v>
      </c>
      <c r="P1461">
        <v>281</v>
      </c>
      <c r="Q1461" t="s">
        <v>758</v>
      </c>
      <c r="R1461" t="s">
        <v>266</v>
      </c>
      <c r="S1461" t="s">
        <v>267</v>
      </c>
      <c r="T1461" t="s">
        <v>44</v>
      </c>
      <c r="U1461" t="s">
        <v>45</v>
      </c>
      <c r="Y1461" t="s">
        <v>46</v>
      </c>
      <c r="Z1461" s="1">
        <v>45113</v>
      </c>
      <c r="AE1461" t="s">
        <v>269</v>
      </c>
      <c r="AG1461" t="s">
        <v>48</v>
      </c>
    </row>
    <row r="1462" spans="1:33" x14ac:dyDescent="0.3">
      <c r="A1462">
        <v>6447</v>
      </c>
      <c r="B1462" t="s">
        <v>8188</v>
      </c>
      <c r="C1462" t="str">
        <f>"1100005699618"</f>
        <v>1100005699618</v>
      </c>
      <c r="D1462" t="str">
        <f>"442260I00"</f>
        <v>442260I00</v>
      </c>
      <c r="E1462" s="1">
        <v>32932</v>
      </c>
      <c r="F1462" t="s">
        <v>8189</v>
      </c>
      <c r="G1462" t="e">
        <f>INDEX(#REF!,MATCH(P1462,#REF!,0),1)</f>
        <v>#REF!</v>
      </c>
      <c r="H1462" t="s">
        <v>8190</v>
      </c>
      <c r="J1462" t="s">
        <v>5175</v>
      </c>
      <c r="K1462" t="s">
        <v>261</v>
      </c>
      <c r="L1462">
        <v>48183</v>
      </c>
      <c r="M1462" t="s">
        <v>8191</v>
      </c>
      <c r="N1462">
        <v>4168349</v>
      </c>
      <c r="O1462" t="s">
        <v>264</v>
      </c>
      <c r="P1462">
        <v>281</v>
      </c>
      <c r="Q1462" t="s">
        <v>758</v>
      </c>
      <c r="R1462" t="s">
        <v>266</v>
      </c>
      <c r="S1462" t="s">
        <v>267</v>
      </c>
      <c r="T1462" t="s">
        <v>44</v>
      </c>
      <c r="U1462" t="s">
        <v>45</v>
      </c>
      <c r="Y1462" t="s">
        <v>46</v>
      </c>
      <c r="Z1462" s="1">
        <v>45113</v>
      </c>
      <c r="AE1462" t="s">
        <v>269</v>
      </c>
      <c r="AG1462" t="s">
        <v>48</v>
      </c>
    </row>
    <row r="1463" spans="1:33" x14ac:dyDescent="0.3">
      <c r="A1463">
        <v>6449</v>
      </c>
      <c r="B1463" t="s">
        <v>8192</v>
      </c>
      <c r="C1463" t="str">
        <f>"1100004724007"</f>
        <v>1100004724007</v>
      </c>
      <c r="D1463" t="str">
        <f>"D0E2EFM00"</f>
        <v>D0E2EFM00</v>
      </c>
      <c r="E1463" s="1">
        <v>32932</v>
      </c>
      <c r="F1463" t="s">
        <v>8193</v>
      </c>
      <c r="G1463" t="e">
        <f>INDEX(#REF!,MATCH(P1463,#REF!,0),1)</f>
        <v>#REF!</v>
      </c>
      <c r="H1463" t="s">
        <v>8194</v>
      </c>
      <c r="J1463" t="s">
        <v>3505</v>
      </c>
      <c r="K1463" t="s">
        <v>261</v>
      </c>
      <c r="L1463" t="s">
        <v>8195</v>
      </c>
      <c r="M1463" t="s">
        <v>8196</v>
      </c>
      <c r="N1463">
        <v>4168349</v>
      </c>
      <c r="O1463" t="s">
        <v>264</v>
      </c>
      <c r="P1463">
        <v>281</v>
      </c>
      <c r="Q1463" t="s">
        <v>758</v>
      </c>
      <c r="R1463" t="s">
        <v>266</v>
      </c>
      <c r="S1463" t="s">
        <v>267</v>
      </c>
      <c r="T1463" t="s">
        <v>44</v>
      </c>
      <c r="U1463" t="s">
        <v>45</v>
      </c>
      <c r="Y1463" t="s">
        <v>46</v>
      </c>
      <c r="Z1463" s="1">
        <v>45119</v>
      </c>
      <c r="AE1463" t="s">
        <v>269</v>
      </c>
      <c r="AG1463" t="s">
        <v>48</v>
      </c>
    </row>
    <row r="1464" spans="1:33" x14ac:dyDescent="0.3">
      <c r="A1464">
        <v>6451</v>
      </c>
      <c r="B1464" t="s">
        <v>8197</v>
      </c>
      <c r="C1464" t="str">
        <f>""</f>
        <v/>
      </c>
      <c r="D1464" t="str">
        <f>"930190M00"</f>
        <v>930190M00</v>
      </c>
      <c r="E1464" s="1">
        <v>32932</v>
      </c>
      <c r="F1464" t="s">
        <v>8198</v>
      </c>
      <c r="G1464" t="e">
        <f>INDEX(#REF!,MATCH(P1464,#REF!,0),1)</f>
        <v>#REF!</v>
      </c>
      <c r="H1464" t="s">
        <v>8199</v>
      </c>
      <c r="J1464" t="s">
        <v>8200</v>
      </c>
      <c r="K1464" t="s">
        <v>88</v>
      </c>
      <c r="L1464">
        <v>95602</v>
      </c>
      <c r="M1464" t="s">
        <v>8201</v>
      </c>
      <c r="N1464">
        <v>251</v>
      </c>
      <c r="O1464" t="s">
        <v>90</v>
      </c>
      <c r="P1464">
        <v>251</v>
      </c>
      <c r="Q1464" t="s">
        <v>90</v>
      </c>
      <c r="R1464" t="s">
        <v>91</v>
      </c>
      <c r="S1464" t="s">
        <v>92</v>
      </c>
      <c r="T1464" t="s">
        <v>44</v>
      </c>
      <c r="U1464" t="s">
        <v>45</v>
      </c>
      <c r="AA1464" t="s">
        <v>93</v>
      </c>
      <c r="AC1464" t="s">
        <v>90</v>
      </c>
      <c r="AD1464" t="s">
        <v>94</v>
      </c>
      <c r="AE1464" t="s">
        <v>72</v>
      </c>
      <c r="AG1464" t="s">
        <v>48</v>
      </c>
    </row>
    <row r="1465" spans="1:33" x14ac:dyDescent="0.3">
      <c r="A1465">
        <v>6845</v>
      </c>
      <c r="B1465" t="s">
        <v>8202</v>
      </c>
      <c r="C1465" t="str">
        <f>""</f>
        <v/>
      </c>
      <c r="D1465" t="str">
        <f>"531440H00"</f>
        <v>531440H00</v>
      </c>
      <c r="E1465" s="1">
        <v>42961</v>
      </c>
      <c r="F1465" t="s">
        <v>8203</v>
      </c>
      <c r="G1465" t="e">
        <f>INDEX(#REF!,MATCH(P1465,#REF!,0),1)</f>
        <v>#REF!</v>
      </c>
      <c r="H1465" t="s">
        <v>8204</v>
      </c>
      <c r="J1465" t="s">
        <v>8205</v>
      </c>
      <c r="K1465" t="s">
        <v>125</v>
      </c>
      <c r="L1465" t="s">
        <v>8206</v>
      </c>
      <c r="M1465" t="s">
        <v>8207</v>
      </c>
      <c r="N1465">
        <v>6845</v>
      </c>
      <c r="O1465" t="s">
        <v>8203</v>
      </c>
      <c r="P1465">
        <v>6845</v>
      </c>
      <c r="Q1465" t="s">
        <v>8203</v>
      </c>
      <c r="R1465" t="s">
        <v>365</v>
      </c>
      <c r="S1465" t="s">
        <v>366</v>
      </c>
      <c r="T1465" t="s">
        <v>44</v>
      </c>
      <c r="U1465" t="s">
        <v>45</v>
      </c>
      <c r="AA1465" t="s">
        <v>105</v>
      </c>
      <c r="AB1465" t="s">
        <v>93</v>
      </c>
      <c r="AC1465" t="s">
        <v>367</v>
      </c>
      <c r="AE1465" t="s">
        <v>220</v>
      </c>
    </row>
    <row r="1466" spans="1:33" x14ac:dyDescent="0.3">
      <c r="A1466">
        <v>6890</v>
      </c>
      <c r="B1466" t="s">
        <v>8208</v>
      </c>
      <c r="C1466" t="str">
        <f>""</f>
        <v/>
      </c>
      <c r="D1466" t="str">
        <f>"232810G00"</f>
        <v>232810G00</v>
      </c>
      <c r="E1466" s="1">
        <v>33024</v>
      </c>
      <c r="F1466" t="s">
        <v>8209</v>
      </c>
      <c r="G1466" t="e">
        <f>INDEX(#REF!,MATCH(P1466,#REF!,0),1)</f>
        <v>#REF!</v>
      </c>
      <c r="H1466" t="s">
        <v>8210</v>
      </c>
      <c r="J1466" t="s">
        <v>1248</v>
      </c>
      <c r="K1466" t="s">
        <v>65</v>
      </c>
      <c r="L1466">
        <v>19064</v>
      </c>
      <c r="M1466" t="s">
        <v>8211</v>
      </c>
      <c r="N1466">
        <v>2623550</v>
      </c>
      <c r="O1466" t="s">
        <v>1767</v>
      </c>
      <c r="P1466">
        <v>482</v>
      </c>
      <c r="Q1466" t="s">
        <v>1762</v>
      </c>
      <c r="R1466" t="s">
        <v>1549</v>
      </c>
      <c r="S1466" t="s">
        <v>1550</v>
      </c>
      <c r="T1466" t="s">
        <v>44</v>
      </c>
      <c r="U1466" t="s">
        <v>45</v>
      </c>
    </row>
    <row r="1467" spans="1:33" x14ac:dyDescent="0.3">
      <c r="A1467">
        <v>7016</v>
      </c>
      <c r="B1467" t="s">
        <v>8212</v>
      </c>
      <c r="C1467" t="str">
        <f>""</f>
        <v/>
      </c>
      <c r="D1467" t="str">
        <f>"212620D00"</f>
        <v>212620D00</v>
      </c>
      <c r="E1467" s="1">
        <v>42583</v>
      </c>
      <c r="F1467" t="s">
        <v>8213</v>
      </c>
      <c r="G1467" t="e">
        <f>INDEX(#REF!,MATCH(P1467,#REF!,0),1)</f>
        <v>#REF!</v>
      </c>
      <c r="H1467" t="s">
        <v>8214</v>
      </c>
      <c r="J1467" t="s">
        <v>8215</v>
      </c>
      <c r="K1467" t="s">
        <v>2244</v>
      </c>
      <c r="L1467" t="s">
        <v>8216</v>
      </c>
      <c r="M1467" t="s">
        <v>8217</v>
      </c>
      <c r="N1467">
        <v>1362</v>
      </c>
      <c r="O1467" t="s">
        <v>2316</v>
      </c>
      <c r="P1467">
        <v>1362</v>
      </c>
      <c r="Q1467" t="s">
        <v>2316</v>
      </c>
      <c r="R1467" t="s">
        <v>940</v>
      </c>
      <c r="S1467" t="s">
        <v>941</v>
      </c>
      <c r="T1467" t="s">
        <v>44</v>
      </c>
      <c r="U1467" t="s">
        <v>45</v>
      </c>
    </row>
    <row r="1468" spans="1:33" x14ac:dyDescent="0.3">
      <c r="A1468">
        <v>7049</v>
      </c>
      <c r="B1468" t="s">
        <v>8218</v>
      </c>
      <c r="C1468" t="str">
        <f>"1100005095908"</f>
        <v>1100005095908</v>
      </c>
      <c r="D1468" t="str">
        <f>"430140C00"</f>
        <v>430140C00</v>
      </c>
      <c r="E1468" s="1">
        <v>33066</v>
      </c>
      <c r="F1468" t="s">
        <v>8219</v>
      </c>
      <c r="G1468" t="e">
        <f>INDEX(#REF!,MATCH(P1468,#REF!,0),1)</f>
        <v>#REF!</v>
      </c>
      <c r="H1468" t="s">
        <v>8220</v>
      </c>
      <c r="J1468" t="s">
        <v>408</v>
      </c>
      <c r="K1468" t="s">
        <v>342</v>
      </c>
      <c r="L1468" t="s">
        <v>8221</v>
      </c>
      <c r="M1468" t="s">
        <v>8222</v>
      </c>
      <c r="N1468">
        <v>6104582</v>
      </c>
      <c r="O1468" t="s">
        <v>180</v>
      </c>
      <c r="P1468">
        <v>922529</v>
      </c>
      <c r="Q1468" t="s">
        <v>8223</v>
      </c>
      <c r="R1468" t="s">
        <v>182</v>
      </c>
      <c r="S1468" t="s">
        <v>183</v>
      </c>
      <c r="T1468" t="s">
        <v>44</v>
      </c>
      <c r="U1468" t="s">
        <v>45</v>
      </c>
      <c r="AA1468" t="s">
        <v>185</v>
      </c>
      <c r="AE1468" t="s">
        <v>186</v>
      </c>
    </row>
    <row r="1469" spans="1:33" x14ac:dyDescent="0.3">
      <c r="A1469">
        <v>7050</v>
      </c>
      <c r="B1469" t="s">
        <v>8224</v>
      </c>
      <c r="C1469" t="str">
        <f>""</f>
        <v/>
      </c>
      <c r="D1469" t="str">
        <f>"092XZX4F3"</f>
        <v>092XZX4F3</v>
      </c>
      <c r="E1469" s="1">
        <v>33085</v>
      </c>
      <c r="F1469" t="s">
        <v>8225</v>
      </c>
      <c r="G1469" t="e">
        <f>INDEX(#REF!,MATCH(P1469,#REF!,0),1)</f>
        <v>#REF!</v>
      </c>
      <c r="H1469" t="s">
        <v>8226</v>
      </c>
      <c r="J1469" t="s">
        <v>1447</v>
      </c>
      <c r="K1469" t="s">
        <v>65</v>
      </c>
      <c r="L1469">
        <v>18840</v>
      </c>
      <c r="M1469" t="s">
        <v>8227</v>
      </c>
      <c r="N1469">
        <v>1922</v>
      </c>
      <c r="O1469" t="s">
        <v>883</v>
      </c>
      <c r="P1469">
        <v>1922</v>
      </c>
      <c r="Q1469" t="s">
        <v>883</v>
      </c>
      <c r="R1469" t="s">
        <v>4102</v>
      </c>
      <c r="S1469" t="s">
        <v>4103</v>
      </c>
      <c r="T1469" t="s">
        <v>2277</v>
      </c>
      <c r="U1469" t="s">
        <v>2278</v>
      </c>
      <c r="V1469" t="s">
        <v>1824</v>
      </c>
      <c r="AA1469" t="s">
        <v>119</v>
      </c>
      <c r="AE1469" t="s">
        <v>564</v>
      </c>
      <c r="AG1469" t="s">
        <v>48</v>
      </c>
    </row>
    <row r="1470" spans="1:33" x14ac:dyDescent="0.3">
      <c r="A1470">
        <v>7057</v>
      </c>
      <c r="B1470" t="s">
        <v>8228</v>
      </c>
      <c r="C1470" t="str">
        <f>"1100003075438"</f>
        <v>1100003075438</v>
      </c>
      <c r="D1470" t="str">
        <f>"D7D1GHV00"</f>
        <v>D7D1GHV00</v>
      </c>
      <c r="E1470" s="1">
        <v>31093</v>
      </c>
      <c r="F1470" t="s">
        <v>820</v>
      </c>
      <c r="G1470" t="e">
        <f>INDEX(#REF!,MATCH(P1470,#REF!,0),1)</f>
        <v>#REF!</v>
      </c>
      <c r="H1470" t="s">
        <v>817</v>
      </c>
      <c r="J1470" t="s">
        <v>818</v>
      </c>
      <c r="K1470" t="s">
        <v>425</v>
      </c>
      <c r="L1470" t="str">
        <f>"05201-5004"</f>
        <v>05201-5004</v>
      </c>
      <c r="M1470" t="s">
        <v>8229</v>
      </c>
      <c r="N1470">
        <v>155</v>
      </c>
      <c r="O1470" t="s">
        <v>55</v>
      </c>
      <c r="P1470">
        <v>155</v>
      </c>
      <c r="Q1470" t="s">
        <v>55</v>
      </c>
      <c r="R1470" t="s">
        <v>56</v>
      </c>
      <c r="S1470" t="s">
        <v>57</v>
      </c>
      <c r="T1470" t="s">
        <v>44</v>
      </c>
      <c r="U1470" t="s">
        <v>81</v>
      </c>
      <c r="AA1470" t="s">
        <v>58</v>
      </c>
      <c r="AE1470" t="s">
        <v>60</v>
      </c>
    </row>
    <row r="1471" spans="1:33" x14ac:dyDescent="0.3">
      <c r="A1471">
        <v>7065</v>
      </c>
      <c r="B1471" t="s">
        <v>8230</v>
      </c>
      <c r="C1471" t="str">
        <f>"1100003250132"</f>
        <v>1100003250132</v>
      </c>
      <c r="D1471" t="str">
        <f>"520800F00"</f>
        <v>520800F00</v>
      </c>
      <c r="E1471" s="1">
        <v>33112</v>
      </c>
      <c r="F1471" t="s">
        <v>8231</v>
      </c>
      <c r="G1471" t="e">
        <f>INDEX(#REF!,MATCH(P1471,#REF!,0),1)</f>
        <v>#REF!</v>
      </c>
      <c r="H1471" t="s">
        <v>8232</v>
      </c>
      <c r="J1471" t="s">
        <v>430</v>
      </c>
      <c r="K1471" t="s">
        <v>139</v>
      </c>
      <c r="L1471" t="s">
        <v>8233</v>
      </c>
      <c r="M1471" t="s">
        <v>8234</v>
      </c>
      <c r="N1471">
        <v>7585</v>
      </c>
      <c r="O1471" t="s">
        <v>433</v>
      </c>
      <c r="P1471">
        <v>7585</v>
      </c>
      <c r="Q1471" t="s">
        <v>433</v>
      </c>
      <c r="R1471" t="s">
        <v>434</v>
      </c>
      <c r="S1471" t="s">
        <v>435</v>
      </c>
      <c r="T1471" t="s">
        <v>44</v>
      </c>
      <c r="U1471" t="s">
        <v>45</v>
      </c>
      <c r="AA1471" t="s">
        <v>119</v>
      </c>
      <c r="AE1471" t="s">
        <v>120</v>
      </c>
    </row>
    <row r="1472" spans="1:33" x14ac:dyDescent="0.3">
      <c r="A1472">
        <v>7066</v>
      </c>
      <c r="B1472" t="s">
        <v>8235</v>
      </c>
      <c r="C1472" t="str">
        <f>""</f>
        <v/>
      </c>
      <c r="D1472" t="str">
        <f>"930110E00"</f>
        <v>930110E00</v>
      </c>
      <c r="E1472" s="1">
        <v>33116</v>
      </c>
      <c r="F1472" t="s">
        <v>8236</v>
      </c>
      <c r="G1472" t="e">
        <f>INDEX(#REF!,MATCH(P1472,#REF!,0),1)</f>
        <v>#REF!</v>
      </c>
      <c r="H1472" t="s">
        <v>8237</v>
      </c>
      <c r="J1472" t="s">
        <v>8238</v>
      </c>
      <c r="K1472" t="s">
        <v>88</v>
      </c>
      <c r="L1472" t="s">
        <v>8239</v>
      </c>
      <c r="M1472" t="s">
        <v>8240</v>
      </c>
      <c r="N1472">
        <v>251</v>
      </c>
      <c r="O1472" t="s">
        <v>90</v>
      </c>
      <c r="P1472">
        <v>251</v>
      </c>
      <c r="Q1472" t="s">
        <v>90</v>
      </c>
      <c r="R1472" t="s">
        <v>91</v>
      </c>
      <c r="S1472" t="s">
        <v>92</v>
      </c>
      <c r="T1472" t="s">
        <v>44</v>
      </c>
      <c r="U1472" t="s">
        <v>45</v>
      </c>
      <c r="AA1472" t="s">
        <v>93</v>
      </c>
      <c r="AC1472" t="s">
        <v>90</v>
      </c>
      <c r="AD1472" t="s">
        <v>94</v>
      </c>
      <c r="AE1472" t="s">
        <v>72</v>
      </c>
      <c r="AG1472" t="s">
        <v>48</v>
      </c>
    </row>
    <row r="1473" spans="1:33" x14ac:dyDescent="0.3">
      <c r="A1473">
        <v>7067</v>
      </c>
      <c r="B1473" t="s">
        <v>8241</v>
      </c>
      <c r="C1473" t="str">
        <f>"1100003371462"</f>
        <v>1100003371462</v>
      </c>
      <c r="D1473" t="str">
        <f>"93KRPGS00"</f>
        <v>93KRPGS00</v>
      </c>
      <c r="E1473" s="1">
        <v>42826</v>
      </c>
      <c r="F1473" t="s">
        <v>8242</v>
      </c>
      <c r="G1473" t="e">
        <f>INDEX(#REF!,MATCH(P1473,#REF!,0),1)</f>
        <v>#REF!</v>
      </c>
      <c r="H1473" t="s">
        <v>8243</v>
      </c>
      <c r="J1473" t="s">
        <v>8244</v>
      </c>
      <c r="K1473" t="s">
        <v>88</v>
      </c>
      <c r="L1473" t="s">
        <v>8245</v>
      </c>
      <c r="M1473" t="s">
        <v>8246</v>
      </c>
      <c r="N1473">
        <v>2472612</v>
      </c>
      <c r="O1473" t="s">
        <v>2340</v>
      </c>
      <c r="P1473">
        <v>2472612</v>
      </c>
      <c r="Q1473" t="s">
        <v>2340</v>
      </c>
      <c r="R1473" t="s">
        <v>2342</v>
      </c>
      <c r="S1473" t="s">
        <v>2343</v>
      </c>
      <c r="T1473" t="s">
        <v>44</v>
      </c>
      <c r="U1473" t="s">
        <v>45</v>
      </c>
    </row>
    <row r="1474" spans="1:33" x14ac:dyDescent="0.3">
      <c r="A1474">
        <v>7068</v>
      </c>
      <c r="B1474" t="s">
        <v>8247</v>
      </c>
      <c r="C1474" t="str">
        <f>""</f>
        <v/>
      </c>
      <c r="D1474" t="str">
        <f>"630070G00"</f>
        <v>630070G00</v>
      </c>
      <c r="E1474" s="1">
        <v>33116</v>
      </c>
      <c r="F1474" t="s">
        <v>8248</v>
      </c>
      <c r="G1474" t="e">
        <f>INDEX(#REF!,MATCH(P1474,#REF!,0),1)</f>
        <v>#REF!</v>
      </c>
      <c r="H1474" t="s">
        <v>8249</v>
      </c>
      <c r="J1474" t="s">
        <v>5282</v>
      </c>
      <c r="K1474" t="s">
        <v>177</v>
      </c>
      <c r="L1474" t="s">
        <v>8250</v>
      </c>
      <c r="M1474" t="s">
        <v>8251</v>
      </c>
      <c r="N1474">
        <v>7068</v>
      </c>
      <c r="O1474" t="s">
        <v>8248</v>
      </c>
      <c r="P1474">
        <v>7068</v>
      </c>
      <c r="Q1474" t="s">
        <v>8248</v>
      </c>
      <c r="R1474" t="s">
        <v>1401</v>
      </c>
      <c r="S1474" t="s">
        <v>1402</v>
      </c>
      <c r="T1474" t="s">
        <v>44</v>
      </c>
      <c r="U1474" t="s">
        <v>81</v>
      </c>
      <c r="AA1474" t="s">
        <v>327</v>
      </c>
      <c r="AD1474" t="s">
        <v>94</v>
      </c>
      <c r="AE1474" t="s">
        <v>1522</v>
      </c>
    </row>
    <row r="1475" spans="1:33" x14ac:dyDescent="0.3">
      <c r="A1475">
        <v>7069</v>
      </c>
      <c r="B1475" t="s">
        <v>8252</v>
      </c>
      <c r="C1475" t="str">
        <f>""</f>
        <v/>
      </c>
      <c r="D1475" t="str">
        <f>"420940J00"</f>
        <v>420940J00</v>
      </c>
      <c r="E1475" s="1">
        <v>42583</v>
      </c>
      <c r="F1475" t="s">
        <v>8253</v>
      </c>
      <c r="G1475" t="e">
        <f>INDEX(#REF!,MATCH(P1475,#REF!,0),1)</f>
        <v>#REF!</v>
      </c>
      <c r="H1475" t="s">
        <v>8254</v>
      </c>
      <c r="J1475" t="s">
        <v>8255</v>
      </c>
      <c r="K1475" t="s">
        <v>307</v>
      </c>
      <c r="L1475" t="s">
        <v>8256</v>
      </c>
      <c r="M1475" t="s">
        <v>8257</v>
      </c>
      <c r="N1475">
        <v>7069</v>
      </c>
      <c r="O1475" t="s">
        <v>8253</v>
      </c>
      <c r="P1475">
        <v>7069</v>
      </c>
      <c r="Q1475" t="s">
        <v>8253</v>
      </c>
      <c r="R1475" t="s">
        <v>465</v>
      </c>
      <c r="S1475" t="s">
        <v>466</v>
      </c>
      <c r="T1475" t="s">
        <v>44</v>
      </c>
      <c r="U1475" t="s">
        <v>45</v>
      </c>
    </row>
    <row r="1476" spans="1:33" x14ac:dyDescent="0.3">
      <c r="A1476">
        <v>7081</v>
      </c>
      <c r="B1476" t="s">
        <v>8258</v>
      </c>
      <c r="C1476" t="str">
        <f>""</f>
        <v/>
      </c>
      <c r="D1476" t="str">
        <f>"380630K00"</f>
        <v>380630K00</v>
      </c>
      <c r="E1476" s="1">
        <v>33144</v>
      </c>
      <c r="F1476" t="s">
        <v>1890</v>
      </c>
      <c r="G1476" t="e">
        <f>INDEX(#REF!,MATCH(P1476,#REF!,0),1)</f>
        <v>#REF!</v>
      </c>
      <c r="H1476" t="s">
        <v>8259</v>
      </c>
      <c r="J1476" t="s">
        <v>8260</v>
      </c>
      <c r="K1476" t="s">
        <v>99</v>
      </c>
      <c r="L1476" t="s">
        <v>8261</v>
      </c>
      <c r="M1476" t="s">
        <v>8262</v>
      </c>
      <c r="N1476">
        <v>35682</v>
      </c>
      <c r="O1476" t="s">
        <v>528</v>
      </c>
      <c r="P1476">
        <v>134</v>
      </c>
      <c r="Q1476" t="s">
        <v>523</v>
      </c>
      <c r="R1476" t="s">
        <v>434</v>
      </c>
      <c r="S1476" t="s">
        <v>435</v>
      </c>
      <c r="T1476" t="s">
        <v>44</v>
      </c>
      <c r="U1476" t="s">
        <v>45</v>
      </c>
      <c r="AA1476" t="s">
        <v>105</v>
      </c>
      <c r="AE1476" t="s">
        <v>106</v>
      </c>
    </row>
    <row r="1477" spans="1:33" x14ac:dyDescent="0.3">
      <c r="A1477">
        <v>7083</v>
      </c>
      <c r="B1477" t="s">
        <v>8263</v>
      </c>
      <c r="C1477" t="str">
        <f>""</f>
        <v/>
      </c>
      <c r="D1477" t="str">
        <f>"C4HL69X00"</f>
        <v>C4HL69X00</v>
      </c>
      <c r="E1477" s="1">
        <v>33144</v>
      </c>
      <c r="F1477" t="s">
        <v>8264</v>
      </c>
      <c r="G1477" t="e">
        <f>INDEX(#REF!,MATCH(P1477,#REF!,0),1)</f>
        <v>#REF!</v>
      </c>
      <c r="H1477" t="s">
        <v>8265</v>
      </c>
      <c r="J1477" t="s">
        <v>3146</v>
      </c>
      <c r="K1477" t="s">
        <v>88</v>
      </c>
      <c r="L1477" t="s">
        <v>8266</v>
      </c>
      <c r="M1477" t="s">
        <v>8267</v>
      </c>
      <c r="N1477">
        <v>251</v>
      </c>
      <c r="O1477" t="s">
        <v>90</v>
      </c>
      <c r="P1477">
        <v>251</v>
      </c>
      <c r="Q1477" t="s">
        <v>90</v>
      </c>
      <c r="R1477" t="s">
        <v>91</v>
      </c>
      <c r="S1477" t="s">
        <v>92</v>
      </c>
      <c r="T1477" t="s">
        <v>44</v>
      </c>
      <c r="U1477" t="s">
        <v>45</v>
      </c>
      <c r="AA1477" t="s">
        <v>93</v>
      </c>
      <c r="AC1477" t="s">
        <v>90</v>
      </c>
      <c r="AD1477" t="s">
        <v>94</v>
      </c>
      <c r="AE1477" t="s">
        <v>72</v>
      </c>
      <c r="AG1477" t="s">
        <v>48</v>
      </c>
    </row>
    <row r="1478" spans="1:33" x14ac:dyDescent="0.3">
      <c r="A1478">
        <v>7104</v>
      </c>
      <c r="B1478" t="s">
        <v>8268</v>
      </c>
      <c r="C1478" t="str">
        <f>"1100004748706"</f>
        <v>1100004748706</v>
      </c>
      <c r="D1478" t="str">
        <f>"ZPKHQHW00"</f>
        <v>ZPKHQHW00</v>
      </c>
      <c r="E1478" s="1">
        <v>39846</v>
      </c>
      <c r="F1478" t="s">
        <v>8269</v>
      </c>
      <c r="G1478" t="e">
        <f>INDEX(#REF!,MATCH(P1478,#REF!,0),1)</f>
        <v>#REF!</v>
      </c>
      <c r="H1478" t="s">
        <v>8270</v>
      </c>
      <c r="J1478" t="s">
        <v>2328</v>
      </c>
      <c r="K1478" t="s">
        <v>384</v>
      </c>
      <c r="L1478">
        <v>28270</v>
      </c>
      <c r="M1478" t="s">
        <v>8271</v>
      </c>
      <c r="N1478">
        <v>5949</v>
      </c>
      <c r="O1478" t="s">
        <v>2330</v>
      </c>
      <c r="P1478">
        <v>5949</v>
      </c>
      <c r="Q1478" t="s">
        <v>2330</v>
      </c>
      <c r="R1478" t="s">
        <v>2331</v>
      </c>
      <c r="S1478" t="s">
        <v>2332</v>
      </c>
      <c r="T1478" t="s">
        <v>2214</v>
      </c>
      <c r="U1478" t="s">
        <v>2214</v>
      </c>
      <c r="V1478" t="s">
        <v>2215</v>
      </c>
      <c r="AC1478" t="s">
        <v>2333</v>
      </c>
    </row>
    <row r="1479" spans="1:33" x14ac:dyDescent="0.3">
      <c r="A1479">
        <v>7155</v>
      </c>
      <c r="B1479" t="s">
        <v>8272</v>
      </c>
      <c r="C1479" t="str">
        <f>""</f>
        <v/>
      </c>
      <c r="D1479" t="str">
        <f>"630990R00"</f>
        <v>630990R00</v>
      </c>
      <c r="E1479" s="1">
        <v>33210</v>
      </c>
      <c r="F1479" t="s">
        <v>8273</v>
      </c>
      <c r="G1479" t="e">
        <f>INDEX(#REF!,MATCH(P1479,#REF!,0),1)</f>
        <v>#REF!</v>
      </c>
      <c r="H1479" t="s">
        <v>8274</v>
      </c>
      <c r="J1479" t="s">
        <v>8275</v>
      </c>
      <c r="K1479" t="s">
        <v>177</v>
      </c>
      <c r="L1479" t="s">
        <v>8276</v>
      </c>
      <c r="M1479" t="s">
        <v>8277</v>
      </c>
      <c r="N1479">
        <v>30537</v>
      </c>
      <c r="O1479" t="s">
        <v>838</v>
      </c>
      <c r="P1479">
        <v>30537</v>
      </c>
      <c r="Q1479" t="s">
        <v>838</v>
      </c>
      <c r="R1479" t="s">
        <v>228</v>
      </c>
      <c r="S1479" t="s">
        <v>229</v>
      </c>
      <c r="T1479" t="s">
        <v>44</v>
      </c>
      <c r="U1479" t="s">
        <v>45</v>
      </c>
      <c r="AA1479" t="s">
        <v>119</v>
      </c>
      <c r="AE1479" t="s">
        <v>120</v>
      </c>
      <c r="AG1479" t="s">
        <v>48</v>
      </c>
    </row>
    <row r="1480" spans="1:33" x14ac:dyDescent="0.3">
      <c r="A1480">
        <v>7228</v>
      </c>
      <c r="B1480" t="s">
        <v>8278</v>
      </c>
      <c r="C1480" t="str">
        <f>""</f>
        <v/>
      </c>
      <c r="D1480" t="str">
        <f>"3GB8XED00"</f>
        <v>3GB8XED00</v>
      </c>
      <c r="E1480" s="1">
        <v>43222</v>
      </c>
      <c r="F1480" t="s">
        <v>8279</v>
      </c>
      <c r="G1480" t="e">
        <f>INDEX(#REF!,MATCH(P1480,#REF!,0),1)</f>
        <v>#REF!</v>
      </c>
      <c r="H1480" t="s">
        <v>8280</v>
      </c>
      <c r="J1480" t="s">
        <v>8281</v>
      </c>
      <c r="K1480" t="s">
        <v>261</v>
      </c>
      <c r="L1480" t="s">
        <v>8282</v>
      </c>
      <c r="M1480" t="s">
        <v>8283</v>
      </c>
      <c r="N1480">
        <v>3691178</v>
      </c>
      <c r="O1480" t="s">
        <v>4470</v>
      </c>
      <c r="P1480">
        <v>1095735</v>
      </c>
      <c r="Q1480" t="s">
        <v>8284</v>
      </c>
      <c r="R1480" t="s">
        <v>396</v>
      </c>
      <c r="S1480" t="s">
        <v>397</v>
      </c>
      <c r="T1480" t="s">
        <v>44</v>
      </c>
      <c r="U1480" t="s">
        <v>45</v>
      </c>
      <c r="AA1480" t="s">
        <v>119</v>
      </c>
      <c r="AE1480" t="s">
        <v>120</v>
      </c>
    </row>
    <row r="1481" spans="1:33" x14ac:dyDescent="0.3">
      <c r="A1481">
        <v>7354</v>
      </c>
      <c r="B1481" t="s">
        <v>8285</v>
      </c>
      <c r="C1481" t="str">
        <f>"1100005663978"</f>
        <v>1100005663978</v>
      </c>
      <c r="D1481" t="str">
        <f>""</f>
        <v/>
      </c>
      <c r="E1481" s="1">
        <v>33296</v>
      </c>
      <c r="F1481" t="s">
        <v>8286</v>
      </c>
      <c r="G1481" t="e">
        <f>INDEX(#REF!,MATCH(P1481,#REF!,0),1)</f>
        <v>#REF!</v>
      </c>
      <c r="H1481" t="s">
        <v>8287</v>
      </c>
      <c r="J1481" t="s">
        <v>755</v>
      </c>
      <c r="K1481" t="s">
        <v>261</v>
      </c>
      <c r="L1481">
        <v>48120</v>
      </c>
      <c r="M1481" t="s">
        <v>8288</v>
      </c>
      <c r="N1481">
        <v>4168349</v>
      </c>
      <c r="O1481" t="s">
        <v>264</v>
      </c>
      <c r="P1481">
        <v>281</v>
      </c>
      <c r="Q1481" t="s">
        <v>758</v>
      </c>
      <c r="R1481" t="s">
        <v>2550</v>
      </c>
      <c r="S1481" t="s">
        <v>2551</v>
      </c>
      <c r="T1481" t="s">
        <v>2214</v>
      </c>
      <c r="U1481" t="s">
        <v>2552</v>
      </c>
      <c r="V1481" t="s">
        <v>1824</v>
      </c>
      <c r="Y1481" t="s">
        <v>46</v>
      </c>
      <c r="Z1481" s="1">
        <v>45707</v>
      </c>
      <c r="AG1481" t="s">
        <v>48</v>
      </c>
    </row>
    <row r="1482" spans="1:33" x14ac:dyDescent="0.3">
      <c r="A1482">
        <v>7464</v>
      </c>
      <c r="B1482" t="s">
        <v>8289</v>
      </c>
      <c r="C1482" t="str">
        <f>""</f>
        <v/>
      </c>
      <c r="D1482" t="str">
        <f>"731330H00"</f>
        <v>731330H00</v>
      </c>
      <c r="E1482" s="1">
        <v>33351</v>
      </c>
      <c r="F1482" t="s">
        <v>3872</v>
      </c>
      <c r="G1482" t="e">
        <f>INDEX(#REF!,MATCH(P1482,#REF!,0),1)</f>
        <v>#REF!</v>
      </c>
      <c r="H1482" t="s">
        <v>3868</v>
      </c>
      <c r="J1482" t="s">
        <v>3869</v>
      </c>
      <c r="K1482" t="s">
        <v>763</v>
      </c>
      <c r="L1482" t="s">
        <v>3870</v>
      </c>
      <c r="M1482" t="s">
        <v>8290</v>
      </c>
      <c r="N1482">
        <v>7464</v>
      </c>
      <c r="O1482" t="s">
        <v>3872</v>
      </c>
      <c r="P1482">
        <v>7464</v>
      </c>
      <c r="Q1482" t="s">
        <v>3872</v>
      </c>
      <c r="R1482" t="s">
        <v>1401</v>
      </c>
      <c r="S1482" t="s">
        <v>1402</v>
      </c>
      <c r="T1482" t="s">
        <v>44</v>
      </c>
      <c r="U1482" t="s">
        <v>45</v>
      </c>
      <c r="AA1482" t="s">
        <v>119</v>
      </c>
      <c r="AE1482" t="s">
        <v>766</v>
      </c>
    </row>
    <row r="1483" spans="1:33" x14ac:dyDescent="0.3">
      <c r="A1483">
        <v>7465</v>
      </c>
      <c r="B1483" t="s">
        <v>8291</v>
      </c>
      <c r="C1483" t="str">
        <f>""</f>
        <v/>
      </c>
      <c r="D1483" t="str">
        <f>"141080E00"</f>
        <v>141080E00</v>
      </c>
      <c r="E1483" s="1">
        <v>33351</v>
      </c>
      <c r="F1483" t="s">
        <v>8292</v>
      </c>
      <c r="G1483" t="e">
        <f>INDEX(#REF!,MATCH(P1483,#REF!,0),1)</f>
        <v>#REF!</v>
      </c>
      <c r="H1483" t="s">
        <v>8293</v>
      </c>
      <c r="J1483" t="s">
        <v>8294</v>
      </c>
      <c r="K1483" t="s">
        <v>2004</v>
      </c>
      <c r="L1483" t="str">
        <f>"02554-4396"</f>
        <v>02554-4396</v>
      </c>
      <c r="M1483" t="s">
        <v>8295</v>
      </c>
      <c r="N1483">
        <v>2598</v>
      </c>
      <c r="O1483" t="s">
        <v>2136</v>
      </c>
      <c r="P1483">
        <v>2598</v>
      </c>
      <c r="Q1483" t="s">
        <v>2136</v>
      </c>
      <c r="R1483" t="s">
        <v>2492</v>
      </c>
      <c r="S1483" t="s">
        <v>2493</v>
      </c>
      <c r="T1483" t="s">
        <v>44</v>
      </c>
      <c r="U1483" t="s">
        <v>45</v>
      </c>
      <c r="AE1483" t="s">
        <v>72</v>
      </c>
      <c r="AG1483" t="s">
        <v>48</v>
      </c>
    </row>
    <row r="1484" spans="1:33" x14ac:dyDescent="0.3">
      <c r="A1484">
        <v>7467</v>
      </c>
      <c r="B1484" t="s">
        <v>8296</v>
      </c>
      <c r="C1484" t="str">
        <f>"1100003907548"</f>
        <v>1100003907548</v>
      </c>
      <c r="D1484" t="str">
        <f>"442440I00"</f>
        <v>442440I00</v>
      </c>
      <c r="E1484" s="1">
        <v>33351</v>
      </c>
      <c r="F1484" t="s">
        <v>8297</v>
      </c>
      <c r="G1484" t="e">
        <f>INDEX(#REF!,MATCH(P1484,#REF!,0),1)</f>
        <v>#REF!</v>
      </c>
      <c r="H1484" t="s">
        <v>8298</v>
      </c>
      <c r="J1484" t="s">
        <v>8299</v>
      </c>
      <c r="K1484" t="s">
        <v>261</v>
      </c>
      <c r="L1484">
        <v>49464</v>
      </c>
      <c r="M1484" t="s">
        <v>8300</v>
      </c>
      <c r="N1484">
        <v>4168349</v>
      </c>
      <c r="O1484" t="s">
        <v>264</v>
      </c>
      <c r="P1484">
        <v>43714</v>
      </c>
      <c r="Q1484" t="s">
        <v>265</v>
      </c>
      <c r="R1484" t="s">
        <v>266</v>
      </c>
      <c r="S1484" t="s">
        <v>267</v>
      </c>
      <c r="T1484" t="s">
        <v>44</v>
      </c>
      <c r="U1484" t="s">
        <v>45</v>
      </c>
      <c r="Y1484" t="s">
        <v>46</v>
      </c>
      <c r="Z1484" s="1">
        <v>44835</v>
      </c>
      <c r="AC1484" t="s">
        <v>268</v>
      </c>
      <c r="AE1484" t="s">
        <v>269</v>
      </c>
      <c r="AG1484" t="s">
        <v>48</v>
      </c>
    </row>
    <row r="1485" spans="1:33" x14ac:dyDescent="0.3">
      <c r="A1485">
        <v>7477</v>
      </c>
      <c r="B1485" t="s">
        <v>8301</v>
      </c>
      <c r="C1485" t="str">
        <f>"1100003693212"</f>
        <v>1100003693212</v>
      </c>
      <c r="D1485" t="str">
        <f>"420630F00"</f>
        <v>420630F00</v>
      </c>
      <c r="E1485" s="1">
        <v>28417</v>
      </c>
      <c r="F1485" t="s">
        <v>8302</v>
      </c>
      <c r="G1485" t="e">
        <f>INDEX(#REF!,MATCH(P1485,#REF!,0),1)</f>
        <v>#REF!</v>
      </c>
      <c r="H1485" t="s">
        <v>8303</v>
      </c>
      <c r="J1485" t="s">
        <v>306</v>
      </c>
      <c r="K1485" t="s">
        <v>307</v>
      </c>
      <c r="L1485" t="s">
        <v>8304</v>
      </c>
      <c r="M1485" t="s">
        <v>309</v>
      </c>
      <c r="N1485">
        <v>67</v>
      </c>
      <c r="O1485" t="s">
        <v>304</v>
      </c>
      <c r="P1485">
        <v>67</v>
      </c>
      <c r="Q1485" t="s">
        <v>304</v>
      </c>
      <c r="R1485" t="s">
        <v>310</v>
      </c>
      <c r="S1485" t="s">
        <v>311</v>
      </c>
      <c r="T1485" t="s">
        <v>44</v>
      </c>
      <c r="U1485" t="s">
        <v>45</v>
      </c>
      <c r="AE1485" t="s">
        <v>269</v>
      </c>
    </row>
    <row r="1486" spans="1:33" x14ac:dyDescent="0.3">
      <c r="A1486">
        <v>7494</v>
      </c>
      <c r="B1486" t="s">
        <v>8305</v>
      </c>
      <c r="C1486" t="str">
        <f>"1100005998209"</f>
        <v>1100005998209</v>
      </c>
      <c r="D1486" t="str">
        <f>"411640G00"</f>
        <v>411640G00</v>
      </c>
      <c r="E1486" s="1">
        <v>41271</v>
      </c>
      <c r="F1486" t="s">
        <v>8306</v>
      </c>
      <c r="G1486" t="e">
        <f>INDEX(#REF!,MATCH(P1486,#REF!,0),1)</f>
        <v>#REF!</v>
      </c>
      <c r="H1486" t="s">
        <v>8307</v>
      </c>
      <c r="J1486" t="s">
        <v>8308</v>
      </c>
      <c r="K1486" t="s">
        <v>37</v>
      </c>
      <c r="L1486" t="s">
        <v>8309</v>
      </c>
      <c r="M1486" t="s">
        <v>8310</v>
      </c>
      <c r="N1486">
        <v>770471</v>
      </c>
      <c r="O1486" t="s">
        <v>40</v>
      </c>
      <c r="P1486">
        <v>770471</v>
      </c>
      <c r="Q1486" t="s">
        <v>40</v>
      </c>
      <c r="R1486" t="s">
        <v>42</v>
      </c>
      <c r="S1486" t="s">
        <v>43</v>
      </c>
      <c r="T1486" t="s">
        <v>44</v>
      </c>
      <c r="U1486" t="s">
        <v>45</v>
      </c>
      <c r="Y1486" t="s">
        <v>46</v>
      </c>
      <c r="Z1486" s="1">
        <v>41562</v>
      </c>
      <c r="AE1486" t="s">
        <v>47</v>
      </c>
      <c r="AG1486" t="s">
        <v>48</v>
      </c>
    </row>
    <row r="1487" spans="1:33" x14ac:dyDescent="0.3">
      <c r="A1487">
        <v>7495</v>
      </c>
      <c r="B1487" t="s">
        <v>8311</v>
      </c>
      <c r="C1487" t="str">
        <f>""</f>
        <v/>
      </c>
      <c r="D1487" t="str">
        <f>"14EC5PP00"</f>
        <v>14EC5PP00</v>
      </c>
      <c r="E1487" s="1">
        <v>35886</v>
      </c>
      <c r="F1487" t="s">
        <v>8312</v>
      </c>
      <c r="G1487" t="e">
        <f>INDEX(#REF!,MATCH(P1487,#REF!,0),1)</f>
        <v>#REF!</v>
      </c>
      <c r="H1487" t="s">
        <v>8313</v>
      </c>
      <c r="J1487" t="s">
        <v>8314</v>
      </c>
      <c r="K1487" t="s">
        <v>99</v>
      </c>
      <c r="L1487">
        <v>30115</v>
      </c>
      <c r="M1487" t="s">
        <v>8315</v>
      </c>
      <c r="N1487">
        <v>2625226</v>
      </c>
      <c r="O1487" t="s">
        <v>2109</v>
      </c>
      <c r="P1487">
        <v>1414</v>
      </c>
      <c r="Q1487" t="s">
        <v>3659</v>
      </c>
      <c r="R1487" t="s">
        <v>434</v>
      </c>
      <c r="S1487" t="s">
        <v>435</v>
      </c>
      <c r="T1487" t="s">
        <v>44</v>
      </c>
      <c r="U1487" t="s">
        <v>45</v>
      </c>
    </row>
    <row r="1488" spans="1:33" x14ac:dyDescent="0.3">
      <c r="A1488">
        <v>7542</v>
      </c>
      <c r="B1488" t="s">
        <v>8316</v>
      </c>
      <c r="C1488" t="str">
        <f>"1100007296471"</f>
        <v>1100007296471</v>
      </c>
      <c r="D1488" t="str">
        <f>"221140A00"</f>
        <v>221140A00</v>
      </c>
      <c r="E1488" s="1">
        <v>33421</v>
      </c>
      <c r="F1488" t="s">
        <v>8317</v>
      </c>
      <c r="G1488" t="e">
        <f>INDEX(#REF!,MATCH(P1488,#REF!,0),1)</f>
        <v>#REF!</v>
      </c>
      <c r="H1488" t="s">
        <v>8318</v>
      </c>
      <c r="J1488" t="s">
        <v>8319</v>
      </c>
      <c r="K1488" t="s">
        <v>251</v>
      </c>
      <c r="L1488" t="str">
        <f>"08244-2387"</f>
        <v>08244-2387</v>
      </c>
      <c r="M1488" t="s">
        <v>8320</v>
      </c>
      <c r="N1488">
        <v>47444</v>
      </c>
      <c r="O1488" t="s">
        <v>8321</v>
      </c>
      <c r="P1488">
        <v>47444</v>
      </c>
      <c r="Q1488" t="s">
        <v>8321</v>
      </c>
      <c r="R1488" t="s">
        <v>254</v>
      </c>
      <c r="S1488" t="s">
        <v>255</v>
      </c>
      <c r="T1488" t="s">
        <v>44</v>
      </c>
      <c r="U1488" t="s">
        <v>45</v>
      </c>
      <c r="AD1488" t="s">
        <v>94</v>
      </c>
      <c r="AE1488" t="s">
        <v>564</v>
      </c>
    </row>
    <row r="1489" spans="1:33" x14ac:dyDescent="0.3">
      <c r="A1489">
        <v>7543</v>
      </c>
      <c r="B1489" t="s">
        <v>8322</v>
      </c>
      <c r="C1489" t="str">
        <f>"1100005324961"</f>
        <v>1100005324961</v>
      </c>
      <c r="D1489" t="str">
        <f>"5XQQ3QB00"</f>
        <v>5XQQ3QB00</v>
      </c>
      <c r="E1489" s="1">
        <v>33421</v>
      </c>
      <c r="F1489" t="s">
        <v>8323</v>
      </c>
      <c r="G1489" t="e">
        <f>INDEX(#REF!,MATCH(P1489,#REF!,0),1)</f>
        <v>#REF!</v>
      </c>
      <c r="H1489" t="s">
        <v>8324</v>
      </c>
      <c r="J1489" t="s">
        <v>762</v>
      </c>
      <c r="K1489" t="s">
        <v>763</v>
      </c>
      <c r="L1489" t="s">
        <v>8325</v>
      </c>
      <c r="M1489" t="s">
        <v>8326</v>
      </c>
      <c r="N1489">
        <v>191</v>
      </c>
      <c r="O1489" t="s">
        <v>760</v>
      </c>
      <c r="P1489">
        <v>191</v>
      </c>
      <c r="Q1489" t="s">
        <v>760</v>
      </c>
      <c r="R1489" t="s">
        <v>142</v>
      </c>
      <c r="S1489" t="s">
        <v>143</v>
      </c>
      <c r="T1489" t="s">
        <v>44</v>
      </c>
      <c r="U1489" t="s">
        <v>81</v>
      </c>
      <c r="AA1489" t="s">
        <v>119</v>
      </c>
      <c r="AE1489" t="s">
        <v>766</v>
      </c>
    </row>
    <row r="1490" spans="1:33" x14ac:dyDescent="0.3">
      <c r="A1490">
        <v>7547</v>
      </c>
      <c r="B1490" t="s">
        <v>8327</v>
      </c>
      <c r="C1490" t="str">
        <f>"1100004011558"</f>
        <v>1100004011558</v>
      </c>
      <c r="D1490" t="str">
        <f>"730520H00"</f>
        <v>730520H00</v>
      </c>
      <c r="E1490" s="1">
        <v>33421</v>
      </c>
      <c r="F1490" t="s">
        <v>8328</v>
      </c>
      <c r="G1490" t="e">
        <f>INDEX(#REF!,MATCH(P1490,#REF!,0),1)</f>
        <v>#REF!</v>
      </c>
      <c r="H1490" t="s">
        <v>8329</v>
      </c>
      <c r="J1490" t="s">
        <v>8330</v>
      </c>
      <c r="K1490" t="s">
        <v>763</v>
      </c>
      <c r="L1490" t="s">
        <v>8331</v>
      </c>
      <c r="M1490" t="s">
        <v>8332</v>
      </c>
      <c r="N1490">
        <v>191</v>
      </c>
      <c r="O1490" t="s">
        <v>760</v>
      </c>
      <c r="P1490">
        <v>191</v>
      </c>
      <c r="Q1490" t="s">
        <v>760</v>
      </c>
      <c r="R1490" t="s">
        <v>142</v>
      </c>
      <c r="S1490" t="s">
        <v>143</v>
      </c>
      <c r="T1490" t="s">
        <v>44</v>
      </c>
      <c r="U1490" t="s">
        <v>45</v>
      </c>
      <c r="AA1490" t="s">
        <v>119</v>
      </c>
      <c r="AE1490" t="s">
        <v>766</v>
      </c>
    </row>
    <row r="1491" spans="1:33" x14ac:dyDescent="0.3">
      <c r="A1491">
        <v>7548</v>
      </c>
      <c r="B1491" t="s">
        <v>8333</v>
      </c>
      <c r="C1491" t="str">
        <f>"1100002812287"</f>
        <v>1100002812287</v>
      </c>
      <c r="D1491" t="str">
        <f>"731170J00"</f>
        <v>731170J00</v>
      </c>
      <c r="E1491" s="1">
        <v>42583</v>
      </c>
      <c r="F1491" t="s">
        <v>8334</v>
      </c>
      <c r="G1491" t="e">
        <f>INDEX(#REF!,MATCH(P1491,#REF!,0),1)</f>
        <v>#REF!</v>
      </c>
      <c r="H1491" t="s">
        <v>8335</v>
      </c>
      <c r="J1491" t="s">
        <v>8336</v>
      </c>
      <c r="K1491" t="s">
        <v>763</v>
      </c>
      <c r="L1491" t="s">
        <v>8337</v>
      </c>
      <c r="M1491" t="s">
        <v>8338</v>
      </c>
      <c r="N1491">
        <v>963605</v>
      </c>
      <c r="O1491" t="s">
        <v>3567</v>
      </c>
      <c r="P1491">
        <v>963605</v>
      </c>
      <c r="Q1491" t="s">
        <v>3567</v>
      </c>
      <c r="R1491" t="s">
        <v>245</v>
      </c>
      <c r="S1491" t="s">
        <v>246</v>
      </c>
      <c r="T1491" t="s">
        <v>44</v>
      </c>
      <c r="U1491" t="s">
        <v>45</v>
      </c>
    </row>
    <row r="1492" spans="1:33" x14ac:dyDescent="0.3">
      <c r="A1492">
        <v>7553</v>
      </c>
      <c r="B1492" t="s">
        <v>8339</v>
      </c>
      <c r="C1492" t="str">
        <f>"1100008260037"</f>
        <v>1100008260037</v>
      </c>
      <c r="D1492" t="str">
        <f>"230570H00"</f>
        <v>230570H00</v>
      </c>
      <c r="E1492" s="1">
        <v>42583</v>
      </c>
      <c r="F1492" t="s">
        <v>8340</v>
      </c>
      <c r="G1492" t="e">
        <f>INDEX(#REF!,MATCH(P1492,#REF!,0),1)</f>
        <v>#REF!</v>
      </c>
      <c r="H1492" t="s">
        <v>8341</v>
      </c>
      <c r="J1492" t="s">
        <v>8342</v>
      </c>
      <c r="K1492" t="s">
        <v>65</v>
      </c>
      <c r="L1492">
        <v>16407</v>
      </c>
      <c r="M1492" t="s">
        <v>8343</v>
      </c>
      <c r="N1492">
        <v>7553</v>
      </c>
      <c r="O1492" t="s">
        <v>8340</v>
      </c>
      <c r="P1492">
        <v>7553</v>
      </c>
      <c r="Q1492" t="s">
        <v>8340</v>
      </c>
      <c r="R1492" t="s">
        <v>940</v>
      </c>
      <c r="S1492" t="s">
        <v>941</v>
      </c>
      <c r="T1492" t="s">
        <v>44</v>
      </c>
      <c r="U1492" t="s">
        <v>45</v>
      </c>
    </row>
    <row r="1493" spans="1:33" x14ac:dyDescent="0.3">
      <c r="A1493">
        <v>7555</v>
      </c>
      <c r="B1493" t="s">
        <v>8344</v>
      </c>
      <c r="C1493" t="str">
        <f>"1100002902285"</f>
        <v>1100002902285</v>
      </c>
      <c r="D1493" t="str">
        <f>"230240B00"</f>
        <v>230240B00</v>
      </c>
      <c r="E1493" s="1">
        <v>42583</v>
      </c>
      <c r="F1493" t="s">
        <v>8345</v>
      </c>
      <c r="G1493" t="e">
        <f>INDEX(#REF!,MATCH(P1493,#REF!,0),1)</f>
        <v>#REF!</v>
      </c>
      <c r="H1493" t="s">
        <v>8346</v>
      </c>
      <c r="J1493" t="s">
        <v>8347</v>
      </c>
      <c r="K1493" t="s">
        <v>65</v>
      </c>
      <c r="L1493" t="s">
        <v>8348</v>
      </c>
      <c r="M1493" t="s">
        <v>8349</v>
      </c>
      <c r="N1493">
        <v>2472612</v>
      </c>
      <c r="O1493" t="s">
        <v>2340</v>
      </c>
      <c r="P1493">
        <v>31304</v>
      </c>
      <c r="Q1493" t="s">
        <v>2522</v>
      </c>
      <c r="R1493" t="s">
        <v>2523</v>
      </c>
      <c r="S1493" t="s">
        <v>2524</v>
      </c>
      <c r="T1493" t="s">
        <v>44</v>
      </c>
      <c r="U1493" t="s">
        <v>45</v>
      </c>
      <c r="Y1493" t="s">
        <v>46</v>
      </c>
      <c r="Z1493" s="1">
        <v>44621</v>
      </c>
      <c r="AE1493" t="s">
        <v>47</v>
      </c>
    </row>
    <row r="1494" spans="1:33" x14ac:dyDescent="0.3">
      <c r="A1494">
        <v>7556</v>
      </c>
      <c r="B1494" t="s">
        <v>8350</v>
      </c>
      <c r="C1494" t="str">
        <f>""</f>
        <v/>
      </c>
      <c r="D1494" t="str">
        <f>"FHO2NGP00"</f>
        <v>FHO2NGP00</v>
      </c>
      <c r="E1494" s="1">
        <v>42583</v>
      </c>
      <c r="F1494" t="s">
        <v>8351</v>
      </c>
      <c r="G1494" t="e">
        <f>INDEX(#REF!,MATCH(P1494,#REF!,0),1)</f>
        <v>#REF!</v>
      </c>
      <c r="H1494" t="s">
        <v>8352</v>
      </c>
      <c r="J1494" t="s">
        <v>1828</v>
      </c>
      <c r="K1494" t="s">
        <v>251</v>
      </c>
      <c r="L1494" t="str">
        <f>"08754"</f>
        <v>08754</v>
      </c>
      <c r="M1494" t="s">
        <v>8353</v>
      </c>
      <c r="N1494">
        <v>3209841</v>
      </c>
      <c r="O1494" t="s">
        <v>410</v>
      </c>
      <c r="P1494">
        <v>3209841</v>
      </c>
      <c r="Q1494" t="s">
        <v>410</v>
      </c>
      <c r="R1494" t="s">
        <v>4102</v>
      </c>
      <c r="S1494" t="s">
        <v>4103</v>
      </c>
      <c r="T1494" t="s">
        <v>2277</v>
      </c>
      <c r="U1494" t="s">
        <v>2278</v>
      </c>
      <c r="V1494" t="s">
        <v>1824</v>
      </c>
      <c r="Y1494" t="s">
        <v>46</v>
      </c>
      <c r="Z1494" s="1">
        <v>45170</v>
      </c>
      <c r="AE1494" t="s">
        <v>47</v>
      </c>
      <c r="AG1494" t="s">
        <v>48</v>
      </c>
    </row>
    <row r="1495" spans="1:33" x14ac:dyDescent="0.3">
      <c r="A1495">
        <v>7557</v>
      </c>
      <c r="B1495" t="s">
        <v>8354</v>
      </c>
      <c r="C1495" t="str">
        <f>""</f>
        <v/>
      </c>
      <c r="D1495" t="str">
        <f>"541130E00"</f>
        <v>541130E00</v>
      </c>
      <c r="E1495" s="1">
        <v>33421</v>
      </c>
      <c r="F1495" t="s">
        <v>8355</v>
      </c>
      <c r="G1495" t="e">
        <f>INDEX(#REF!,MATCH(P1495,#REF!,0),1)</f>
        <v>#REF!</v>
      </c>
      <c r="H1495" t="s">
        <v>8356</v>
      </c>
      <c r="J1495" t="s">
        <v>8357</v>
      </c>
      <c r="K1495" t="s">
        <v>149</v>
      </c>
      <c r="L1495" t="s">
        <v>8358</v>
      </c>
      <c r="M1495" t="s">
        <v>8359</v>
      </c>
      <c r="N1495">
        <v>7557</v>
      </c>
      <c r="O1495" t="s">
        <v>8355</v>
      </c>
      <c r="P1495">
        <v>7557</v>
      </c>
      <c r="Q1495" t="s">
        <v>8355</v>
      </c>
      <c r="R1495" t="s">
        <v>1078</v>
      </c>
      <c r="S1495" t="s">
        <v>1079</v>
      </c>
      <c r="T1495" t="s">
        <v>44</v>
      </c>
      <c r="U1495" t="s">
        <v>45</v>
      </c>
      <c r="AA1495" t="s">
        <v>93</v>
      </c>
      <c r="AE1495" t="s">
        <v>220</v>
      </c>
    </row>
    <row r="1496" spans="1:33" x14ac:dyDescent="0.3">
      <c r="A1496">
        <v>7572</v>
      </c>
      <c r="B1496" t="s">
        <v>8360</v>
      </c>
      <c r="C1496" t="str">
        <f>"1100005568594"</f>
        <v>1100005568594</v>
      </c>
      <c r="D1496" t="str">
        <f>"340070E00"</f>
        <v>340070E00</v>
      </c>
      <c r="E1496" s="1">
        <v>42583</v>
      </c>
      <c r="F1496" t="s">
        <v>8361</v>
      </c>
      <c r="G1496" t="e">
        <f>INDEX(#REF!,MATCH(P1496,#REF!,0),1)</f>
        <v>#REF!</v>
      </c>
      <c r="H1496" t="s">
        <v>8362</v>
      </c>
      <c r="J1496" t="s">
        <v>1114</v>
      </c>
      <c r="K1496" t="s">
        <v>77</v>
      </c>
      <c r="L1496" t="s">
        <v>8363</v>
      </c>
      <c r="M1496" t="s">
        <v>8364</v>
      </c>
      <c r="N1496">
        <v>7572</v>
      </c>
      <c r="O1496" t="s">
        <v>8361</v>
      </c>
      <c r="P1496">
        <v>7572</v>
      </c>
      <c r="Q1496" t="s">
        <v>8361</v>
      </c>
      <c r="R1496" t="s">
        <v>588</v>
      </c>
      <c r="S1496" t="s">
        <v>589</v>
      </c>
      <c r="T1496" t="s">
        <v>44</v>
      </c>
      <c r="U1496" t="s">
        <v>45</v>
      </c>
      <c r="AE1496" t="s">
        <v>591</v>
      </c>
    </row>
    <row r="1497" spans="1:33" x14ac:dyDescent="0.3">
      <c r="A1497">
        <v>7585</v>
      </c>
      <c r="B1497" t="s">
        <v>8365</v>
      </c>
      <c r="C1497" t="str">
        <f>"1100006859424"</f>
        <v>1100006859424</v>
      </c>
      <c r="D1497" t="str">
        <f>"LLL7VKD00"</f>
        <v>LLL7VKD00</v>
      </c>
      <c r="E1497" s="1">
        <v>28417</v>
      </c>
      <c r="F1497" t="s">
        <v>433</v>
      </c>
      <c r="G1497" t="e">
        <f>INDEX(#REF!,MATCH(P1497,#REF!,0),1)</f>
        <v>#REF!</v>
      </c>
      <c r="H1497" t="s">
        <v>8366</v>
      </c>
      <c r="J1497" t="s">
        <v>430</v>
      </c>
      <c r="K1497" t="s">
        <v>139</v>
      </c>
      <c r="L1497" t="s">
        <v>8367</v>
      </c>
      <c r="M1497" t="s">
        <v>8368</v>
      </c>
      <c r="N1497">
        <v>7585</v>
      </c>
      <c r="O1497" t="s">
        <v>433</v>
      </c>
      <c r="P1497">
        <v>7585</v>
      </c>
      <c r="Q1497" t="s">
        <v>433</v>
      </c>
      <c r="R1497" t="s">
        <v>434</v>
      </c>
      <c r="S1497" t="s">
        <v>435</v>
      </c>
      <c r="T1497" t="s">
        <v>44</v>
      </c>
      <c r="U1497" t="s">
        <v>81</v>
      </c>
      <c r="AA1497" t="s">
        <v>119</v>
      </c>
      <c r="AE1497" t="s">
        <v>120</v>
      </c>
    </row>
    <row r="1498" spans="1:33" x14ac:dyDescent="0.3">
      <c r="A1498">
        <v>7593</v>
      </c>
      <c r="B1498" t="s">
        <v>8369</v>
      </c>
      <c r="C1498" t="str">
        <f>"1100007152173"</f>
        <v>1100007152173</v>
      </c>
      <c r="D1498" t="str">
        <f>"611680M00"</f>
        <v>611680M00</v>
      </c>
      <c r="E1498" s="1">
        <v>33451</v>
      </c>
      <c r="F1498" t="s">
        <v>8370</v>
      </c>
      <c r="G1498" t="e">
        <f>INDEX(#REF!,MATCH(P1498,#REF!,0),1)</f>
        <v>#REF!</v>
      </c>
      <c r="H1498" t="s">
        <v>8371</v>
      </c>
      <c r="J1498" t="s">
        <v>3404</v>
      </c>
      <c r="K1498" t="s">
        <v>283</v>
      </c>
      <c r="L1498" t="s">
        <v>8372</v>
      </c>
      <c r="M1498" t="s">
        <v>8373</v>
      </c>
      <c r="N1498">
        <v>871561</v>
      </c>
      <c r="O1498" t="s">
        <v>194</v>
      </c>
      <c r="P1498">
        <v>102627</v>
      </c>
      <c r="Q1498" t="s">
        <v>3048</v>
      </c>
      <c r="R1498" t="s">
        <v>196</v>
      </c>
      <c r="S1498" t="s">
        <v>197</v>
      </c>
      <c r="T1498" t="s">
        <v>44</v>
      </c>
      <c r="U1498" t="s">
        <v>45</v>
      </c>
      <c r="AA1498" t="s">
        <v>119</v>
      </c>
      <c r="AE1498" t="s">
        <v>120</v>
      </c>
      <c r="AG1498" t="s">
        <v>48</v>
      </c>
    </row>
    <row r="1499" spans="1:33" x14ac:dyDescent="0.3">
      <c r="A1499">
        <v>7629</v>
      </c>
      <c r="B1499" t="s">
        <v>8374</v>
      </c>
      <c r="C1499" t="str">
        <f>"1100003130755"</f>
        <v>1100003130755</v>
      </c>
      <c r="D1499" t="str">
        <f>"341570K00"</f>
        <v>341570K00</v>
      </c>
      <c r="E1499" s="1">
        <v>33504</v>
      </c>
      <c r="F1499" t="s">
        <v>8375</v>
      </c>
      <c r="G1499" t="e">
        <f>INDEX(#REF!,MATCH(P1499,#REF!,0),1)</f>
        <v>#REF!</v>
      </c>
      <c r="H1499" t="s">
        <v>8376</v>
      </c>
      <c r="J1499" t="s">
        <v>76</v>
      </c>
      <c r="K1499" t="s">
        <v>77</v>
      </c>
      <c r="L1499">
        <v>23455</v>
      </c>
      <c r="M1499" t="s">
        <v>8377</v>
      </c>
      <c r="N1499">
        <v>9</v>
      </c>
      <c r="O1499" t="s">
        <v>74</v>
      </c>
      <c r="P1499">
        <v>53244</v>
      </c>
      <c r="Q1499" t="s">
        <v>8378</v>
      </c>
      <c r="R1499" t="s">
        <v>79</v>
      </c>
      <c r="S1499" t="s">
        <v>80</v>
      </c>
      <c r="T1499" t="s">
        <v>44</v>
      </c>
      <c r="U1499" t="s">
        <v>7937</v>
      </c>
      <c r="AA1499" t="s">
        <v>82</v>
      </c>
      <c r="AE1499" t="s">
        <v>83</v>
      </c>
      <c r="AG1499" t="s">
        <v>48</v>
      </c>
    </row>
    <row r="1500" spans="1:33" x14ac:dyDescent="0.3">
      <c r="A1500">
        <v>7630</v>
      </c>
      <c r="B1500" t="s">
        <v>8379</v>
      </c>
      <c r="C1500" t="str">
        <f>""</f>
        <v/>
      </c>
      <c r="D1500" t="str">
        <f>"361030D00"</f>
        <v>361030D00</v>
      </c>
      <c r="E1500" s="1">
        <v>43234</v>
      </c>
      <c r="F1500" t="s">
        <v>8380</v>
      </c>
      <c r="G1500" t="e">
        <f>INDEX(#REF!,MATCH(P1500,#REF!,0),1)</f>
        <v>#REF!</v>
      </c>
      <c r="H1500" t="s">
        <v>8381</v>
      </c>
      <c r="J1500" t="s">
        <v>8382</v>
      </c>
      <c r="K1500" t="s">
        <v>384</v>
      </c>
      <c r="L1500">
        <v>27028</v>
      </c>
      <c r="M1500" t="s">
        <v>8383</v>
      </c>
      <c r="N1500">
        <v>55403</v>
      </c>
      <c r="O1500" t="s">
        <v>6835</v>
      </c>
      <c r="P1500">
        <v>55403</v>
      </c>
      <c r="Q1500" t="s">
        <v>6835</v>
      </c>
      <c r="R1500" t="s">
        <v>6836</v>
      </c>
      <c r="S1500" t="s">
        <v>6837</v>
      </c>
      <c r="T1500" t="s">
        <v>44</v>
      </c>
      <c r="U1500" t="s">
        <v>45</v>
      </c>
      <c r="AC1500" t="s">
        <v>590</v>
      </c>
      <c r="AG1500" t="s">
        <v>48</v>
      </c>
    </row>
    <row r="1501" spans="1:33" x14ac:dyDescent="0.3">
      <c r="A1501">
        <v>7667</v>
      </c>
      <c r="B1501" t="s">
        <v>8384</v>
      </c>
      <c r="C1501" t="str">
        <f>"1100003660245"</f>
        <v>1100003660245</v>
      </c>
      <c r="D1501" t="str">
        <f>"840990U00"</f>
        <v>840990U00</v>
      </c>
      <c r="E1501" s="1">
        <v>42583</v>
      </c>
      <c r="F1501" t="s">
        <v>8385</v>
      </c>
      <c r="G1501" t="e">
        <f>INDEX(#REF!,MATCH(P1501,#REF!,0),1)</f>
        <v>#REF!</v>
      </c>
      <c r="H1501" t="s">
        <v>8386</v>
      </c>
      <c r="J1501" t="s">
        <v>8387</v>
      </c>
      <c r="K1501" t="s">
        <v>225</v>
      </c>
      <c r="L1501" t="s">
        <v>8388</v>
      </c>
      <c r="M1501" t="s">
        <v>8389</v>
      </c>
      <c r="N1501">
        <v>2627561</v>
      </c>
      <c r="O1501" t="s">
        <v>8390</v>
      </c>
      <c r="P1501">
        <v>2627561</v>
      </c>
      <c r="Q1501" t="s">
        <v>8390</v>
      </c>
      <c r="R1501" t="s">
        <v>325</v>
      </c>
      <c r="S1501" t="s">
        <v>326</v>
      </c>
      <c r="T1501" t="s">
        <v>44</v>
      </c>
      <c r="U1501" t="s">
        <v>45</v>
      </c>
      <c r="AA1501" t="s">
        <v>328</v>
      </c>
      <c r="AE1501" t="s">
        <v>144</v>
      </c>
    </row>
    <row r="1502" spans="1:33" x14ac:dyDescent="0.3">
      <c r="A1502">
        <v>7717</v>
      </c>
      <c r="B1502" t="s">
        <v>8391</v>
      </c>
      <c r="C1502" t="str">
        <f>"1100005349520"</f>
        <v>1100005349520</v>
      </c>
      <c r="D1502" t="str">
        <f>"670300G00"</f>
        <v>670300G00</v>
      </c>
      <c r="E1502" s="1">
        <v>33540</v>
      </c>
      <c r="F1502" t="s">
        <v>8392</v>
      </c>
      <c r="G1502" t="e">
        <f>INDEX(#REF!,MATCH(P1502,#REF!,0),1)</f>
        <v>#REF!</v>
      </c>
      <c r="H1502" t="s">
        <v>8393</v>
      </c>
      <c r="J1502" t="s">
        <v>8394</v>
      </c>
      <c r="K1502" t="s">
        <v>835</v>
      </c>
      <c r="L1502" t="s">
        <v>8395</v>
      </c>
      <c r="M1502" t="s">
        <v>8396</v>
      </c>
      <c r="N1502">
        <v>2599</v>
      </c>
      <c r="O1502" t="s">
        <v>1870</v>
      </c>
      <c r="P1502">
        <v>2599</v>
      </c>
      <c r="Q1502" t="s">
        <v>1870</v>
      </c>
      <c r="R1502" t="s">
        <v>1895</v>
      </c>
      <c r="S1502" t="s">
        <v>1896</v>
      </c>
      <c r="T1502" t="s">
        <v>44</v>
      </c>
      <c r="U1502" t="s">
        <v>45</v>
      </c>
      <c r="AA1502" t="s">
        <v>327</v>
      </c>
      <c r="AD1502" t="s">
        <v>94</v>
      </c>
      <c r="AE1502" t="s">
        <v>1522</v>
      </c>
    </row>
    <row r="1503" spans="1:33" x14ac:dyDescent="0.3">
      <c r="A1503">
        <v>7718</v>
      </c>
      <c r="B1503" t="s">
        <v>8397</v>
      </c>
      <c r="C1503" t="str">
        <f>"1100003389634"</f>
        <v>1100003389634</v>
      </c>
      <c r="D1503" t="str">
        <f>"650610I00"</f>
        <v>650610I00</v>
      </c>
      <c r="E1503" s="1">
        <v>33540</v>
      </c>
      <c r="F1503" t="s">
        <v>8398</v>
      </c>
      <c r="G1503" t="e">
        <f>INDEX(#REF!,MATCH(P1503,#REF!,0),1)</f>
        <v>#REF!</v>
      </c>
      <c r="H1503" t="s">
        <v>8399</v>
      </c>
      <c r="J1503" t="s">
        <v>8400</v>
      </c>
      <c r="K1503" t="s">
        <v>899</v>
      </c>
      <c r="L1503" t="s">
        <v>8401</v>
      </c>
      <c r="M1503" t="s">
        <v>8402</v>
      </c>
      <c r="N1503">
        <v>871561</v>
      </c>
      <c r="O1503" t="s">
        <v>194</v>
      </c>
      <c r="P1503">
        <v>6179343</v>
      </c>
      <c r="Q1503" t="s">
        <v>1137</v>
      </c>
      <c r="R1503" t="s">
        <v>196</v>
      </c>
      <c r="S1503" t="s">
        <v>197</v>
      </c>
      <c r="T1503" t="s">
        <v>44</v>
      </c>
      <c r="U1503" t="s">
        <v>45</v>
      </c>
      <c r="AA1503" t="s">
        <v>119</v>
      </c>
      <c r="AE1503" t="s">
        <v>120</v>
      </c>
      <c r="AG1503" t="s">
        <v>48</v>
      </c>
    </row>
    <row r="1504" spans="1:33" x14ac:dyDescent="0.3">
      <c r="A1504">
        <v>7720</v>
      </c>
      <c r="B1504" t="s">
        <v>8403</v>
      </c>
      <c r="C1504" t="str">
        <f>""</f>
        <v/>
      </c>
      <c r="D1504" t="str">
        <f>"710100900"</f>
        <v>710100900</v>
      </c>
      <c r="E1504" s="1">
        <v>33540</v>
      </c>
      <c r="F1504" t="s">
        <v>8404</v>
      </c>
      <c r="G1504" t="e">
        <f>INDEX(#REF!,MATCH(P1504,#REF!,0),1)</f>
        <v>#REF!</v>
      </c>
      <c r="H1504" t="s">
        <v>8405</v>
      </c>
      <c r="J1504" t="s">
        <v>148</v>
      </c>
      <c r="K1504" t="s">
        <v>111</v>
      </c>
      <c r="L1504" t="s">
        <v>8406</v>
      </c>
      <c r="M1504" t="s">
        <v>8407</v>
      </c>
      <c r="N1504">
        <v>7720</v>
      </c>
      <c r="O1504" t="s">
        <v>8404</v>
      </c>
      <c r="P1504">
        <v>7720</v>
      </c>
      <c r="Q1504" t="s">
        <v>8404</v>
      </c>
      <c r="R1504" t="s">
        <v>1078</v>
      </c>
      <c r="S1504" t="s">
        <v>1079</v>
      </c>
      <c r="T1504" t="s">
        <v>44</v>
      </c>
      <c r="U1504" t="s">
        <v>45</v>
      </c>
    </row>
    <row r="1505" spans="1:33" x14ac:dyDescent="0.3">
      <c r="A1505">
        <v>7721</v>
      </c>
      <c r="B1505" t="s">
        <v>8408</v>
      </c>
      <c r="C1505" t="str">
        <f>"1100005142329"</f>
        <v>1100005142329</v>
      </c>
      <c r="D1505" t="str">
        <f>"745760T00"</f>
        <v>745760T00</v>
      </c>
      <c r="E1505" s="1">
        <v>33540</v>
      </c>
      <c r="F1505" t="s">
        <v>8409</v>
      </c>
      <c r="G1505" t="e">
        <f>INDEX(#REF!,MATCH(P1505,#REF!,0),1)</f>
        <v>#REF!</v>
      </c>
      <c r="H1505" t="s">
        <v>8410</v>
      </c>
      <c r="J1505" t="s">
        <v>8411</v>
      </c>
      <c r="K1505" t="s">
        <v>676</v>
      </c>
      <c r="L1505" t="s">
        <v>8412</v>
      </c>
      <c r="M1505" t="s">
        <v>8413</v>
      </c>
      <c r="N1505">
        <v>170</v>
      </c>
      <c r="O1505" t="s">
        <v>673</v>
      </c>
      <c r="P1505">
        <v>170</v>
      </c>
      <c r="Q1505" t="s">
        <v>673</v>
      </c>
      <c r="R1505" t="s">
        <v>679</v>
      </c>
      <c r="S1505" t="s">
        <v>680</v>
      </c>
      <c r="T1505" t="s">
        <v>44</v>
      </c>
      <c r="U1505" t="s">
        <v>45</v>
      </c>
      <c r="AA1505" t="s">
        <v>105</v>
      </c>
      <c r="AE1505" t="s">
        <v>106</v>
      </c>
      <c r="AG1505" t="s">
        <v>48</v>
      </c>
    </row>
    <row r="1506" spans="1:33" x14ac:dyDescent="0.3">
      <c r="A1506">
        <v>7740</v>
      </c>
      <c r="B1506" t="s">
        <v>8414</v>
      </c>
      <c r="C1506" t="str">
        <f>"1100004453587"</f>
        <v>1100004453587</v>
      </c>
      <c r="D1506" t="str">
        <f>"441670M00"</f>
        <v>441670M00</v>
      </c>
      <c r="E1506" s="1">
        <v>33575</v>
      </c>
      <c r="F1506" t="s">
        <v>8415</v>
      </c>
      <c r="G1506" t="e">
        <f>INDEX(#REF!,MATCH(P1506,#REF!,0),1)</f>
        <v>#REF!</v>
      </c>
      <c r="H1506" t="s">
        <v>8416</v>
      </c>
      <c r="J1506" t="s">
        <v>8417</v>
      </c>
      <c r="K1506" t="s">
        <v>261</v>
      </c>
      <c r="L1506" t="s">
        <v>8418</v>
      </c>
      <c r="M1506" t="s">
        <v>8419</v>
      </c>
      <c r="N1506">
        <v>4168349</v>
      </c>
      <c r="O1506" t="s">
        <v>264</v>
      </c>
      <c r="P1506">
        <v>7852</v>
      </c>
      <c r="Q1506" t="s">
        <v>687</v>
      </c>
      <c r="R1506" t="s">
        <v>266</v>
      </c>
      <c r="S1506" t="s">
        <v>267</v>
      </c>
      <c r="T1506" t="s">
        <v>44</v>
      </c>
      <c r="U1506" t="s">
        <v>45</v>
      </c>
      <c r="Y1506" t="s">
        <v>46</v>
      </c>
      <c r="Z1506" s="1">
        <v>44835</v>
      </c>
      <c r="AC1506" t="s">
        <v>268</v>
      </c>
      <c r="AE1506" t="s">
        <v>269</v>
      </c>
      <c r="AG1506" t="s">
        <v>48</v>
      </c>
    </row>
    <row r="1507" spans="1:33" x14ac:dyDescent="0.3">
      <c r="A1507">
        <v>7742</v>
      </c>
      <c r="B1507" t="s">
        <v>8420</v>
      </c>
      <c r="C1507" t="str">
        <f>""</f>
        <v/>
      </c>
      <c r="D1507" t="str">
        <f>"934870V00"</f>
        <v>934870V00</v>
      </c>
      <c r="E1507" s="1">
        <v>33575</v>
      </c>
      <c r="F1507" t="s">
        <v>8421</v>
      </c>
      <c r="G1507" t="e">
        <f>INDEX(#REF!,MATCH(P1507,#REF!,0),1)</f>
        <v>#REF!</v>
      </c>
      <c r="H1507" t="s">
        <v>8422</v>
      </c>
      <c r="J1507" t="s">
        <v>2075</v>
      </c>
      <c r="K1507" t="s">
        <v>88</v>
      </c>
      <c r="L1507">
        <v>94133</v>
      </c>
      <c r="M1507" t="s">
        <v>8423</v>
      </c>
      <c r="N1507">
        <v>7742</v>
      </c>
      <c r="O1507" t="s">
        <v>8421</v>
      </c>
      <c r="P1507">
        <v>7742</v>
      </c>
      <c r="Q1507" t="s">
        <v>8421</v>
      </c>
      <c r="R1507" t="s">
        <v>4661</v>
      </c>
      <c r="S1507" t="s">
        <v>4662</v>
      </c>
      <c r="T1507" t="s">
        <v>44</v>
      </c>
      <c r="U1507" t="s">
        <v>45</v>
      </c>
      <c r="AC1507" t="s">
        <v>90</v>
      </c>
    </row>
    <row r="1508" spans="1:33" x14ac:dyDescent="0.3">
      <c r="A1508">
        <v>7743</v>
      </c>
      <c r="B1508" t="s">
        <v>8424</v>
      </c>
      <c r="C1508" t="str">
        <f>""</f>
        <v/>
      </c>
      <c r="D1508" t="str">
        <f>"431880O00"</f>
        <v>431880O00</v>
      </c>
      <c r="E1508" s="1">
        <v>33575</v>
      </c>
      <c r="F1508" t="s">
        <v>8425</v>
      </c>
      <c r="G1508" t="e">
        <f>INDEX(#REF!,MATCH(P1508,#REF!,0),1)</f>
        <v>#REF!</v>
      </c>
      <c r="H1508" t="s">
        <v>8426</v>
      </c>
      <c r="J1508" t="s">
        <v>8427</v>
      </c>
      <c r="K1508" t="s">
        <v>342</v>
      </c>
      <c r="L1508" t="s">
        <v>8428</v>
      </c>
      <c r="M1508" t="s">
        <v>8429</v>
      </c>
      <c r="N1508">
        <v>84415</v>
      </c>
      <c r="O1508" t="s">
        <v>8430</v>
      </c>
      <c r="P1508">
        <v>84415</v>
      </c>
      <c r="Q1508" t="s">
        <v>8430</v>
      </c>
      <c r="R1508" t="s">
        <v>346</v>
      </c>
      <c r="S1508" t="s">
        <v>347</v>
      </c>
      <c r="T1508" t="s">
        <v>44</v>
      </c>
      <c r="U1508" t="s">
        <v>45</v>
      </c>
      <c r="AA1508" t="s">
        <v>327</v>
      </c>
      <c r="AD1508" t="s">
        <v>94</v>
      </c>
      <c r="AE1508" t="s">
        <v>1522</v>
      </c>
    </row>
    <row r="1509" spans="1:33" x14ac:dyDescent="0.3">
      <c r="A1509">
        <v>7763</v>
      </c>
      <c r="B1509" t="s">
        <v>8431</v>
      </c>
      <c r="C1509" t="str">
        <f>"1100003053931"</f>
        <v>1100003053931</v>
      </c>
      <c r="D1509" t="str">
        <f>"820110CF1"</f>
        <v>820110CF1</v>
      </c>
      <c r="E1509" s="1">
        <v>33605</v>
      </c>
      <c r="F1509" t="s">
        <v>8432</v>
      </c>
      <c r="G1509" t="e">
        <f>INDEX(#REF!,MATCH(P1509,#REF!,0),1)</f>
        <v>#REF!</v>
      </c>
      <c r="H1509" t="s">
        <v>8433</v>
      </c>
      <c r="J1509" t="s">
        <v>8434</v>
      </c>
      <c r="K1509" t="s">
        <v>533</v>
      </c>
      <c r="L1509">
        <v>83805</v>
      </c>
      <c r="M1509" t="s">
        <v>8435</v>
      </c>
      <c r="N1509">
        <v>139</v>
      </c>
      <c r="O1509" t="s">
        <v>530</v>
      </c>
      <c r="P1509">
        <v>139</v>
      </c>
      <c r="Q1509" t="s">
        <v>530</v>
      </c>
      <c r="R1509" t="s">
        <v>245</v>
      </c>
      <c r="S1509" t="s">
        <v>246</v>
      </c>
      <c r="T1509" t="s">
        <v>44</v>
      </c>
      <c r="U1509" t="s">
        <v>45</v>
      </c>
      <c r="AC1509" t="s">
        <v>1265</v>
      </c>
      <c r="AD1509" t="s">
        <v>94</v>
      </c>
      <c r="AE1509" t="s">
        <v>539</v>
      </c>
    </row>
    <row r="1510" spans="1:33" x14ac:dyDescent="0.3">
      <c r="A1510">
        <v>7764</v>
      </c>
      <c r="B1510" t="s">
        <v>8436</v>
      </c>
      <c r="C1510" t="str">
        <f>"1100002053871"</f>
        <v>1100002053871</v>
      </c>
      <c r="D1510" t="str">
        <f>"820300D00"</f>
        <v>820300D00</v>
      </c>
      <c r="E1510" s="1">
        <v>44409</v>
      </c>
      <c r="F1510" t="s">
        <v>8437</v>
      </c>
      <c r="G1510" t="e">
        <f>INDEX(#REF!,MATCH(P1510,#REF!,0),1)</f>
        <v>#REF!</v>
      </c>
      <c r="H1510" t="s">
        <v>8438</v>
      </c>
      <c r="J1510" t="s">
        <v>8439</v>
      </c>
      <c r="K1510" t="s">
        <v>533</v>
      </c>
      <c r="L1510" t="s">
        <v>8440</v>
      </c>
      <c r="M1510" t="s">
        <v>8441</v>
      </c>
      <c r="N1510">
        <v>7764</v>
      </c>
      <c r="O1510" t="s">
        <v>8437</v>
      </c>
      <c r="P1510">
        <v>7764</v>
      </c>
      <c r="Q1510" t="s">
        <v>8437</v>
      </c>
      <c r="R1510" t="s">
        <v>4661</v>
      </c>
      <c r="S1510" t="s">
        <v>4662</v>
      </c>
      <c r="T1510" t="s">
        <v>44</v>
      </c>
      <c r="U1510" t="s">
        <v>45</v>
      </c>
      <c r="AA1510" t="s">
        <v>211</v>
      </c>
    </row>
    <row r="1511" spans="1:33" x14ac:dyDescent="0.3">
      <c r="A1511">
        <v>7852</v>
      </c>
      <c r="B1511" t="s">
        <v>8442</v>
      </c>
      <c r="C1511" t="str">
        <f>"1100002106089"</f>
        <v>1100002106089</v>
      </c>
      <c r="D1511" t="str">
        <f>"EAN5GB700"</f>
        <v>EAN5GB700</v>
      </c>
      <c r="E1511" s="1">
        <v>30868</v>
      </c>
      <c r="F1511" t="s">
        <v>687</v>
      </c>
      <c r="G1511" t="e">
        <f>INDEX(#REF!,MATCH(P1511,#REF!,0),1)</f>
        <v>#REF!</v>
      </c>
      <c r="H1511" t="s">
        <v>683</v>
      </c>
      <c r="J1511" t="s">
        <v>684</v>
      </c>
      <c r="K1511" t="s">
        <v>261</v>
      </c>
      <c r="L1511" t="s">
        <v>685</v>
      </c>
      <c r="M1511" t="s">
        <v>686</v>
      </c>
      <c r="N1511">
        <v>4168349</v>
      </c>
      <c r="O1511" t="s">
        <v>264</v>
      </c>
      <c r="P1511">
        <v>4168349</v>
      </c>
      <c r="Q1511" t="s">
        <v>264</v>
      </c>
      <c r="R1511" t="s">
        <v>266</v>
      </c>
      <c r="S1511" t="s">
        <v>267</v>
      </c>
      <c r="T1511" t="s">
        <v>44</v>
      </c>
      <c r="U1511" t="s">
        <v>81</v>
      </c>
      <c r="Y1511" t="s">
        <v>46</v>
      </c>
      <c r="Z1511" s="1">
        <v>44835</v>
      </c>
      <c r="AC1511" t="s">
        <v>268</v>
      </c>
      <c r="AE1511" t="s">
        <v>269</v>
      </c>
      <c r="AG1511" t="s">
        <v>48</v>
      </c>
    </row>
    <row r="1512" spans="1:33" x14ac:dyDescent="0.3">
      <c r="A1512">
        <v>7855</v>
      </c>
      <c r="B1512" t="s">
        <v>8443</v>
      </c>
      <c r="C1512" t="str">
        <f>""</f>
        <v/>
      </c>
      <c r="D1512" t="str">
        <f>"935820R00"</f>
        <v>935820R00</v>
      </c>
      <c r="E1512" s="1">
        <v>45642</v>
      </c>
      <c r="F1512" t="s">
        <v>8444</v>
      </c>
      <c r="G1512" t="e">
        <f>INDEX(#REF!,MATCH(P1512,#REF!,0),1)</f>
        <v>#REF!</v>
      </c>
      <c r="H1512" t="s">
        <v>8445</v>
      </c>
      <c r="J1512" t="s">
        <v>1381</v>
      </c>
      <c r="K1512" t="s">
        <v>88</v>
      </c>
      <c r="L1512" t="s">
        <v>8446</v>
      </c>
      <c r="M1512" t="s">
        <v>8447</v>
      </c>
      <c r="N1512">
        <v>3420970</v>
      </c>
      <c r="O1512" t="s">
        <v>1181</v>
      </c>
      <c r="P1512">
        <v>3420970</v>
      </c>
      <c r="Q1512" t="s">
        <v>1181</v>
      </c>
      <c r="R1512" t="s">
        <v>245</v>
      </c>
      <c r="S1512" t="s">
        <v>246</v>
      </c>
      <c r="T1512" t="s">
        <v>44</v>
      </c>
      <c r="U1512" t="s">
        <v>1823</v>
      </c>
    </row>
    <row r="1513" spans="1:33" x14ac:dyDescent="0.3">
      <c r="A1513">
        <v>7856</v>
      </c>
      <c r="B1513" t="s">
        <v>8448</v>
      </c>
      <c r="C1513" t="str">
        <f>"1100004200594"</f>
        <v>1100004200594</v>
      </c>
      <c r="D1513" t="str">
        <f>"EWJJCVJ00"</f>
        <v>EWJJCVJ00</v>
      </c>
      <c r="E1513" s="1">
        <v>33624</v>
      </c>
      <c r="F1513" t="s">
        <v>8449</v>
      </c>
      <c r="G1513" t="e">
        <f>INDEX(#REF!,MATCH(P1513,#REF!,0),1)</f>
        <v>#REF!</v>
      </c>
      <c r="H1513" t="s">
        <v>8450</v>
      </c>
      <c r="J1513" t="s">
        <v>8451</v>
      </c>
      <c r="K1513" t="s">
        <v>384</v>
      </c>
      <c r="L1513" t="s">
        <v>8452</v>
      </c>
      <c r="M1513" t="s">
        <v>2349</v>
      </c>
      <c r="N1513">
        <v>673</v>
      </c>
      <c r="O1513" t="s">
        <v>2350</v>
      </c>
      <c r="P1513">
        <v>673</v>
      </c>
      <c r="Q1513" t="s">
        <v>2350</v>
      </c>
      <c r="R1513" t="s">
        <v>2293</v>
      </c>
      <c r="S1513" t="s">
        <v>2294</v>
      </c>
      <c r="T1513" t="s">
        <v>44</v>
      </c>
      <c r="U1513" t="s">
        <v>45</v>
      </c>
      <c r="AC1513" t="s">
        <v>590</v>
      </c>
    </row>
    <row r="1514" spans="1:33" x14ac:dyDescent="0.3">
      <c r="A1514">
        <v>7858</v>
      </c>
      <c r="B1514" t="s">
        <v>8453</v>
      </c>
      <c r="C1514" t="str">
        <f>"1100004271914"</f>
        <v>1100004271914</v>
      </c>
      <c r="D1514" t="str">
        <f>"621230E00"</f>
        <v>621230E00</v>
      </c>
      <c r="E1514" s="1">
        <v>33624</v>
      </c>
      <c r="F1514" t="s">
        <v>8454</v>
      </c>
      <c r="G1514" t="e">
        <f>INDEX(#REF!,MATCH(P1514,#REF!,0),1)</f>
        <v>#REF!</v>
      </c>
      <c r="H1514" t="s">
        <v>8455</v>
      </c>
      <c r="J1514" t="s">
        <v>8456</v>
      </c>
      <c r="K1514" t="s">
        <v>1603</v>
      </c>
      <c r="L1514" t="s">
        <v>8457</v>
      </c>
      <c r="M1514" t="s">
        <v>8458</v>
      </c>
      <c r="N1514">
        <v>871561</v>
      </c>
      <c r="O1514" t="s">
        <v>194</v>
      </c>
      <c r="P1514">
        <v>102627</v>
      </c>
      <c r="Q1514" t="s">
        <v>3048</v>
      </c>
      <c r="R1514" t="s">
        <v>196</v>
      </c>
      <c r="S1514" t="s">
        <v>197</v>
      </c>
      <c r="T1514" t="s">
        <v>44</v>
      </c>
      <c r="U1514" t="s">
        <v>45</v>
      </c>
      <c r="AA1514" t="s">
        <v>119</v>
      </c>
      <c r="AE1514" t="s">
        <v>120</v>
      </c>
      <c r="AG1514" t="s">
        <v>48</v>
      </c>
    </row>
    <row r="1515" spans="1:33" x14ac:dyDescent="0.3">
      <c r="A1515">
        <v>7869</v>
      </c>
      <c r="B1515" t="s">
        <v>8459</v>
      </c>
      <c r="C1515" t="str">
        <f>"1100003848537"</f>
        <v>1100003848537</v>
      </c>
      <c r="D1515" t="str">
        <f>"440370I00"</f>
        <v>440370I00</v>
      </c>
      <c r="E1515" s="1">
        <v>44501</v>
      </c>
      <c r="F1515" t="s">
        <v>8460</v>
      </c>
      <c r="G1515" t="e">
        <f>INDEX(#REF!,MATCH(P1515,#REF!,0),1)</f>
        <v>#REF!</v>
      </c>
      <c r="H1515" t="s">
        <v>8461</v>
      </c>
      <c r="J1515" t="s">
        <v>8462</v>
      </c>
      <c r="K1515" t="s">
        <v>261</v>
      </c>
      <c r="L1515">
        <v>49721</v>
      </c>
      <c r="M1515" t="s">
        <v>8463</v>
      </c>
      <c r="N1515">
        <v>61089</v>
      </c>
      <c r="O1515" t="s">
        <v>745</v>
      </c>
      <c r="P1515">
        <v>61089</v>
      </c>
      <c r="Q1515" t="s">
        <v>745</v>
      </c>
      <c r="R1515" t="s">
        <v>245</v>
      </c>
      <c r="S1515" t="s">
        <v>246</v>
      </c>
      <c r="T1515" t="s">
        <v>44</v>
      </c>
      <c r="U1515" t="s">
        <v>45</v>
      </c>
    </row>
    <row r="1516" spans="1:33" x14ac:dyDescent="0.3">
      <c r="A1516">
        <v>7874</v>
      </c>
      <c r="B1516" t="s">
        <v>8464</v>
      </c>
      <c r="C1516" t="str">
        <f>""</f>
        <v/>
      </c>
      <c r="D1516" t="str">
        <f>"KG6V5HN00"</f>
        <v>KG6V5HN00</v>
      </c>
      <c r="E1516" s="1">
        <v>33664</v>
      </c>
      <c r="F1516" t="s">
        <v>8465</v>
      </c>
      <c r="G1516" t="e">
        <f>INDEX(#REF!,MATCH(P1516,#REF!,0),1)</f>
        <v>#REF!</v>
      </c>
      <c r="H1516" t="s">
        <v>741</v>
      </c>
      <c r="J1516" t="s">
        <v>742</v>
      </c>
      <c r="K1516" t="s">
        <v>261</v>
      </c>
      <c r="L1516" t="s">
        <v>743</v>
      </c>
      <c r="M1516" t="s">
        <v>744</v>
      </c>
      <c r="N1516">
        <v>61089</v>
      </c>
      <c r="O1516" t="s">
        <v>745</v>
      </c>
      <c r="P1516">
        <v>61089</v>
      </c>
      <c r="Q1516" t="s">
        <v>745</v>
      </c>
      <c r="R1516" t="s">
        <v>245</v>
      </c>
      <c r="S1516" t="s">
        <v>246</v>
      </c>
      <c r="T1516" t="s">
        <v>44</v>
      </c>
      <c r="U1516" t="s">
        <v>45</v>
      </c>
    </row>
    <row r="1517" spans="1:33" x14ac:dyDescent="0.3">
      <c r="A1517">
        <v>7969</v>
      </c>
      <c r="B1517" t="s">
        <v>8466</v>
      </c>
      <c r="C1517" t="str">
        <f>"1100005135574"</f>
        <v>1100005135574</v>
      </c>
      <c r="D1517" t="str">
        <f>"440330E00"</f>
        <v>440330E00</v>
      </c>
      <c r="E1517" s="1">
        <v>41617</v>
      </c>
      <c r="F1517" t="s">
        <v>8467</v>
      </c>
      <c r="G1517" t="e">
        <f>INDEX(#REF!,MATCH(P1517,#REF!,0),1)</f>
        <v>#REF!</v>
      </c>
      <c r="H1517" t="s">
        <v>8468</v>
      </c>
      <c r="J1517" t="s">
        <v>8469</v>
      </c>
      <c r="K1517" t="s">
        <v>261</v>
      </c>
      <c r="L1517" t="s">
        <v>8470</v>
      </c>
      <c r="M1517" t="s">
        <v>8471</v>
      </c>
      <c r="N1517">
        <v>3691178</v>
      </c>
      <c r="O1517" t="s">
        <v>4470</v>
      </c>
      <c r="P1517">
        <v>769900</v>
      </c>
      <c r="Q1517" t="s">
        <v>4816</v>
      </c>
      <c r="R1517" t="s">
        <v>396</v>
      </c>
      <c r="S1517" t="s">
        <v>397</v>
      </c>
      <c r="T1517" t="s">
        <v>44</v>
      </c>
      <c r="U1517" t="s">
        <v>45</v>
      </c>
      <c r="AA1517" t="s">
        <v>119</v>
      </c>
      <c r="AC1517" t="s">
        <v>4471</v>
      </c>
      <c r="AD1517" t="s">
        <v>94</v>
      </c>
      <c r="AE1517" t="s">
        <v>120</v>
      </c>
    </row>
    <row r="1518" spans="1:33" x14ac:dyDescent="0.3">
      <c r="A1518">
        <v>8024</v>
      </c>
      <c r="B1518" t="s">
        <v>8472</v>
      </c>
      <c r="C1518" t="str">
        <f>""</f>
        <v/>
      </c>
      <c r="D1518" t="str">
        <f>"268GEBL00"</f>
        <v>268GEBL00</v>
      </c>
      <c r="E1518" s="1">
        <v>33756</v>
      </c>
      <c r="F1518" t="s">
        <v>8473</v>
      </c>
      <c r="G1518" t="e">
        <f>INDEX(#REF!,MATCH(P1518,#REF!,0),1)</f>
        <v>#REF!</v>
      </c>
      <c r="H1518" t="s">
        <v>8474</v>
      </c>
      <c r="J1518" t="s">
        <v>8475</v>
      </c>
      <c r="K1518" t="s">
        <v>261</v>
      </c>
      <c r="L1518" t="s">
        <v>8476</v>
      </c>
      <c r="M1518" t="s">
        <v>8477</v>
      </c>
      <c r="N1518">
        <v>4168349</v>
      </c>
      <c r="O1518" t="s">
        <v>264</v>
      </c>
      <c r="P1518">
        <v>7852</v>
      </c>
      <c r="Q1518" t="s">
        <v>687</v>
      </c>
      <c r="R1518" t="s">
        <v>2550</v>
      </c>
      <c r="S1518" t="s">
        <v>2551</v>
      </c>
      <c r="T1518" t="s">
        <v>2214</v>
      </c>
      <c r="U1518" t="s">
        <v>2214</v>
      </c>
      <c r="V1518" t="s">
        <v>1824</v>
      </c>
      <c r="Y1518" t="s">
        <v>46</v>
      </c>
      <c r="Z1518" s="1">
        <v>44835</v>
      </c>
      <c r="AE1518" t="s">
        <v>269</v>
      </c>
      <c r="AG1518" t="s">
        <v>48</v>
      </c>
    </row>
    <row r="1519" spans="1:33" x14ac:dyDescent="0.3">
      <c r="A1519">
        <v>8025</v>
      </c>
      <c r="B1519" t="s">
        <v>8478</v>
      </c>
      <c r="C1519" t="str">
        <f>"1100002847791"</f>
        <v>1100002847791</v>
      </c>
      <c r="D1519" t="str">
        <f>"650090K00"</f>
        <v>650090K00</v>
      </c>
      <c r="E1519" s="1">
        <v>33756</v>
      </c>
      <c r="F1519" t="s">
        <v>8479</v>
      </c>
      <c r="G1519" t="e">
        <f>INDEX(#REF!,MATCH(P1519,#REF!,0),1)</f>
        <v>#REF!</v>
      </c>
      <c r="H1519" t="s">
        <v>8480</v>
      </c>
      <c r="J1519" t="s">
        <v>8314</v>
      </c>
      <c r="K1519" t="s">
        <v>899</v>
      </c>
      <c r="L1519" t="s">
        <v>8481</v>
      </c>
      <c r="M1519" t="s">
        <v>8482</v>
      </c>
      <c r="N1519">
        <v>871561</v>
      </c>
      <c r="O1519" t="s">
        <v>194</v>
      </c>
      <c r="P1519">
        <v>102627</v>
      </c>
      <c r="Q1519" t="s">
        <v>3048</v>
      </c>
      <c r="R1519" t="s">
        <v>196</v>
      </c>
      <c r="S1519" t="s">
        <v>197</v>
      </c>
      <c r="T1519" t="s">
        <v>44</v>
      </c>
      <c r="U1519" t="s">
        <v>45</v>
      </c>
      <c r="AA1519" t="s">
        <v>119</v>
      </c>
      <c r="AE1519" t="s">
        <v>120</v>
      </c>
      <c r="AG1519" t="s">
        <v>48</v>
      </c>
    </row>
    <row r="1520" spans="1:33" x14ac:dyDescent="0.3">
      <c r="A1520">
        <v>8128</v>
      </c>
      <c r="B1520" t="s">
        <v>8483</v>
      </c>
      <c r="C1520" t="str">
        <f>""</f>
        <v/>
      </c>
      <c r="D1520" t="str">
        <f>"230480H00"</f>
        <v>230480H00</v>
      </c>
      <c r="E1520" s="1">
        <v>33786</v>
      </c>
      <c r="F1520" t="s">
        <v>8484</v>
      </c>
      <c r="G1520" t="e">
        <f>INDEX(#REF!,MATCH(P1520,#REF!,0),1)</f>
        <v>#REF!</v>
      </c>
      <c r="H1520" t="s">
        <v>8485</v>
      </c>
      <c r="J1520" t="s">
        <v>1764</v>
      </c>
      <c r="K1520" t="s">
        <v>65</v>
      </c>
      <c r="L1520" t="s">
        <v>8486</v>
      </c>
      <c r="M1520" t="s">
        <v>8487</v>
      </c>
      <c r="N1520">
        <v>2623550</v>
      </c>
      <c r="O1520" t="s">
        <v>1767</v>
      </c>
      <c r="P1520">
        <v>1202</v>
      </c>
      <c r="Q1520" t="s">
        <v>1768</v>
      </c>
      <c r="R1520" t="s">
        <v>5064</v>
      </c>
      <c r="S1520" t="s">
        <v>5065</v>
      </c>
      <c r="T1520" t="s">
        <v>2277</v>
      </c>
      <c r="U1520" t="s">
        <v>8488</v>
      </c>
      <c r="V1520" t="s">
        <v>1824</v>
      </c>
      <c r="AE1520" t="s">
        <v>564</v>
      </c>
    </row>
    <row r="1521" spans="1:33" x14ac:dyDescent="0.3">
      <c r="A1521">
        <v>8131</v>
      </c>
      <c r="B1521" t="s">
        <v>8489</v>
      </c>
      <c r="C1521" t="str">
        <f>"1100005278462"</f>
        <v>1100005278462</v>
      </c>
      <c r="D1521" t="str">
        <f>"410200700"</f>
        <v>410200700</v>
      </c>
      <c r="E1521" s="1">
        <v>42370</v>
      </c>
      <c r="F1521" t="s">
        <v>8490</v>
      </c>
      <c r="G1521" t="e">
        <f>INDEX(#REF!,MATCH(P1521,#REF!,0),1)</f>
        <v>#REF!</v>
      </c>
      <c r="H1521" t="s">
        <v>8491</v>
      </c>
      <c r="J1521" t="s">
        <v>8492</v>
      </c>
      <c r="K1521" t="s">
        <v>37</v>
      </c>
      <c r="L1521">
        <v>45817</v>
      </c>
      <c r="M1521" t="s">
        <v>8493</v>
      </c>
      <c r="N1521">
        <v>210</v>
      </c>
      <c r="O1521" t="s">
        <v>840</v>
      </c>
      <c r="P1521">
        <v>2583</v>
      </c>
      <c r="Q1521" t="s">
        <v>2404</v>
      </c>
      <c r="R1521" t="s">
        <v>844</v>
      </c>
      <c r="S1521" t="s">
        <v>845</v>
      </c>
      <c r="T1521" t="s">
        <v>44</v>
      </c>
      <c r="U1521" t="s">
        <v>45</v>
      </c>
      <c r="Y1521" t="s">
        <v>46</v>
      </c>
      <c r="Z1521" s="1">
        <v>42370</v>
      </c>
      <c r="AC1521" t="s">
        <v>846</v>
      </c>
      <c r="AE1521" t="s">
        <v>47</v>
      </c>
    </row>
    <row r="1522" spans="1:33" x14ac:dyDescent="0.3">
      <c r="A1522">
        <v>8132</v>
      </c>
      <c r="B1522" t="s">
        <v>8494</v>
      </c>
      <c r="C1522" t="str">
        <f>"1100003496943"</f>
        <v>1100003496943</v>
      </c>
      <c r="D1522" t="str">
        <f>"04WMMPX00"</f>
        <v>04WMMPX00</v>
      </c>
      <c r="E1522" s="1">
        <v>33786</v>
      </c>
      <c r="F1522" t="s">
        <v>8495</v>
      </c>
      <c r="G1522" t="e">
        <f>INDEX(#REF!,MATCH(P1522,#REF!,0),1)</f>
        <v>#REF!</v>
      </c>
      <c r="H1522" t="s">
        <v>8496</v>
      </c>
      <c r="J1522" t="s">
        <v>8497</v>
      </c>
      <c r="K1522" t="s">
        <v>37</v>
      </c>
      <c r="L1522" t="s">
        <v>8498</v>
      </c>
      <c r="M1522" t="s">
        <v>8499</v>
      </c>
      <c r="N1522">
        <v>210</v>
      </c>
      <c r="O1522" t="s">
        <v>840</v>
      </c>
      <c r="P1522">
        <v>3549</v>
      </c>
      <c r="Q1522" t="s">
        <v>1336</v>
      </c>
      <c r="R1522" t="s">
        <v>844</v>
      </c>
      <c r="S1522" t="s">
        <v>845</v>
      </c>
      <c r="T1522" t="s">
        <v>44</v>
      </c>
      <c r="U1522" t="s">
        <v>45</v>
      </c>
      <c r="Y1522" t="s">
        <v>46</v>
      </c>
      <c r="Z1522" s="1">
        <v>42370</v>
      </c>
      <c r="AE1522" t="s">
        <v>47</v>
      </c>
    </row>
    <row r="1523" spans="1:33" x14ac:dyDescent="0.3">
      <c r="A1523">
        <v>8134</v>
      </c>
      <c r="B1523" t="s">
        <v>8500</v>
      </c>
      <c r="C1523" t="str">
        <f>""</f>
        <v/>
      </c>
      <c r="D1523" t="str">
        <f>"UCLLJB600"</f>
        <v>UCLLJB600</v>
      </c>
      <c r="E1523" s="1">
        <v>42583</v>
      </c>
      <c r="F1523" t="s">
        <v>8501</v>
      </c>
      <c r="G1523" t="e">
        <f>INDEX(#REF!,MATCH(P1523,#REF!,0),1)</f>
        <v>#REF!</v>
      </c>
      <c r="H1523" t="s">
        <v>8502</v>
      </c>
      <c r="J1523" t="s">
        <v>1463</v>
      </c>
      <c r="K1523" t="s">
        <v>676</v>
      </c>
      <c r="L1523" t="s">
        <v>8503</v>
      </c>
      <c r="M1523" t="s">
        <v>1464</v>
      </c>
      <c r="N1523">
        <v>43193</v>
      </c>
      <c r="O1523" t="s">
        <v>1465</v>
      </c>
      <c r="P1523">
        <v>1101885</v>
      </c>
      <c r="Q1523" t="s">
        <v>1466</v>
      </c>
      <c r="R1523" t="s">
        <v>1467</v>
      </c>
      <c r="S1523" t="s">
        <v>1468</v>
      </c>
      <c r="T1523" t="s">
        <v>44</v>
      </c>
      <c r="U1523" t="s">
        <v>288</v>
      </c>
      <c r="AA1523" t="s">
        <v>1031</v>
      </c>
      <c r="AE1523" t="s">
        <v>72</v>
      </c>
    </row>
    <row r="1524" spans="1:33" x14ac:dyDescent="0.3">
      <c r="A1524">
        <v>8137</v>
      </c>
      <c r="B1524" t="s">
        <v>8504</v>
      </c>
      <c r="C1524" t="str">
        <f>""</f>
        <v/>
      </c>
      <c r="D1524" t="str">
        <f>"411200800"</f>
        <v>411200800</v>
      </c>
      <c r="E1524" s="1">
        <v>43541</v>
      </c>
      <c r="F1524" t="s">
        <v>8505</v>
      </c>
      <c r="G1524" t="e">
        <f>INDEX(#REF!,MATCH(P1524,#REF!,0),1)</f>
        <v>#REF!</v>
      </c>
      <c r="H1524" t="s">
        <v>8506</v>
      </c>
      <c r="J1524" t="s">
        <v>8507</v>
      </c>
      <c r="K1524" t="s">
        <v>37</v>
      </c>
      <c r="L1524" t="s">
        <v>8508</v>
      </c>
      <c r="M1524" t="s">
        <v>8509</v>
      </c>
      <c r="N1524">
        <v>2294706</v>
      </c>
      <c r="O1524" t="s">
        <v>6648</v>
      </c>
      <c r="P1524">
        <v>1097561</v>
      </c>
      <c r="Q1524" t="s">
        <v>8510</v>
      </c>
      <c r="R1524" t="s">
        <v>6649</v>
      </c>
      <c r="S1524" t="s">
        <v>6650</v>
      </c>
      <c r="T1524" t="s">
        <v>44</v>
      </c>
      <c r="U1524" t="s">
        <v>45</v>
      </c>
      <c r="AA1524" t="s">
        <v>8511</v>
      </c>
      <c r="AB1524" t="s">
        <v>211</v>
      </c>
      <c r="AC1524" t="s">
        <v>6651</v>
      </c>
      <c r="AD1524" t="s">
        <v>94</v>
      </c>
      <c r="AE1524" t="s">
        <v>186</v>
      </c>
    </row>
    <row r="1525" spans="1:33" x14ac:dyDescent="0.3">
      <c r="A1525">
        <v>8165</v>
      </c>
      <c r="B1525" t="s">
        <v>8512</v>
      </c>
      <c r="C1525" t="str">
        <f>"1100010908101"</f>
        <v>1100010908101</v>
      </c>
      <c r="D1525" t="str">
        <f>""</f>
        <v/>
      </c>
      <c r="E1525" s="1">
        <v>41487</v>
      </c>
      <c r="F1525" t="s">
        <v>8513</v>
      </c>
      <c r="G1525" t="e">
        <f>INDEX(#REF!,MATCH(P1525,#REF!,0),1)</f>
        <v>#REF!</v>
      </c>
      <c r="H1525" t="s">
        <v>8514</v>
      </c>
      <c r="J1525" t="s">
        <v>8515</v>
      </c>
      <c r="K1525" t="s">
        <v>37</v>
      </c>
      <c r="L1525" t="s">
        <v>8516</v>
      </c>
      <c r="M1525" t="s">
        <v>8517</v>
      </c>
      <c r="N1525">
        <v>2294706</v>
      </c>
      <c r="O1525" t="s">
        <v>6648</v>
      </c>
      <c r="P1525">
        <v>1097561</v>
      </c>
      <c r="Q1525" t="s">
        <v>8510</v>
      </c>
      <c r="R1525" t="s">
        <v>6649</v>
      </c>
      <c r="S1525" t="s">
        <v>6650</v>
      </c>
      <c r="T1525" t="s">
        <v>44</v>
      </c>
      <c r="U1525" t="s">
        <v>45</v>
      </c>
      <c r="AA1525" t="s">
        <v>8511</v>
      </c>
      <c r="AB1525" t="s">
        <v>211</v>
      </c>
      <c r="AC1525" t="s">
        <v>6651</v>
      </c>
      <c r="AD1525" t="s">
        <v>94</v>
      </c>
      <c r="AE1525" t="s">
        <v>186</v>
      </c>
    </row>
    <row r="1526" spans="1:33" x14ac:dyDescent="0.3">
      <c r="A1526">
        <v>8197</v>
      </c>
      <c r="B1526" t="s">
        <v>8518</v>
      </c>
      <c r="C1526" t="str">
        <f>"1100004711991"</f>
        <v>1100004711991</v>
      </c>
      <c r="D1526" t="str">
        <f>"640340H00"</f>
        <v>640340H00</v>
      </c>
      <c r="E1526" s="1">
        <v>33878</v>
      </c>
      <c r="F1526" t="s">
        <v>8519</v>
      </c>
      <c r="G1526" t="e">
        <f>INDEX(#REF!,MATCH(P1526,#REF!,0),1)</f>
        <v>#REF!</v>
      </c>
      <c r="H1526" t="s">
        <v>8520</v>
      </c>
      <c r="J1526" t="s">
        <v>1839</v>
      </c>
      <c r="K1526" t="s">
        <v>191</v>
      </c>
      <c r="L1526" t="s">
        <v>8521</v>
      </c>
      <c r="M1526" t="s">
        <v>8522</v>
      </c>
      <c r="N1526">
        <v>871561</v>
      </c>
      <c r="O1526" t="s">
        <v>194</v>
      </c>
      <c r="P1526">
        <v>102627</v>
      </c>
      <c r="Q1526" t="s">
        <v>3048</v>
      </c>
      <c r="R1526" t="s">
        <v>196</v>
      </c>
      <c r="S1526" t="s">
        <v>197</v>
      </c>
      <c r="T1526" t="s">
        <v>44</v>
      </c>
      <c r="U1526" t="s">
        <v>45</v>
      </c>
      <c r="AA1526" t="s">
        <v>119</v>
      </c>
      <c r="AE1526" t="s">
        <v>120</v>
      </c>
      <c r="AG1526" t="s">
        <v>48</v>
      </c>
    </row>
    <row r="1527" spans="1:33" x14ac:dyDescent="0.3">
      <c r="A1527">
        <v>8201</v>
      </c>
      <c r="B1527" t="s">
        <v>8523</v>
      </c>
      <c r="C1527" t="str">
        <f>""</f>
        <v/>
      </c>
      <c r="D1527" t="str">
        <f>"611350G00"</f>
        <v>611350G00</v>
      </c>
      <c r="E1527" s="1">
        <v>33878</v>
      </c>
      <c r="F1527" t="s">
        <v>8524</v>
      </c>
      <c r="G1527" t="e">
        <f>INDEX(#REF!,MATCH(P1527,#REF!,0),1)</f>
        <v>#REF!</v>
      </c>
      <c r="H1527" t="s">
        <v>8525</v>
      </c>
      <c r="J1527" t="s">
        <v>8526</v>
      </c>
      <c r="K1527" t="s">
        <v>283</v>
      </c>
      <c r="L1527" t="s">
        <v>8527</v>
      </c>
      <c r="M1527" t="s">
        <v>8528</v>
      </c>
      <c r="N1527">
        <v>41174</v>
      </c>
      <c r="O1527" t="s">
        <v>1652</v>
      </c>
      <c r="P1527">
        <v>41174</v>
      </c>
      <c r="Q1527" t="s">
        <v>1652</v>
      </c>
      <c r="R1527" t="s">
        <v>1046</v>
      </c>
      <c r="S1527" t="s">
        <v>1047</v>
      </c>
      <c r="T1527" t="s">
        <v>44</v>
      </c>
      <c r="U1527" t="s">
        <v>45</v>
      </c>
      <c r="AA1527" t="s">
        <v>119</v>
      </c>
      <c r="AE1527" t="s">
        <v>120</v>
      </c>
    </row>
    <row r="1528" spans="1:33" x14ac:dyDescent="0.3">
      <c r="A1528">
        <v>8540</v>
      </c>
      <c r="B1528" t="s">
        <v>8529</v>
      </c>
      <c r="C1528" t="str">
        <f>""</f>
        <v/>
      </c>
      <c r="D1528" t="str">
        <f>"258397Y00"</f>
        <v>258397Y00</v>
      </c>
      <c r="E1528" s="1">
        <v>42583</v>
      </c>
      <c r="F1528" t="s">
        <v>8530</v>
      </c>
      <c r="G1528" t="e">
        <f>INDEX(#REF!,MATCH(P1528,#REF!,0),1)</f>
        <v>#REF!</v>
      </c>
      <c r="H1528" t="s">
        <v>8531</v>
      </c>
      <c r="J1528" t="s">
        <v>8532</v>
      </c>
      <c r="K1528" t="s">
        <v>251</v>
      </c>
      <c r="L1528" t="str">
        <f>"08536-1913"</f>
        <v>08536-1913</v>
      </c>
      <c r="M1528" t="s">
        <v>8533</v>
      </c>
      <c r="N1528">
        <v>4007</v>
      </c>
      <c r="O1528" t="s">
        <v>276</v>
      </c>
      <c r="P1528">
        <v>2895458</v>
      </c>
      <c r="Q1528" t="s">
        <v>8534</v>
      </c>
      <c r="R1528" t="s">
        <v>277</v>
      </c>
      <c r="S1528" t="s">
        <v>278</v>
      </c>
      <c r="T1528" t="s">
        <v>2140</v>
      </c>
      <c r="U1528" t="s">
        <v>2141</v>
      </c>
      <c r="AG1528" t="s">
        <v>48</v>
      </c>
    </row>
    <row r="1529" spans="1:33" x14ac:dyDescent="0.3">
      <c r="A1529">
        <v>20344</v>
      </c>
      <c r="B1529" t="s">
        <v>8535</v>
      </c>
      <c r="C1529" t="str">
        <f>"1100005221819"</f>
        <v>1100005221819</v>
      </c>
      <c r="D1529" t="str">
        <f>"120040700"</f>
        <v>120040700</v>
      </c>
      <c r="E1529" s="1">
        <v>44501</v>
      </c>
      <c r="F1529" t="s">
        <v>8536</v>
      </c>
      <c r="G1529" t="e">
        <f>INDEX(#REF!,MATCH(P1529,#REF!,0),1)</f>
        <v>#REF!</v>
      </c>
      <c r="H1529" t="s">
        <v>5507</v>
      </c>
      <c r="J1529" t="s">
        <v>2741</v>
      </c>
      <c r="K1529" t="s">
        <v>53</v>
      </c>
      <c r="L1529" t="str">
        <f>"03301-7539"</f>
        <v>03301-7539</v>
      </c>
      <c r="M1529" t="s">
        <v>8537</v>
      </c>
      <c r="N1529">
        <v>2507</v>
      </c>
      <c r="O1529" t="s">
        <v>5506</v>
      </c>
      <c r="P1529">
        <v>2507</v>
      </c>
      <c r="Q1529" t="s">
        <v>5506</v>
      </c>
      <c r="R1529" t="s">
        <v>1301</v>
      </c>
      <c r="S1529" t="s">
        <v>1302</v>
      </c>
      <c r="T1529" t="s">
        <v>44</v>
      </c>
      <c r="U1529" t="s">
        <v>45</v>
      </c>
    </row>
    <row r="1530" spans="1:33" x14ac:dyDescent="0.3">
      <c r="A1530">
        <v>25684</v>
      </c>
      <c r="B1530" t="s">
        <v>8538</v>
      </c>
      <c r="C1530" t="str">
        <f>"1100003548352"</f>
        <v>1100003548352</v>
      </c>
      <c r="D1530" t="str">
        <f>"320310900"</f>
        <v>320310900</v>
      </c>
      <c r="E1530" s="1">
        <v>42795</v>
      </c>
      <c r="F1530" t="s">
        <v>5431</v>
      </c>
      <c r="G1530" t="e">
        <f>INDEX(#REF!,MATCH(P1530,#REF!,0),1)</f>
        <v>#REF!</v>
      </c>
      <c r="H1530" t="s">
        <v>8539</v>
      </c>
      <c r="J1530" t="s">
        <v>1002</v>
      </c>
      <c r="K1530" t="s">
        <v>982</v>
      </c>
      <c r="L1530">
        <v>21201</v>
      </c>
      <c r="M1530" t="s">
        <v>8540</v>
      </c>
      <c r="N1530">
        <v>767189</v>
      </c>
      <c r="O1530" t="s">
        <v>985</v>
      </c>
      <c r="P1530">
        <v>767189</v>
      </c>
      <c r="Q1530" t="s">
        <v>985</v>
      </c>
      <c r="R1530" t="s">
        <v>986</v>
      </c>
      <c r="S1530" t="s">
        <v>987</v>
      </c>
      <c r="T1530" t="s">
        <v>44</v>
      </c>
      <c r="U1530" t="s">
        <v>45</v>
      </c>
      <c r="Y1530" t="s">
        <v>46</v>
      </c>
      <c r="Z1530" s="1">
        <v>44805</v>
      </c>
      <c r="AA1530" t="s">
        <v>219</v>
      </c>
      <c r="AB1530" t="s">
        <v>93</v>
      </c>
      <c r="AE1530" t="s">
        <v>220</v>
      </c>
      <c r="AG1530" t="s">
        <v>48</v>
      </c>
    </row>
    <row r="1531" spans="1:33" x14ac:dyDescent="0.3">
      <c r="A1531">
        <v>26249</v>
      </c>
      <c r="B1531" t="s">
        <v>8541</v>
      </c>
      <c r="C1531" t="str">
        <f>"1100004850928"</f>
        <v>1100004850928</v>
      </c>
      <c r="D1531" t="str">
        <f>"E31SZ7G00"</f>
        <v>E31SZ7G00</v>
      </c>
      <c r="E1531" s="1">
        <v>35004</v>
      </c>
      <c r="F1531" t="s">
        <v>8542</v>
      </c>
      <c r="G1531" t="e">
        <f>INDEX(#REF!,MATCH(P1531,#REF!,0),1)</f>
        <v>#REF!</v>
      </c>
      <c r="H1531" t="s">
        <v>8543</v>
      </c>
      <c r="J1531" t="s">
        <v>726</v>
      </c>
      <c r="K1531" t="s">
        <v>727</v>
      </c>
      <c r="L1531">
        <v>68108</v>
      </c>
      <c r="M1531" t="s">
        <v>8544</v>
      </c>
      <c r="N1531">
        <v>26249</v>
      </c>
      <c r="O1531" t="s">
        <v>8542</v>
      </c>
      <c r="P1531">
        <v>26249</v>
      </c>
      <c r="Q1531" t="s">
        <v>8542</v>
      </c>
      <c r="R1531" t="s">
        <v>8545</v>
      </c>
      <c r="S1531" t="s">
        <v>8546</v>
      </c>
      <c r="T1531" t="s">
        <v>117</v>
      </c>
      <c r="U1531" t="s">
        <v>8547</v>
      </c>
      <c r="V1531" t="s">
        <v>2215</v>
      </c>
    </row>
    <row r="1532" spans="1:33" x14ac:dyDescent="0.3">
      <c r="A1532">
        <v>26333</v>
      </c>
      <c r="B1532" t="s">
        <v>8548</v>
      </c>
      <c r="C1532" t="str">
        <f>"1100004461810"</f>
        <v>1100004461810</v>
      </c>
      <c r="D1532" t="str">
        <f>"L7ER7W000"</f>
        <v>L7ER7W000</v>
      </c>
      <c r="E1532" s="1">
        <v>36678</v>
      </c>
      <c r="F1532" t="s">
        <v>8549</v>
      </c>
      <c r="G1532" t="e">
        <f>INDEX(#REF!,MATCH(P1532,#REF!,0),1)</f>
        <v>#REF!</v>
      </c>
      <c r="H1532" t="s">
        <v>3215</v>
      </c>
      <c r="J1532" t="s">
        <v>2298</v>
      </c>
      <c r="K1532" t="s">
        <v>283</v>
      </c>
      <c r="L1532" t="s">
        <v>8550</v>
      </c>
      <c r="M1532" t="s">
        <v>3217</v>
      </c>
      <c r="N1532">
        <v>75245</v>
      </c>
      <c r="O1532" t="s">
        <v>1020</v>
      </c>
      <c r="P1532">
        <v>1141</v>
      </c>
      <c r="Q1532" t="s">
        <v>3214</v>
      </c>
      <c r="R1532" t="s">
        <v>1021</v>
      </c>
      <c r="S1532" t="s">
        <v>1022</v>
      </c>
      <c r="T1532" t="s">
        <v>44</v>
      </c>
      <c r="U1532" t="s">
        <v>81</v>
      </c>
      <c r="AA1532" t="s">
        <v>119</v>
      </c>
      <c r="AE1532" t="s">
        <v>120</v>
      </c>
      <c r="AG1532" t="s">
        <v>48</v>
      </c>
    </row>
    <row r="1533" spans="1:33" x14ac:dyDescent="0.3">
      <c r="A1533">
        <v>26455</v>
      </c>
      <c r="B1533" t="s">
        <v>8551</v>
      </c>
      <c r="C1533" t="str">
        <f>"1100002519513"</f>
        <v>1100002519513</v>
      </c>
      <c r="D1533" t="str">
        <f>"JBDJINV00"</f>
        <v>JBDJINV00</v>
      </c>
      <c r="E1533" s="1">
        <v>44348</v>
      </c>
      <c r="F1533" t="s">
        <v>8552</v>
      </c>
      <c r="G1533" t="e">
        <f>INDEX(#REF!,MATCH(P1533,#REF!,0),1)</f>
        <v>#REF!</v>
      </c>
      <c r="H1533" t="s">
        <v>8553</v>
      </c>
      <c r="J1533" t="s">
        <v>2250</v>
      </c>
      <c r="K1533" t="s">
        <v>676</v>
      </c>
      <c r="L1533" t="s">
        <v>8554</v>
      </c>
      <c r="M1533" t="s">
        <v>8555</v>
      </c>
      <c r="N1533">
        <v>2449851</v>
      </c>
      <c r="O1533" t="s">
        <v>6634</v>
      </c>
      <c r="P1533">
        <v>2449851</v>
      </c>
      <c r="Q1533" t="s">
        <v>6634</v>
      </c>
      <c r="R1533" t="s">
        <v>679</v>
      </c>
      <c r="S1533" t="s">
        <v>680</v>
      </c>
      <c r="T1533" t="s">
        <v>44</v>
      </c>
      <c r="U1533" t="s">
        <v>81</v>
      </c>
      <c r="AG1533" t="s">
        <v>48</v>
      </c>
    </row>
    <row r="1534" spans="1:33" x14ac:dyDescent="0.3">
      <c r="A1534">
        <v>26846</v>
      </c>
      <c r="B1534" t="s">
        <v>8556</v>
      </c>
      <c r="C1534" t="str">
        <f>""</f>
        <v/>
      </c>
      <c r="D1534" t="str">
        <f>"KE1640900"</f>
        <v>KE1640900</v>
      </c>
      <c r="E1534" s="1">
        <v>34608</v>
      </c>
      <c r="F1534" t="s">
        <v>4530</v>
      </c>
      <c r="G1534" t="e">
        <f>INDEX(#REF!,MATCH(P1534,#REF!,0),1)</f>
        <v>#REF!</v>
      </c>
      <c r="H1534" t="s">
        <v>3058</v>
      </c>
      <c r="J1534" t="s">
        <v>726</v>
      </c>
      <c r="K1534" t="s">
        <v>727</v>
      </c>
      <c r="L1534" t="s">
        <v>3059</v>
      </c>
      <c r="M1534" t="s">
        <v>8557</v>
      </c>
      <c r="N1534">
        <v>908</v>
      </c>
      <c r="O1534" t="s">
        <v>730</v>
      </c>
      <c r="P1534">
        <v>908</v>
      </c>
      <c r="Q1534" t="s">
        <v>730</v>
      </c>
      <c r="R1534" t="s">
        <v>3139</v>
      </c>
      <c r="S1534" t="s">
        <v>3140</v>
      </c>
      <c r="T1534" t="s">
        <v>2277</v>
      </c>
      <c r="U1534" t="s">
        <v>2278</v>
      </c>
      <c r="V1534" t="s">
        <v>1824</v>
      </c>
      <c r="AA1534" t="s">
        <v>327</v>
      </c>
      <c r="AD1534" t="s">
        <v>94</v>
      </c>
    </row>
    <row r="1535" spans="1:33" x14ac:dyDescent="0.3">
      <c r="A1535">
        <v>27363</v>
      </c>
      <c r="B1535" t="s">
        <v>8558</v>
      </c>
      <c r="C1535" t="str">
        <f>"1100093238485"</f>
        <v>1100093238485</v>
      </c>
      <c r="D1535" t="str">
        <f>"8Q3TJCP00"</f>
        <v>8Q3TJCP00</v>
      </c>
      <c r="E1535" s="1">
        <v>34240</v>
      </c>
      <c r="F1535" t="s">
        <v>8559</v>
      </c>
      <c r="G1535" t="e">
        <f>INDEX(#REF!,MATCH(P1535,#REF!,0),1)</f>
        <v>#REF!</v>
      </c>
      <c r="H1535" t="s">
        <v>8560</v>
      </c>
      <c r="J1535" t="s">
        <v>176</v>
      </c>
      <c r="K1535" t="s">
        <v>177</v>
      </c>
      <c r="L1535">
        <v>63110</v>
      </c>
      <c r="M1535" t="s">
        <v>8561</v>
      </c>
      <c r="N1535">
        <v>6104582</v>
      </c>
      <c r="O1535" t="s">
        <v>180</v>
      </c>
      <c r="P1535">
        <v>37</v>
      </c>
      <c r="Q1535" t="s">
        <v>174</v>
      </c>
      <c r="R1535" t="s">
        <v>3152</v>
      </c>
      <c r="S1535" t="s">
        <v>3153</v>
      </c>
      <c r="T1535" t="s">
        <v>44</v>
      </c>
      <c r="U1535" t="s">
        <v>6115</v>
      </c>
      <c r="V1535" t="s">
        <v>1824</v>
      </c>
      <c r="AA1535" t="s">
        <v>185</v>
      </c>
      <c r="AE1535" t="s">
        <v>186</v>
      </c>
      <c r="AG1535" t="s">
        <v>48</v>
      </c>
    </row>
    <row r="1536" spans="1:33" x14ac:dyDescent="0.3">
      <c r="A1536">
        <v>29204</v>
      </c>
      <c r="B1536" t="s">
        <v>8562</v>
      </c>
      <c r="C1536" t="str">
        <f>""</f>
        <v/>
      </c>
      <c r="D1536" t="str">
        <f>"589TL7700"</f>
        <v>589TL7700</v>
      </c>
      <c r="E1536" s="1">
        <v>40786</v>
      </c>
      <c r="F1536" t="s">
        <v>8563</v>
      </c>
      <c r="G1536" t="e">
        <f>INDEX(#REF!,MATCH(P1536,#REF!,0),1)</f>
        <v>#REF!</v>
      </c>
      <c r="H1536" t="s">
        <v>8564</v>
      </c>
      <c r="J1536" t="s">
        <v>124</v>
      </c>
      <c r="K1536" t="s">
        <v>125</v>
      </c>
      <c r="L1536" t="s">
        <v>8565</v>
      </c>
      <c r="M1536" t="s">
        <v>8566</v>
      </c>
      <c r="N1536">
        <v>764140</v>
      </c>
      <c r="O1536" t="s">
        <v>8567</v>
      </c>
      <c r="P1536">
        <v>764140</v>
      </c>
      <c r="Q1536" t="s">
        <v>8567</v>
      </c>
      <c r="R1536" t="s">
        <v>2212</v>
      </c>
      <c r="S1536" t="s">
        <v>2213</v>
      </c>
      <c r="T1536" t="s">
        <v>3141</v>
      </c>
      <c r="U1536" t="s">
        <v>3142</v>
      </c>
      <c r="V1536" t="s">
        <v>2215</v>
      </c>
    </row>
    <row r="1537" spans="1:33" x14ac:dyDescent="0.3">
      <c r="A1537">
        <v>29214</v>
      </c>
      <c r="B1537" t="s">
        <v>8568</v>
      </c>
      <c r="C1537" t="str">
        <f>""</f>
        <v/>
      </c>
      <c r="D1537" t="str">
        <f>"E22XEKD00"</f>
        <v>E22XEKD00</v>
      </c>
      <c r="E1537" s="1">
        <v>34790</v>
      </c>
      <c r="F1537" t="s">
        <v>8569</v>
      </c>
      <c r="G1537" t="e">
        <f>INDEX(#REF!,MATCH(P1537,#REF!,0),1)</f>
        <v>#REF!</v>
      </c>
      <c r="H1537" t="s">
        <v>2878</v>
      </c>
      <c r="J1537" t="s">
        <v>2879</v>
      </c>
      <c r="K1537" t="s">
        <v>65</v>
      </c>
      <c r="L1537" t="s">
        <v>8570</v>
      </c>
      <c r="M1537" t="s">
        <v>8571</v>
      </c>
      <c r="N1537">
        <v>2623550</v>
      </c>
      <c r="O1537" t="s">
        <v>1767</v>
      </c>
      <c r="P1537">
        <v>1202</v>
      </c>
      <c r="Q1537" t="s">
        <v>1768</v>
      </c>
      <c r="R1537" t="s">
        <v>5064</v>
      </c>
      <c r="S1537" t="s">
        <v>5065</v>
      </c>
      <c r="T1537" t="s">
        <v>117</v>
      </c>
      <c r="U1537" t="s">
        <v>3374</v>
      </c>
      <c r="V1537" t="s">
        <v>1824</v>
      </c>
      <c r="AE1537" t="s">
        <v>564</v>
      </c>
    </row>
    <row r="1538" spans="1:33" x14ac:dyDescent="0.3">
      <c r="A1538">
        <v>29523</v>
      </c>
      <c r="B1538" t="s">
        <v>8572</v>
      </c>
      <c r="C1538" t="str">
        <f>""</f>
        <v/>
      </c>
      <c r="D1538" t="str">
        <f>"75CF2X200"</f>
        <v>75CF2X200</v>
      </c>
      <c r="E1538" s="1">
        <v>41143</v>
      </c>
      <c r="F1538" t="s">
        <v>8573</v>
      </c>
      <c r="G1538" t="e">
        <f>INDEX(#REF!,MATCH(P1538,#REF!,0),1)</f>
        <v>#REF!</v>
      </c>
      <c r="H1538" t="s">
        <v>8574</v>
      </c>
      <c r="J1538" t="s">
        <v>3956</v>
      </c>
      <c r="K1538" t="s">
        <v>283</v>
      </c>
      <c r="L1538">
        <v>55118</v>
      </c>
      <c r="M1538" t="s">
        <v>8575</v>
      </c>
      <c r="N1538">
        <v>1421</v>
      </c>
      <c r="O1538" t="s">
        <v>280</v>
      </c>
      <c r="P1538">
        <v>1421</v>
      </c>
      <c r="Q1538" t="s">
        <v>280</v>
      </c>
      <c r="R1538" t="s">
        <v>286</v>
      </c>
      <c r="S1538" t="s">
        <v>287</v>
      </c>
      <c r="T1538" t="s">
        <v>2277</v>
      </c>
      <c r="U1538" t="s">
        <v>2278</v>
      </c>
      <c r="V1538" t="s">
        <v>1824</v>
      </c>
      <c r="X1538" t="s">
        <v>289</v>
      </c>
      <c r="AA1538" t="s">
        <v>119</v>
      </c>
      <c r="AB1538" t="s">
        <v>290</v>
      </c>
      <c r="AG1538" t="s">
        <v>48</v>
      </c>
    </row>
    <row r="1539" spans="1:33" x14ac:dyDescent="0.3">
      <c r="A1539">
        <v>30228</v>
      </c>
      <c r="B1539" t="s">
        <v>8576</v>
      </c>
      <c r="C1539" t="str">
        <f>"1100004139719"</f>
        <v>1100004139719</v>
      </c>
      <c r="D1539" t="str">
        <f>"630240FF1"</f>
        <v>630240FF1</v>
      </c>
      <c r="E1539" s="1">
        <v>34653</v>
      </c>
      <c r="F1539" t="s">
        <v>8577</v>
      </c>
      <c r="G1539" t="e">
        <f>INDEX(#REF!,MATCH(P1539,#REF!,0),1)</f>
        <v>#REF!</v>
      </c>
      <c r="H1539" t="s">
        <v>1525</v>
      </c>
      <c r="J1539" t="s">
        <v>1526</v>
      </c>
      <c r="K1539" t="s">
        <v>177</v>
      </c>
      <c r="L1539" t="s">
        <v>8578</v>
      </c>
      <c r="M1539" t="s">
        <v>8579</v>
      </c>
      <c r="N1539">
        <v>427</v>
      </c>
      <c r="O1539" t="s">
        <v>1524</v>
      </c>
      <c r="P1539">
        <v>427</v>
      </c>
      <c r="Q1539" t="s">
        <v>1524</v>
      </c>
      <c r="R1539" t="s">
        <v>5064</v>
      </c>
      <c r="S1539" t="s">
        <v>5065</v>
      </c>
      <c r="T1539" t="s">
        <v>2140</v>
      </c>
      <c r="U1539" t="s">
        <v>2141</v>
      </c>
      <c r="V1539" t="s">
        <v>1824</v>
      </c>
      <c r="AA1539" t="s">
        <v>119</v>
      </c>
      <c r="AC1539" t="s">
        <v>1529</v>
      </c>
      <c r="AE1539" t="s">
        <v>120</v>
      </c>
    </row>
    <row r="1540" spans="1:33" x14ac:dyDescent="0.3">
      <c r="A1540">
        <v>30537</v>
      </c>
      <c r="B1540" t="s">
        <v>8580</v>
      </c>
      <c r="C1540" t="str">
        <f>""</f>
        <v/>
      </c>
      <c r="D1540" t="str">
        <f>"2GBPPQX00"</f>
        <v>2GBPPQX00</v>
      </c>
      <c r="E1540" s="1">
        <v>34608</v>
      </c>
      <c r="F1540" t="s">
        <v>838</v>
      </c>
      <c r="G1540" t="e">
        <f>INDEX(#REF!,MATCH(P1540,#REF!,0),1)</f>
        <v>#REF!</v>
      </c>
      <c r="H1540" t="s">
        <v>8581</v>
      </c>
      <c r="J1540" t="s">
        <v>951</v>
      </c>
      <c r="K1540" t="s">
        <v>835</v>
      </c>
      <c r="L1540" t="s">
        <v>8582</v>
      </c>
      <c r="M1540" t="s">
        <v>8583</v>
      </c>
      <c r="N1540">
        <v>30537</v>
      </c>
      <c r="O1540" t="s">
        <v>838</v>
      </c>
      <c r="P1540">
        <v>30537</v>
      </c>
      <c r="Q1540" t="s">
        <v>838</v>
      </c>
      <c r="R1540" t="s">
        <v>228</v>
      </c>
      <c r="S1540" t="s">
        <v>229</v>
      </c>
      <c r="T1540" t="s">
        <v>44</v>
      </c>
      <c r="U1540" t="s">
        <v>45</v>
      </c>
      <c r="AA1540" t="s">
        <v>119</v>
      </c>
      <c r="AE1540" t="s">
        <v>120</v>
      </c>
      <c r="AG1540" t="s">
        <v>48</v>
      </c>
    </row>
    <row r="1541" spans="1:33" x14ac:dyDescent="0.3">
      <c r="A1541">
        <v>30853</v>
      </c>
      <c r="B1541" t="s">
        <v>8584</v>
      </c>
      <c r="C1541" t="str">
        <f>""</f>
        <v/>
      </c>
      <c r="D1541" t="str">
        <f>"55MEKB500"</f>
        <v>55MEKB500</v>
      </c>
      <c r="E1541" s="1">
        <v>31665</v>
      </c>
      <c r="F1541" t="s">
        <v>2509</v>
      </c>
      <c r="G1541" t="e">
        <f>INDEX(#REF!,MATCH(P1541,#REF!,0),1)</f>
        <v>#REF!</v>
      </c>
      <c r="H1541" t="s">
        <v>8585</v>
      </c>
      <c r="I1541" t="s">
        <v>8586</v>
      </c>
      <c r="J1541" t="s">
        <v>1465</v>
      </c>
      <c r="K1541" t="s">
        <v>2507</v>
      </c>
      <c r="L1541" t="str">
        <f>"02903-4771"</f>
        <v>02903-4771</v>
      </c>
      <c r="M1541" t="s">
        <v>8587</v>
      </c>
      <c r="N1541">
        <v>30853</v>
      </c>
      <c r="O1541" t="s">
        <v>2509</v>
      </c>
      <c r="P1541">
        <v>30853</v>
      </c>
      <c r="Q1541" t="s">
        <v>2509</v>
      </c>
      <c r="R1541" t="s">
        <v>658</v>
      </c>
      <c r="S1541" t="s">
        <v>659</v>
      </c>
      <c r="T1541" t="s">
        <v>44</v>
      </c>
      <c r="U1541" t="s">
        <v>81</v>
      </c>
      <c r="AA1541" t="s">
        <v>119</v>
      </c>
      <c r="AE1541" t="s">
        <v>60</v>
      </c>
      <c r="AG1541" t="s">
        <v>48</v>
      </c>
    </row>
    <row r="1542" spans="1:33" x14ac:dyDescent="0.3">
      <c r="A1542">
        <v>30969</v>
      </c>
      <c r="B1542" t="s">
        <v>8588</v>
      </c>
      <c r="C1542" t="str">
        <f>""</f>
        <v/>
      </c>
      <c r="D1542" t="str">
        <f>""</f>
        <v/>
      </c>
      <c r="E1542" s="1">
        <v>42614</v>
      </c>
      <c r="F1542" t="s">
        <v>8589</v>
      </c>
      <c r="G1542" t="e">
        <f>INDEX(#REF!,MATCH(P1542,#REF!,0),1)</f>
        <v>#REF!</v>
      </c>
      <c r="H1542" t="s">
        <v>8590</v>
      </c>
      <c r="J1542" t="s">
        <v>2250</v>
      </c>
      <c r="K1542" t="s">
        <v>676</v>
      </c>
      <c r="L1542">
        <v>75231</v>
      </c>
      <c r="M1542" t="s">
        <v>8591</v>
      </c>
      <c r="N1542">
        <v>2623570</v>
      </c>
      <c r="O1542" t="s">
        <v>8592</v>
      </c>
      <c r="P1542">
        <v>2623570</v>
      </c>
      <c r="Q1542" t="s">
        <v>8592</v>
      </c>
      <c r="R1542" t="s">
        <v>7384</v>
      </c>
      <c r="S1542" t="s">
        <v>7385</v>
      </c>
      <c r="T1542" t="s">
        <v>2277</v>
      </c>
      <c r="U1542" t="s">
        <v>2278</v>
      </c>
      <c r="V1542" t="s">
        <v>2215</v>
      </c>
      <c r="AA1542" t="s">
        <v>328</v>
      </c>
      <c r="AD1542" t="s">
        <v>59</v>
      </c>
      <c r="AF1542" t="s">
        <v>8592</v>
      </c>
    </row>
    <row r="1543" spans="1:33" x14ac:dyDescent="0.3">
      <c r="A1543">
        <v>31115</v>
      </c>
      <c r="B1543" t="s">
        <v>8593</v>
      </c>
      <c r="C1543" t="str">
        <f>"1100006015219"</f>
        <v>1100006015219</v>
      </c>
      <c r="D1543" t="str">
        <f>""</f>
        <v/>
      </c>
      <c r="E1543" s="1">
        <v>40544</v>
      </c>
      <c r="F1543" t="s">
        <v>8594</v>
      </c>
      <c r="G1543" t="e">
        <f>INDEX(#REF!,MATCH(P1543,#REF!,0),1)</f>
        <v>#REF!</v>
      </c>
      <c r="H1543" t="s">
        <v>8595</v>
      </c>
      <c r="J1543" t="s">
        <v>607</v>
      </c>
      <c r="K1543" t="s">
        <v>208</v>
      </c>
      <c r="L1543" t="s">
        <v>8596</v>
      </c>
      <c r="M1543" t="s">
        <v>8597</v>
      </c>
      <c r="N1543">
        <v>31115</v>
      </c>
      <c r="O1543" t="s">
        <v>8594</v>
      </c>
      <c r="P1543">
        <v>31115</v>
      </c>
      <c r="Q1543" t="s">
        <v>8594</v>
      </c>
      <c r="R1543" t="s">
        <v>5721</v>
      </c>
      <c r="S1543" t="s">
        <v>5722</v>
      </c>
      <c r="T1543" t="s">
        <v>4245</v>
      </c>
      <c r="U1543" t="s">
        <v>4246</v>
      </c>
      <c r="V1543" t="s">
        <v>2215</v>
      </c>
      <c r="AF1543" t="s">
        <v>5723</v>
      </c>
    </row>
    <row r="1544" spans="1:33" x14ac:dyDescent="0.3">
      <c r="A1544">
        <v>31228</v>
      </c>
      <c r="B1544" t="s">
        <v>8598</v>
      </c>
      <c r="C1544" t="str">
        <f>""</f>
        <v/>
      </c>
      <c r="D1544" t="str">
        <f>"742390P00"</f>
        <v>742390P00</v>
      </c>
      <c r="E1544" s="1">
        <v>44348</v>
      </c>
      <c r="F1544" t="s">
        <v>8599</v>
      </c>
      <c r="G1544" t="e">
        <f>INDEX(#REF!,MATCH(P1544,#REF!,0),1)</f>
        <v>#REF!</v>
      </c>
      <c r="H1544" t="s">
        <v>8600</v>
      </c>
      <c r="J1544" t="s">
        <v>8601</v>
      </c>
      <c r="K1544" t="s">
        <v>676</v>
      </c>
      <c r="L1544">
        <v>77555</v>
      </c>
      <c r="M1544" t="s">
        <v>8602</v>
      </c>
      <c r="N1544">
        <v>2449851</v>
      </c>
      <c r="O1544" t="s">
        <v>6634</v>
      </c>
      <c r="P1544">
        <v>2449851</v>
      </c>
      <c r="Q1544" t="s">
        <v>6634</v>
      </c>
      <c r="R1544" t="s">
        <v>679</v>
      </c>
      <c r="S1544" t="s">
        <v>680</v>
      </c>
      <c r="T1544" t="s">
        <v>44</v>
      </c>
      <c r="U1544" t="s">
        <v>45</v>
      </c>
      <c r="AE1544" t="s">
        <v>72</v>
      </c>
      <c r="AG1544" t="s">
        <v>48</v>
      </c>
    </row>
    <row r="1545" spans="1:33" x14ac:dyDescent="0.3">
      <c r="A1545">
        <v>31238</v>
      </c>
      <c r="B1545" t="s">
        <v>8603</v>
      </c>
      <c r="C1545" t="str">
        <f>"1100004316240"</f>
        <v>1100004316240</v>
      </c>
      <c r="D1545" t="str">
        <f>"9EGJL4B00"</f>
        <v>9EGJL4B00</v>
      </c>
      <c r="E1545" s="1">
        <v>36251</v>
      </c>
      <c r="F1545" t="s">
        <v>8604</v>
      </c>
      <c r="G1545" t="e">
        <f>INDEX(#REF!,MATCH(P1545,#REF!,0),1)</f>
        <v>#REF!</v>
      </c>
      <c r="H1545" t="s">
        <v>8605</v>
      </c>
      <c r="J1545" t="s">
        <v>8606</v>
      </c>
      <c r="K1545" t="s">
        <v>307</v>
      </c>
      <c r="L1545">
        <v>46032</v>
      </c>
      <c r="M1545" t="s">
        <v>8607</v>
      </c>
      <c r="N1545">
        <v>67</v>
      </c>
      <c r="O1545" t="s">
        <v>304</v>
      </c>
      <c r="P1545">
        <v>58430</v>
      </c>
      <c r="Q1545" t="s">
        <v>8608</v>
      </c>
      <c r="R1545" t="s">
        <v>3807</v>
      </c>
      <c r="S1545" t="s">
        <v>3808</v>
      </c>
      <c r="T1545" t="s">
        <v>2277</v>
      </c>
      <c r="U1545" t="s">
        <v>4419</v>
      </c>
      <c r="V1545" t="s">
        <v>1824</v>
      </c>
      <c r="AE1545" t="s">
        <v>269</v>
      </c>
    </row>
    <row r="1546" spans="1:33" x14ac:dyDescent="0.3">
      <c r="A1546">
        <v>31304</v>
      </c>
      <c r="B1546" t="s">
        <v>8609</v>
      </c>
      <c r="C1546" t="str">
        <f>"1100002569136"</f>
        <v>1100002569136</v>
      </c>
      <c r="D1546" t="str">
        <f>""</f>
        <v/>
      </c>
      <c r="E1546" s="1">
        <v>42583</v>
      </c>
      <c r="F1546" t="s">
        <v>2522</v>
      </c>
      <c r="G1546" t="e">
        <f>INDEX(#REF!,MATCH(P1546,#REF!,0),1)</f>
        <v>#REF!</v>
      </c>
      <c r="H1546" t="s">
        <v>7521</v>
      </c>
      <c r="J1546" t="s">
        <v>483</v>
      </c>
      <c r="K1546" t="s">
        <v>65</v>
      </c>
      <c r="L1546" t="s">
        <v>8610</v>
      </c>
      <c r="M1546" t="s">
        <v>8611</v>
      </c>
      <c r="N1546">
        <v>2472612</v>
      </c>
      <c r="O1546" t="s">
        <v>2340</v>
      </c>
      <c r="P1546">
        <v>2472612</v>
      </c>
      <c r="Q1546" t="s">
        <v>2340</v>
      </c>
      <c r="R1546" t="s">
        <v>2523</v>
      </c>
      <c r="S1546" t="s">
        <v>2524</v>
      </c>
      <c r="T1546" t="s">
        <v>44</v>
      </c>
      <c r="U1546" t="s">
        <v>81</v>
      </c>
      <c r="V1546" t="s">
        <v>2215</v>
      </c>
      <c r="Y1546" t="s">
        <v>46</v>
      </c>
      <c r="Z1546" s="1">
        <v>44621</v>
      </c>
      <c r="AE1546" t="s">
        <v>47</v>
      </c>
      <c r="AG1546" t="s">
        <v>48</v>
      </c>
    </row>
    <row r="1547" spans="1:33" x14ac:dyDescent="0.3">
      <c r="A1547">
        <v>31551</v>
      </c>
      <c r="B1547" t="s">
        <v>8612</v>
      </c>
      <c r="C1547" t="str">
        <f>"1100095732806"</f>
        <v>1100095732806</v>
      </c>
      <c r="D1547" t="str">
        <f>"140140A00"</f>
        <v>140140A00</v>
      </c>
      <c r="E1547" s="1">
        <v>35218</v>
      </c>
      <c r="F1547" t="s">
        <v>8613</v>
      </c>
      <c r="G1547" t="e">
        <f>INDEX(#REF!,MATCH(P1547,#REF!,0),1)</f>
        <v>#REF!</v>
      </c>
      <c r="H1547" t="s">
        <v>8614</v>
      </c>
      <c r="J1547" t="s">
        <v>2134</v>
      </c>
      <c r="K1547" t="s">
        <v>2004</v>
      </c>
      <c r="L1547" t="str">
        <f>"02115-6106"</f>
        <v>02115-6106</v>
      </c>
      <c r="M1547" t="s">
        <v>8615</v>
      </c>
      <c r="N1547">
        <v>2598</v>
      </c>
      <c r="O1547" t="s">
        <v>2136</v>
      </c>
      <c r="P1547">
        <v>2598</v>
      </c>
      <c r="Q1547" t="s">
        <v>2136</v>
      </c>
      <c r="R1547" t="s">
        <v>2492</v>
      </c>
      <c r="S1547" t="s">
        <v>2493</v>
      </c>
      <c r="T1547" t="s">
        <v>44</v>
      </c>
      <c r="U1547" t="s">
        <v>45</v>
      </c>
      <c r="AE1547" t="s">
        <v>72</v>
      </c>
      <c r="AG1547" t="s">
        <v>48</v>
      </c>
    </row>
    <row r="1548" spans="1:33" x14ac:dyDescent="0.3">
      <c r="A1548">
        <v>31834</v>
      </c>
      <c r="B1548" t="s">
        <v>8616</v>
      </c>
      <c r="C1548" t="str">
        <f>"1100004074843"</f>
        <v>1100004074843</v>
      </c>
      <c r="D1548" t="str">
        <f>"L923KCV00"</f>
        <v>L923KCV00</v>
      </c>
      <c r="E1548" s="1">
        <v>35977</v>
      </c>
      <c r="F1548" t="s">
        <v>8617</v>
      </c>
      <c r="G1548" t="e">
        <f>INDEX(#REF!,MATCH(P1548,#REF!,0),1)</f>
        <v>#REF!</v>
      </c>
      <c r="H1548" t="s">
        <v>8618</v>
      </c>
      <c r="J1548" t="s">
        <v>2598</v>
      </c>
      <c r="K1548" t="s">
        <v>261</v>
      </c>
      <c r="L1548" t="s">
        <v>8619</v>
      </c>
      <c r="M1548" t="s">
        <v>8620</v>
      </c>
      <c r="N1548">
        <v>31834</v>
      </c>
      <c r="O1548" t="s">
        <v>8617</v>
      </c>
      <c r="P1548">
        <v>31834</v>
      </c>
      <c r="Q1548" t="s">
        <v>8617</v>
      </c>
      <c r="R1548" t="s">
        <v>2212</v>
      </c>
      <c r="S1548" t="s">
        <v>2213</v>
      </c>
      <c r="T1548" t="s">
        <v>2214</v>
      </c>
      <c r="U1548" t="s">
        <v>2214</v>
      </c>
      <c r="V1548" t="s">
        <v>2215</v>
      </c>
    </row>
    <row r="1549" spans="1:33" x14ac:dyDescent="0.3">
      <c r="A1549">
        <v>32479</v>
      </c>
      <c r="B1549" t="s">
        <v>8621</v>
      </c>
      <c r="C1549" t="str">
        <f>"1100003987878"</f>
        <v>1100003987878</v>
      </c>
      <c r="D1549" t="str">
        <f>"K3ER8HH00"</f>
        <v>K3ER8HH00</v>
      </c>
      <c r="E1549" s="1">
        <v>37084</v>
      </c>
      <c r="F1549" t="s">
        <v>8622</v>
      </c>
      <c r="G1549" t="e">
        <f>INDEX(#REF!,MATCH(P1549,#REF!,0),1)</f>
        <v>#REF!</v>
      </c>
      <c r="H1549" t="s">
        <v>8623</v>
      </c>
      <c r="J1549" t="s">
        <v>2966</v>
      </c>
      <c r="K1549" t="s">
        <v>2244</v>
      </c>
      <c r="L1549">
        <v>11235</v>
      </c>
      <c r="M1549" t="s">
        <v>8624</v>
      </c>
      <c r="N1549">
        <v>32479</v>
      </c>
      <c r="O1549" t="s">
        <v>8622</v>
      </c>
      <c r="P1549">
        <v>32479</v>
      </c>
      <c r="Q1549" t="s">
        <v>8622</v>
      </c>
      <c r="R1549" t="s">
        <v>6187</v>
      </c>
      <c r="S1549" t="s">
        <v>6188</v>
      </c>
      <c r="T1549" t="s">
        <v>117</v>
      </c>
      <c r="U1549" t="s">
        <v>4072</v>
      </c>
      <c r="V1549" t="s">
        <v>2215</v>
      </c>
    </row>
    <row r="1550" spans="1:33" x14ac:dyDescent="0.3">
      <c r="A1550">
        <v>32534</v>
      </c>
      <c r="B1550" t="s">
        <v>8625</v>
      </c>
      <c r="C1550" t="str">
        <f>""</f>
        <v/>
      </c>
      <c r="D1550" t="str">
        <f>"140830G00"</f>
        <v>140830G00</v>
      </c>
      <c r="E1550" s="1">
        <v>36252</v>
      </c>
      <c r="F1550" t="s">
        <v>8626</v>
      </c>
      <c r="G1550" t="e">
        <f>INDEX(#REF!,MATCH(P1550,#REF!,0),1)</f>
        <v>#REF!</v>
      </c>
      <c r="H1550" t="s">
        <v>8627</v>
      </c>
      <c r="J1550" t="s">
        <v>2134</v>
      </c>
      <c r="K1550" t="s">
        <v>2004</v>
      </c>
      <c r="L1550" t="str">
        <f>"02130-3446"</f>
        <v>02130-3446</v>
      </c>
      <c r="M1550" t="s">
        <v>8628</v>
      </c>
      <c r="N1550">
        <v>2598</v>
      </c>
      <c r="O1550" t="s">
        <v>2136</v>
      </c>
      <c r="P1550">
        <v>2598</v>
      </c>
      <c r="Q1550" t="s">
        <v>2136</v>
      </c>
      <c r="R1550" t="s">
        <v>2492</v>
      </c>
      <c r="S1550" t="s">
        <v>2493</v>
      </c>
      <c r="T1550" t="s">
        <v>44</v>
      </c>
      <c r="U1550" t="s">
        <v>45</v>
      </c>
      <c r="AE1550" t="s">
        <v>72</v>
      </c>
      <c r="AG1550" t="s">
        <v>48</v>
      </c>
    </row>
    <row r="1551" spans="1:33" x14ac:dyDescent="0.3">
      <c r="A1551">
        <v>32536</v>
      </c>
      <c r="B1551" t="s">
        <v>8629</v>
      </c>
      <c r="C1551" t="str">
        <f>""</f>
        <v/>
      </c>
      <c r="D1551" t="str">
        <f>"141450F00"</f>
        <v>141450F00</v>
      </c>
      <c r="E1551" s="1">
        <v>42583</v>
      </c>
      <c r="F1551" t="s">
        <v>8630</v>
      </c>
      <c r="G1551" t="e">
        <f>INDEX(#REF!,MATCH(P1551,#REF!,0),1)</f>
        <v>#REF!</v>
      </c>
      <c r="H1551" t="s">
        <v>8631</v>
      </c>
      <c r="J1551" t="s">
        <v>8632</v>
      </c>
      <c r="K1551" t="s">
        <v>2004</v>
      </c>
      <c r="L1551" t="str">
        <f>"02703"</f>
        <v>02703</v>
      </c>
      <c r="M1551" t="s">
        <v>8633</v>
      </c>
      <c r="N1551">
        <v>32536</v>
      </c>
      <c r="O1551" t="s">
        <v>8630</v>
      </c>
      <c r="P1551">
        <v>32536</v>
      </c>
      <c r="Q1551" t="s">
        <v>8630</v>
      </c>
      <c r="R1551" t="s">
        <v>1301</v>
      </c>
      <c r="S1551" t="s">
        <v>1302</v>
      </c>
      <c r="T1551" t="s">
        <v>44</v>
      </c>
      <c r="U1551" t="s">
        <v>1823</v>
      </c>
    </row>
    <row r="1552" spans="1:33" x14ac:dyDescent="0.3">
      <c r="A1552">
        <v>32546</v>
      </c>
      <c r="B1552" t="s">
        <v>8634</v>
      </c>
      <c r="C1552" t="str">
        <f>""</f>
        <v/>
      </c>
      <c r="D1552" t="str">
        <f>"CJ0MN4800"</f>
        <v>CJ0MN4800</v>
      </c>
      <c r="E1552" s="1">
        <v>35390</v>
      </c>
      <c r="F1552" t="s">
        <v>8635</v>
      </c>
      <c r="G1552" t="e">
        <f>INDEX(#REF!,MATCH(P1552,#REF!,0),1)</f>
        <v>#REF!</v>
      </c>
      <c r="H1552" t="s">
        <v>8636</v>
      </c>
      <c r="J1552" t="s">
        <v>726</v>
      </c>
      <c r="K1552" t="s">
        <v>727</v>
      </c>
      <c r="L1552">
        <v>68144</v>
      </c>
      <c r="M1552" t="s">
        <v>8637</v>
      </c>
      <c r="N1552">
        <v>2407580</v>
      </c>
      <c r="O1552" t="s">
        <v>8638</v>
      </c>
      <c r="P1552">
        <v>2410575</v>
      </c>
      <c r="Q1552" t="s">
        <v>8639</v>
      </c>
      <c r="R1552" t="s">
        <v>8545</v>
      </c>
      <c r="S1552" t="s">
        <v>8546</v>
      </c>
      <c r="T1552" t="s">
        <v>2277</v>
      </c>
      <c r="U1552" t="s">
        <v>5622</v>
      </c>
      <c r="V1552" t="s">
        <v>2215</v>
      </c>
      <c r="AF1552" t="s">
        <v>8640</v>
      </c>
    </row>
    <row r="1553" spans="1:33" x14ac:dyDescent="0.3">
      <c r="A1553">
        <v>32547</v>
      </c>
      <c r="B1553" t="s">
        <v>8641</v>
      </c>
      <c r="C1553" t="str">
        <f>"810147190003"</f>
        <v>810147190003</v>
      </c>
      <c r="D1553" t="str">
        <f>"3K339JL00"</f>
        <v>3K339JL00</v>
      </c>
      <c r="E1553" s="1">
        <v>42583</v>
      </c>
      <c r="F1553" t="s">
        <v>8642</v>
      </c>
      <c r="G1553" t="e">
        <f>INDEX(#REF!,MATCH(P1553,#REF!,0),1)</f>
        <v>#REF!</v>
      </c>
      <c r="H1553" t="s">
        <v>8643</v>
      </c>
      <c r="J1553" t="s">
        <v>2556</v>
      </c>
      <c r="K1553" t="s">
        <v>2244</v>
      </c>
      <c r="L1553">
        <v>10065</v>
      </c>
      <c r="M1553" t="s">
        <v>8644</v>
      </c>
      <c r="N1553">
        <v>32547</v>
      </c>
      <c r="O1553" t="s">
        <v>8642</v>
      </c>
      <c r="P1553">
        <v>32547</v>
      </c>
      <c r="Q1553" t="s">
        <v>8642</v>
      </c>
      <c r="R1553" t="s">
        <v>56</v>
      </c>
      <c r="S1553" t="s">
        <v>57</v>
      </c>
      <c r="T1553" t="s">
        <v>44</v>
      </c>
      <c r="U1553" t="s">
        <v>6635</v>
      </c>
      <c r="AC1553" t="s">
        <v>367</v>
      </c>
      <c r="AD1553" t="s">
        <v>94</v>
      </c>
      <c r="AG1553" t="s">
        <v>48</v>
      </c>
    </row>
    <row r="1554" spans="1:33" x14ac:dyDescent="0.3">
      <c r="A1554">
        <v>32589</v>
      </c>
      <c r="B1554" t="s">
        <v>8645</v>
      </c>
      <c r="C1554" t="str">
        <f>""</f>
        <v/>
      </c>
      <c r="D1554" t="str">
        <f>"34ZJ4C500"</f>
        <v>34ZJ4C500</v>
      </c>
      <c r="E1554" s="1">
        <v>42917</v>
      </c>
      <c r="F1554" t="s">
        <v>8646</v>
      </c>
      <c r="G1554" t="e">
        <f>INDEX(#REF!,MATCH(P1554,#REF!,0),1)</f>
        <v>#REF!</v>
      </c>
      <c r="H1554" t="s">
        <v>8647</v>
      </c>
      <c r="J1554" t="s">
        <v>8648</v>
      </c>
      <c r="K1554" t="s">
        <v>251</v>
      </c>
      <c r="L1554" t="str">
        <f>"08201"</f>
        <v>08201</v>
      </c>
      <c r="M1554" t="s">
        <v>8649</v>
      </c>
      <c r="N1554">
        <v>84749</v>
      </c>
      <c r="O1554" t="s">
        <v>8650</v>
      </c>
      <c r="P1554">
        <v>84749</v>
      </c>
      <c r="Q1554" t="s">
        <v>8650</v>
      </c>
      <c r="R1554" t="s">
        <v>7442</v>
      </c>
      <c r="S1554" t="s">
        <v>7443</v>
      </c>
      <c r="T1554" t="s">
        <v>2214</v>
      </c>
      <c r="U1554" t="s">
        <v>2214</v>
      </c>
    </row>
    <row r="1555" spans="1:33" x14ac:dyDescent="0.3">
      <c r="A1555">
        <v>32599</v>
      </c>
      <c r="B1555" t="s">
        <v>8651</v>
      </c>
      <c r="C1555" t="str">
        <f>""</f>
        <v/>
      </c>
      <c r="D1555" t="str">
        <f>"230060B00"</f>
        <v>230060B00</v>
      </c>
      <c r="E1555" s="1">
        <v>42583</v>
      </c>
      <c r="F1555" t="s">
        <v>8652</v>
      </c>
      <c r="G1555" t="e">
        <f>INDEX(#REF!,MATCH(P1555,#REF!,0),1)</f>
        <v>#REF!</v>
      </c>
      <c r="H1555" t="s">
        <v>8653</v>
      </c>
      <c r="J1555" t="s">
        <v>2716</v>
      </c>
      <c r="K1555" t="s">
        <v>65</v>
      </c>
      <c r="L1555">
        <v>18104</v>
      </c>
      <c r="M1555" t="s">
        <v>8654</v>
      </c>
      <c r="N1555">
        <v>3596</v>
      </c>
      <c r="O1555" t="s">
        <v>2749</v>
      </c>
      <c r="P1555">
        <v>3596</v>
      </c>
      <c r="Q1555" t="s">
        <v>2749</v>
      </c>
      <c r="R1555" t="s">
        <v>254</v>
      </c>
      <c r="S1555" t="s">
        <v>255</v>
      </c>
      <c r="T1555" t="s">
        <v>44</v>
      </c>
      <c r="U1555" t="s">
        <v>45</v>
      </c>
    </row>
    <row r="1556" spans="1:33" x14ac:dyDescent="0.3">
      <c r="A1556">
        <v>32603</v>
      </c>
      <c r="B1556" t="s">
        <v>8655</v>
      </c>
      <c r="C1556" t="str">
        <f>""</f>
        <v/>
      </c>
      <c r="D1556" t="str">
        <f>"220420A00"</f>
        <v>220420A00</v>
      </c>
      <c r="E1556" s="1">
        <v>42583</v>
      </c>
      <c r="F1556" t="s">
        <v>8656</v>
      </c>
      <c r="G1556" t="e">
        <f>INDEX(#REF!,MATCH(P1556,#REF!,0),1)</f>
        <v>#REF!</v>
      </c>
      <c r="H1556" t="s">
        <v>8657</v>
      </c>
      <c r="J1556" t="s">
        <v>8658</v>
      </c>
      <c r="K1556" t="s">
        <v>251</v>
      </c>
      <c r="L1556" t="str">
        <f>"08037-9699"</f>
        <v>08037-9699</v>
      </c>
      <c r="M1556" t="s">
        <v>8659</v>
      </c>
      <c r="N1556">
        <v>32603</v>
      </c>
      <c r="O1556" t="s">
        <v>8656</v>
      </c>
      <c r="P1556">
        <v>32603</v>
      </c>
      <c r="Q1556" t="s">
        <v>8656</v>
      </c>
      <c r="R1556" t="s">
        <v>254</v>
      </c>
      <c r="S1556" t="s">
        <v>255</v>
      </c>
      <c r="T1556" t="s">
        <v>44</v>
      </c>
      <c r="U1556" t="s">
        <v>1823</v>
      </c>
    </row>
    <row r="1557" spans="1:33" x14ac:dyDescent="0.3">
      <c r="A1557">
        <v>32605</v>
      </c>
      <c r="B1557" t="s">
        <v>8660</v>
      </c>
      <c r="C1557" t="str">
        <f>""</f>
        <v/>
      </c>
      <c r="D1557" t="str">
        <f>"VCZVSUN00"</f>
        <v>VCZVSUN00</v>
      </c>
      <c r="E1557" s="1">
        <v>35339</v>
      </c>
      <c r="F1557" t="s">
        <v>8661</v>
      </c>
      <c r="G1557" t="e">
        <f>INDEX(#REF!,MATCH(P1557,#REF!,0),1)</f>
        <v>#REF!</v>
      </c>
      <c r="H1557" t="s">
        <v>8662</v>
      </c>
      <c r="J1557" t="s">
        <v>3925</v>
      </c>
      <c r="K1557" t="s">
        <v>65</v>
      </c>
      <c r="L1557">
        <v>17011</v>
      </c>
      <c r="M1557" t="s">
        <v>8663</v>
      </c>
      <c r="N1557">
        <v>32605</v>
      </c>
      <c r="O1557" t="s">
        <v>8661</v>
      </c>
      <c r="P1557">
        <v>32605</v>
      </c>
      <c r="Q1557" t="s">
        <v>8661</v>
      </c>
      <c r="R1557" t="s">
        <v>5419</v>
      </c>
      <c r="S1557" t="s">
        <v>5420</v>
      </c>
      <c r="T1557" t="s">
        <v>2277</v>
      </c>
      <c r="U1557" t="s">
        <v>2278</v>
      </c>
      <c r="V1557" t="s">
        <v>2215</v>
      </c>
      <c r="AF1557" t="s">
        <v>5421</v>
      </c>
    </row>
    <row r="1558" spans="1:33" x14ac:dyDescent="0.3">
      <c r="A1558">
        <v>32607</v>
      </c>
      <c r="B1558" t="s">
        <v>8664</v>
      </c>
      <c r="C1558" t="str">
        <f>"1100004695109"</f>
        <v>1100004695109</v>
      </c>
      <c r="D1558" t="str">
        <f>"34275N800"</f>
        <v>34275N800</v>
      </c>
      <c r="E1558" s="1">
        <v>42917</v>
      </c>
      <c r="F1558" t="s">
        <v>8665</v>
      </c>
      <c r="G1558" t="e">
        <f>INDEX(#REF!,MATCH(P1558,#REF!,0),1)</f>
        <v>#REF!</v>
      </c>
      <c r="H1558" t="s">
        <v>8666</v>
      </c>
      <c r="J1558" t="s">
        <v>8667</v>
      </c>
      <c r="K1558" t="s">
        <v>251</v>
      </c>
      <c r="L1558" t="str">
        <f>"08520"</f>
        <v>08520</v>
      </c>
      <c r="M1558" t="s">
        <v>8668</v>
      </c>
      <c r="N1558">
        <v>32607</v>
      </c>
      <c r="O1558" t="s">
        <v>8665</v>
      </c>
      <c r="P1558">
        <v>32607</v>
      </c>
      <c r="Q1558" t="s">
        <v>8665</v>
      </c>
      <c r="R1558" t="s">
        <v>7442</v>
      </c>
      <c r="S1558" t="s">
        <v>7443</v>
      </c>
      <c r="T1558" t="s">
        <v>2214</v>
      </c>
      <c r="U1558" t="s">
        <v>2214</v>
      </c>
    </row>
    <row r="1559" spans="1:33" x14ac:dyDescent="0.3">
      <c r="A1559">
        <v>32608</v>
      </c>
      <c r="B1559" t="s">
        <v>8669</v>
      </c>
      <c r="C1559" t="str">
        <f>"1100002458140"</f>
        <v>1100002458140</v>
      </c>
      <c r="D1559" t="str">
        <f>"B3V0DM800"</f>
        <v>B3V0DM800</v>
      </c>
      <c r="E1559" s="1">
        <v>42583</v>
      </c>
      <c r="F1559" t="s">
        <v>8670</v>
      </c>
      <c r="G1559" t="e">
        <f>INDEX(#REF!,MATCH(P1559,#REF!,0),1)</f>
        <v>#REF!</v>
      </c>
      <c r="H1559" t="s">
        <v>8671</v>
      </c>
      <c r="J1559" t="s">
        <v>8672</v>
      </c>
      <c r="K1559" t="s">
        <v>251</v>
      </c>
      <c r="L1559" t="str">
        <f>"07728"</f>
        <v>07728</v>
      </c>
      <c r="M1559" t="s">
        <v>8673</v>
      </c>
      <c r="N1559">
        <v>32693</v>
      </c>
      <c r="O1559" t="s">
        <v>8674</v>
      </c>
      <c r="P1559">
        <v>32693</v>
      </c>
      <c r="Q1559" t="s">
        <v>8674</v>
      </c>
      <c r="R1559" t="s">
        <v>254</v>
      </c>
      <c r="S1559" t="s">
        <v>255</v>
      </c>
      <c r="T1559" t="s">
        <v>2214</v>
      </c>
      <c r="U1559" t="s">
        <v>2214</v>
      </c>
    </row>
    <row r="1560" spans="1:33" x14ac:dyDescent="0.3">
      <c r="A1560">
        <v>32609</v>
      </c>
      <c r="B1560" t="s">
        <v>8675</v>
      </c>
      <c r="C1560" t="str">
        <f>""</f>
        <v/>
      </c>
      <c r="D1560" t="str">
        <f>""</f>
        <v/>
      </c>
      <c r="E1560" s="1">
        <v>42917</v>
      </c>
      <c r="F1560" t="s">
        <v>8676</v>
      </c>
      <c r="G1560" t="e">
        <f>INDEX(#REF!,MATCH(P1560,#REF!,0),1)</f>
        <v>#REF!</v>
      </c>
      <c r="H1560" t="s">
        <v>8677</v>
      </c>
      <c r="J1560" t="s">
        <v>8678</v>
      </c>
      <c r="K1560" t="s">
        <v>251</v>
      </c>
      <c r="L1560" t="str">
        <f>"07060"</f>
        <v>07060</v>
      </c>
      <c r="M1560" t="s">
        <v>8679</v>
      </c>
      <c r="N1560">
        <v>899271</v>
      </c>
      <c r="O1560" t="s">
        <v>8680</v>
      </c>
      <c r="P1560">
        <v>899271</v>
      </c>
      <c r="Q1560" t="s">
        <v>8680</v>
      </c>
      <c r="R1560" t="s">
        <v>7442</v>
      </c>
      <c r="S1560" t="s">
        <v>7443</v>
      </c>
      <c r="T1560" t="s">
        <v>2214</v>
      </c>
      <c r="U1560" t="s">
        <v>2214</v>
      </c>
    </row>
    <row r="1561" spans="1:33" x14ac:dyDescent="0.3">
      <c r="A1561">
        <v>32614</v>
      </c>
      <c r="B1561" t="s">
        <v>8681</v>
      </c>
      <c r="C1561" t="str">
        <f>"1100005353213"</f>
        <v>1100005353213</v>
      </c>
      <c r="D1561" t="str">
        <f>"02N10PF00"</f>
        <v>02N10PF00</v>
      </c>
      <c r="E1561" s="1">
        <v>39629</v>
      </c>
      <c r="F1561" t="s">
        <v>8682</v>
      </c>
      <c r="G1561" t="e">
        <f>INDEX(#REF!,MATCH(P1561,#REF!,0),1)</f>
        <v>#REF!</v>
      </c>
      <c r="H1561" t="s">
        <v>8683</v>
      </c>
      <c r="J1561" t="s">
        <v>8684</v>
      </c>
      <c r="K1561" t="s">
        <v>251</v>
      </c>
      <c r="L1561" t="str">
        <f>"08234-5637"</f>
        <v>08234-5637</v>
      </c>
      <c r="M1561" t="s">
        <v>8685</v>
      </c>
      <c r="N1561">
        <v>86914</v>
      </c>
      <c r="O1561" t="s">
        <v>2165</v>
      </c>
      <c r="P1561">
        <v>86914</v>
      </c>
      <c r="Q1561" t="s">
        <v>2165</v>
      </c>
      <c r="R1561" t="s">
        <v>1753</v>
      </c>
      <c r="S1561" t="s">
        <v>1754</v>
      </c>
      <c r="T1561" t="s">
        <v>44</v>
      </c>
      <c r="U1561" t="s">
        <v>8686</v>
      </c>
      <c r="AE1561" t="s">
        <v>564</v>
      </c>
      <c r="AG1561" t="s">
        <v>48</v>
      </c>
    </row>
    <row r="1562" spans="1:33" x14ac:dyDescent="0.3">
      <c r="A1562">
        <v>32632</v>
      </c>
      <c r="B1562" t="s">
        <v>8687</v>
      </c>
      <c r="C1562" t="str">
        <f>""</f>
        <v/>
      </c>
      <c r="D1562" t="str">
        <f>"34GSULU00"</f>
        <v>34GSULU00</v>
      </c>
      <c r="E1562" s="1">
        <v>45468</v>
      </c>
      <c r="F1562" t="s">
        <v>8688</v>
      </c>
      <c r="G1562" t="e">
        <f>INDEX(#REF!,MATCH(P1562,#REF!,0),1)</f>
        <v>#REF!</v>
      </c>
      <c r="H1562" t="s">
        <v>8689</v>
      </c>
      <c r="J1562" t="s">
        <v>2490</v>
      </c>
      <c r="K1562" t="s">
        <v>251</v>
      </c>
      <c r="L1562" t="str">
        <f>"07860"</f>
        <v>07860</v>
      </c>
      <c r="M1562" t="s">
        <v>8690</v>
      </c>
      <c r="N1562">
        <v>3419308</v>
      </c>
      <c r="O1562" t="s">
        <v>7638</v>
      </c>
      <c r="P1562">
        <v>3581955</v>
      </c>
      <c r="Q1562" t="s">
        <v>7638</v>
      </c>
      <c r="R1562" t="s">
        <v>7384</v>
      </c>
      <c r="S1562" t="s">
        <v>7385</v>
      </c>
      <c r="T1562" t="s">
        <v>2214</v>
      </c>
      <c r="U1562" t="s">
        <v>2214</v>
      </c>
      <c r="V1562" t="s">
        <v>2215</v>
      </c>
      <c r="AF1562" t="s">
        <v>7552</v>
      </c>
    </row>
    <row r="1563" spans="1:33" x14ac:dyDescent="0.3">
      <c r="A1563">
        <v>32633</v>
      </c>
      <c r="B1563" t="s">
        <v>8691</v>
      </c>
      <c r="C1563" t="str">
        <f>""</f>
        <v/>
      </c>
      <c r="D1563" t="str">
        <f>"34DED7I00"</f>
        <v>34DED7I00</v>
      </c>
      <c r="E1563" s="1">
        <v>42917</v>
      </c>
      <c r="F1563" t="s">
        <v>8692</v>
      </c>
      <c r="G1563" t="e">
        <f>INDEX(#REF!,MATCH(P1563,#REF!,0),1)</f>
        <v>#REF!</v>
      </c>
      <c r="H1563" t="s">
        <v>8693</v>
      </c>
      <c r="J1563" t="s">
        <v>8694</v>
      </c>
      <c r="K1563" t="s">
        <v>251</v>
      </c>
      <c r="L1563" t="str">
        <f>"08005-2127"</f>
        <v>08005-2127</v>
      </c>
      <c r="M1563" t="s">
        <v>8695</v>
      </c>
      <c r="N1563">
        <v>35291</v>
      </c>
      <c r="O1563" t="s">
        <v>7924</v>
      </c>
      <c r="P1563">
        <v>35291</v>
      </c>
      <c r="Q1563" t="s">
        <v>7924</v>
      </c>
      <c r="R1563" t="s">
        <v>7442</v>
      </c>
      <c r="S1563" t="s">
        <v>7443</v>
      </c>
      <c r="T1563" t="s">
        <v>2214</v>
      </c>
      <c r="U1563" t="s">
        <v>2214</v>
      </c>
    </row>
    <row r="1564" spans="1:33" x14ac:dyDescent="0.3">
      <c r="A1564">
        <v>32636</v>
      </c>
      <c r="B1564" t="s">
        <v>8696</v>
      </c>
      <c r="C1564" t="str">
        <f>""</f>
        <v/>
      </c>
      <c r="D1564" t="str">
        <f>"220030700"</f>
        <v>220030700</v>
      </c>
      <c r="E1564" s="1">
        <v>42583</v>
      </c>
      <c r="F1564" t="s">
        <v>8697</v>
      </c>
      <c r="G1564" t="e">
        <f>INDEX(#REF!,MATCH(P1564,#REF!,0),1)</f>
        <v>#REF!</v>
      </c>
      <c r="H1564" t="s">
        <v>8698</v>
      </c>
      <c r="J1564" t="s">
        <v>8699</v>
      </c>
      <c r="K1564" t="s">
        <v>251</v>
      </c>
      <c r="L1564" t="str">
        <f>"07002-4654"</f>
        <v>07002-4654</v>
      </c>
      <c r="M1564" t="s">
        <v>8700</v>
      </c>
      <c r="N1564">
        <v>1096480</v>
      </c>
      <c r="O1564" t="s">
        <v>908</v>
      </c>
      <c r="P1564">
        <v>1096480</v>
      </c>
      <c r="Q1564" t="s">
        <v>908</v>
      </c>
      <c r="R1564" t="s">
        <v>909</v>
      </c>
      <c r="S1564" t="s">
        <v>910</v>
      </c>
      <c r="T1564" t="s">
        <v>44</v>
      </c>
      <c r="U1564" t="s">
        <v>45</v>
      </c>
      <c r="AD1564" t="s">
        <v>94</v>
      </c>
      <c r="AE1564" t="s">
        <v>564</v>
      </c>
    </row>
    <row r="1565" spans="1:33" x14ac:dyDescent="0.3">
      <c r="A1565">
        <v>32638</v>
      </c>
      <c r="B1565" t="s">
        <v>8701</v>
      </c>
      <c r="C1565" t="str">
        <f>"1100005914292"</f>
        <v>1100005914292</v>
      </c>
      <c r="D1565" t="str">
        <f>"34AZVS300"</f>
        <v>34AZVS300</v>
      </c>
      <c r="E1565" s="1">
        <v>45489</v>
      </c>
      <c r="F1565" t="s">
        <v>8702</v>
      </c>
      <c r="G1565" t="e">
        <f>INDEX(#REF!,MATCH(P1565,#REF!,0),1)</f>
        <v>#REF!</v>
      </c>
      <c r="H1565" t="s">
        <v>8703</v>
      </c>
      <c r="J1565" t="s">
        <v>5094</v>
      </c>
      <c r="K1565" t="s">
        <v>251</v>
      </c>
      <c r="L1565" t="str">
        <f>"07733"</f>
        <v>07733</v>
      </c>
      <c r="M1565" t="s">
        <v>8704</v>
      </c>
      <c r="N1565">
        <v>3419308</v>
      </c>
      <c r="O1565" t="s">
        <v>7638</v>
      </c>
      <c r="P1565">
        <v>3581955</v>
      </c>
      <c r="Q1565" t="s">
        <v>7638</v>
      </c>
      <c r="R1565" t="s">
        <v>7384</v>
      </c>
      <c r="S1565" t="s">
        <v>7385</v>
      </c>
      <c r="T1565" t="s">
        <v>2214</v>
      </c>
      <c r="U1565" t="s">
        <v>2214</v>
      </c>
      <c r="V1565" t="s">
        <v>2215</v>
      </c>
      <c r="AF1565" t="s">
        <v>7552</v>
      </c>
    </row>
    <row r="1566" spans="1:33" x14ac:dyDescent="0.3">
      <c r="A1566">
        <v>32639</v>
      </c>
      <c r="B1566" t="s">
        <v>8705</v>
      </c>
      <c r="C1566" t="str">
        <f>""</f>
        <v/>
      </c>
      <c r="D1566" t="str">
        <f>"232040B00"</f>
        <v>232040B00</v>
      </c>
      <c r="E1566" s="1">
        <v>42583</v>
      </c>
      <c r="F1566" t="s">
        <v>8706</v>
      </c>
      <c r="G1566" t="e">
        <f>INDEX(#REF!,MATCH(P1566,#REF!,0),1)</f>
        <v>#REF!</v>
      </c>
      <c r="H1566" t="s">
        <v>8707</v>
      </c>
      <c r="J1566" t="s">
        <v>786</v>
      </c>
      <c r="K1566" t="s">
        <v>65</v>
      </c>
      <c r="L1566">
        <v>19131</v>
      </c>
      <c r="M1566" t="s">
        <v>8708</v>
      </c>
      <c r="N1566">
        <v>767149</v>
      </c>
      <c r="O1566" t="s">
        <v>1953</v>
      </c>
      <c r="P1566">
        <v>964490</v>
      </c>
      <c r="Q1566" t="s">
        <v>7534</v>
      </c>
      <c r="R1566" t="s">
        <v>266</v>
      </c>
      <c r="S1566" t="s">
        <v>267</v>
      </c>
      <c r="T1566" t="s">
        <v>44</v>
      </c>
      <c r="U1566" t="s">
        <v>1823</v>
      </c>
      <c r="AA1566" t="s">
        <v>105</v>
      </c>
      <c r="AE1566" t="s">
        <v>72</v>
      </c>
      <c r="AG1566" t="s">
        <v>48</v>
      </c>
    </row>
    <row r="1567" spans="1:33" x14ac:dyDescent="0.3">
      <c r="A1567">
        <v>32642</v>
      </c>
      <c r="B1567" t="s">
        <v>8709</v>
      </c>
      <c r="C1567" t="str">
        <f>""</f>
        <v/>
      </c>
      <c r="D1567" t="str">
        <f>"340UGN400"</f>
        <v>340UGN400</v>
      </c>
      <c r="E1567" s="1">
        <v>42917</v>
      </c>
      <c r="F1567" t="s">
        <v>8710</v>
      </c>
      <c r="G1567" t="e">
        <f>INDEX(#REF!,MATCH(P1567,#REF!,0),1)</f>
        <v>#REF!</v>
      </c>
      <c r="H1567" t="s">
        <v>8711</v>
      </c>
      <c r="J1567" t="s">
        <v>8712</v>
      </c>
      <c r="K1567" t="s">
        <v>251</v>
      </c>
      <c r="L1567" t="str">
        <f>"07647"</f>
        <v>07647</v>
      </c>
      <c r="M1567" t="s">
        <v>8713</v>
      </c>
      <c r="N1567">
        <v>32642</v>
      </c>
      <c r="O1567" t="s">
        <v>8710</v>
      </c>
      <c r="P1567">
        <v>32642</v>
      </c>
      <c r="Q1567" t="s">
        <v>8710</v>
      </c>
      <c r="R1567" t="s">
        <v>7442</v>
      </c>
      <c r="S1567" t="s">
        <v>7443</v>
      </c>
      <c r="T1567" t="s">
        <v>2214</v>
      </c>
      <c r="U1567" t="s">
        <v>2214</v>
      </c>
    </row>
    <row r="1568" spans="1:33" x14ac:dyDescent="0.3">
      <c r="A1568">
        <v>32643</v>
      </c>
      <c r="B1568" t="s">
        <v>8714</v>
      </c>
      <c r="C1568" t="str">
        <f>"1100002163075"</f>
        <v>1100002163075</v>
      </c>
      <c r="D1568" t="str">
        <f>"220880K00"</f>
        <v>220880K00</v>
      </c>
      <c r="E1568" s="1">
        <v>42583</v>
      </c>
      <c r="F1568" t="s">
        <v>8715</v>
      </c>
      <c r="G1568" t="e">
        <f>INDEX(#REF!,MATCH(P1568,#REF!,0),1)</f>
        <v>#REF!</v>
      </c>
      <c r="H1568" t="s">
        <v>8716</v>
      </c>
      <c r="J1568" t="s">
        <v>8717</v>
      </c>
      <c r="K1568" t="s">
        <v>251</v>
      </c>
      <c r="L1568" t="str">
        <f>"07652"</f>
        <v>07652</v>
      </c>
      <c r="M1568" t="s">
        <v>8718</v>
      </c>
      <c r="N1568">
        <v>32643</v>
      </c>
      <c r="O1568" t="s">
        <v>8715</v>
      </c>
      <c r="P1568">
        <v>32643</v>
      </c>
      <c r="Q1568" t="s">
        <v>8715</v>
      </c>
      <c r="R1568" t="s">
        <v>254</v>
      </c>
      <c r="S1568" t="s">
        <v>255</v>
      </c>
      <c r="T1568" t="s">
        <v>44</v>
      </c>
      <c r="U1568" t="s">
        <v>45</v>
      </c>
    </row>
    <row r="1569" spans="1:33" x14ac:dyDescent="0.3">
      <c r="A1569">
        <v>32659</v>
      </c>
      <c r="B1569" t="s">
        <v>8719</v>
      </c>
      <c r="C1569" t="str">
        <f>""</f>
        <v/>
      </c>
      <c r="D1569" t="str">
        <f>"B1YAVXC00"</f>
        <v>B1YAVXC00</v>
      </c>
      <c r="E1569" s="1">
        <v>42614</v>
      </c>
      <c r="F1569" t="s">
        <v>8720</v>
      </c>
      <c r="G1569" t="e">
        <f>INDEX(#REF!,MATCH(P1569,#REF!,0),1)</f>
        <v>#REF!</v>
      </c>
      <c r="H1569" t="s">
        <v>8721</v>
      </c>
      <c r="J1569" t="s">
        <v>8722</v>
      </c>
      <c r="K1569" t="s">
        <v>251</v>
      </c>
      <c r="L1569" t="str">
        <f>"07756"</f>
        <v>07756</v>
      </c>
      <c r="M1569" t="s">
        <v>8723</v>
      </c>
      <c r="N1569">
        <v>32955</v>
      </c>
      <c r="O1569" t="s">
        <v>8724</v>
      </c>
      <c r="P1569">
        <v>32955</v>
      </c>
      <c r="Q1569" t="s">
        <v>8724</v>
      </c>
      <c r="R1569" t="s">
        <v>5064</v>
      </c>
      <c r="S1569" t="s">
        <v>5065</v>
      </c>
      <c r="T1569" t="s">
        <v>2214</v>
      </c>
      <c r="U1569" t="s">
        <v>2214</v>
      </c>
      <c r="V1569" t="s">
        <v>2215</v>
      </c>
    </row>
    <row r="1570" spans="1:33" x14ac:dyDescent="0.3">
      <c r="A1570">
        <v>32668</v>
      </c>
      <c r="B1570" t="s">
        <v>8725</v>
      </c>
      <c r="C1570" t="str">
        <f>"1100004988942"</f>
        <v>1100004988942</v>
      </c>
      <c r="D1570" t="str">
        <f>"230330B00"</f>
        <v>230330B00</v>
      </c>
      <c r="E1570" s="1">
        <v>42156</v>
      </c>
      <c r="F1570" t="s">
        <v>8726</v>
      </c>
      <c r="G1570" t="e">
        <f>INDEX(#REF!,MATCH(P1570,#REF!,0),1)</f>
        <v>#REF!</v>
      </c>
      <c r="H1570" t="s">
        <v>8727</v>
      </c>
      <c r="J1570" t="s">
        <v>8728</v>
      </c>
      <c r="K1570" t="s">
        <v>65</v>
      </c>
      <c r="L1570">
        <v>19010</v>
      </c>
      <c r="M1570" t="s">
        <v>8729</v>
      </c>
      <c r="N1570">
        <v>32845</v>
      </c>
      <c r="O1570" t="s">
        <v>7691</v>
      </c>
      <c r="P1570">
        <v>32845</v>
      </c>
      <c r="Q1570" t="s">
        <v>7691</v>
      </c>
      <c r="R1570" t="s">
        <v>1753</v>
      </c>
      <c r="S1570" t="s">
        <v>1754</v>
      </c>
      <c r="T1570" t="s">
        <v>44</v>
      </c>
      <c r="U1570" t="s">
        <v>45</v>
      </c>
      <c r="AA1570" t="s">
        <v>119</v>
      </c>
      <c r="AE1570" t="s">
        <v>564</v>
      </c>
      <c r="AG1570" t="s">
        <v>48</v>
      </c>
    </row>
    <row r="1571" spans="1:33" x14ac:dyDescent="0.3">
      <c r="A1571">
        <v>32669</v>
      </c>
      <c r="B1571" t="s">
        <v>8730</v>
      </c>
      <c r="C1571" t="str">
        <f>"1100003978487"</f>
        <v>1100003978487</v>
      </c>
      <c r="D1571" t="str">
        <f>"231320B00"</f>
        <v>231320B00</v>
      </c>
      <c r="E1571" s="1">
        <v>42156</v>
      </c>
      <c r="F1571" t="s">
        <v>8731</v>
      </c>
      <c r="G1571" t="e">
        <f>INDEX(#REF!,MATCH(P1571,#REF!,0),1)</f>
        <v>#REF!</v>
      </c>
      <c r="H1571" t="s">
        <v>8732</v>
      </c>
      <c r="J1571" t="s">
        <v>3422</v>
      </c>
      <c r="K1571" t="s">
        <v>65</v>
      </c>
      <c r="L1571">
        <v>19355</v>
      </c>
      <c r="M1571" t="s">
        <v>8733</v>
      </c>
      <c r="N1571">
        <v>32845</v>
      </c>
      <c r="O1571" t="s">
        <v>7691</v>
      </c>
      <c r="P1571">
        <v>32845</v>
      </c>
      <c r="Q1571" t="s">
        <v>7691</v>
      </c>
      <c r="R1571" t="s">
        <v>1753</v>
      </c>
      <c r="S1571" t="s">
        <v>1754</v>
      </c>
      <c r="T1571" t="s">
        <v>44</v>
      </c>
      <c r="U1571" t="s">
        <v>717</v>
      </c>
      <c r="AA1571" t="s">
        <v>119</v>
      </c>
      <c r="AE1571" t="s">
        <v>564</v>
      </c>
      <c r="AG1571" t="s">
        <v>48</v>
      </c>
    </row>
    <row r="1572" spans="1:33" x14ac:dyDescent="0.3">
      <c r="A1572">
        <v>32671</v>
      </c>
      <c r="B1572" t="s">
        <v>8734</v>
      </c>
      <c r="C1572" t="str">
        <f>"1100003094651"</f>
        <v>1100003094651</v>
      </c>
      <c r="D1572" t="str">
        <f>"232580K00"</f>
        <v>232580K00</v>
      </c>
      <c r="E1572" s="1">
        <v>44409</v>
      </c>
      <c r="F1572" t="s">
        <v>8735</v>
      </c>
      <c r="G1572" t="e">
        <f>INDEX(#REF!,MATCH(P1572,#REF!,0),1)</f>
        <v>#REF!</v>
      </c>
      <c r="H1572" t="s">
        <v>8736</v>
      </c>
      <c r="J1572" t="s">
        <v>8737</v>
      </c>
      <c r="K1572" t="s">
        <v>65</v>
      </c>
      <c r="L1572" t="s">
        <v>8738</v>
      </c>
      <c r="M1572" t="s">
        <v>8739</v>
      </c>
      <c r="N1572">
        <v>2755973</v>
      </c>
      <c r="O1572" t="s">
        <v>8735</v>
      </c>
      <c r="P1572">
        <v>2755973</v>
      </c>
      <c r="Q1572" t="s">
        <v>8735</v>
      </c>
      <c r="R1572" t="s">
        <v>940</v>
      </c>
      <c r="S1572" t="s">
        <v>941</v>
      </c>
      <c r="T1572" t="s">
        <v>44</v>
      </c>
      <c r="U1572" t="s">
        <v>45</v>
      </c>
    </row>
    <row r="1573" spans="1:33" x14ac:dyDescent="0.3">
      <c r="A1573">
        <v>32672</v>
      </c>
      <c r="B1573" t="s">
        <v>8740</v>
      </c>
      <c r="C1573" t="str">
        <f>""</f>
        <v/>
      </c>
      <c r="D1573" t="str">
        <f>"220160B00"</f>
        <v>220160B00</v>
      </c>
      <c r="E1573" s="1">
        <v>41275</v>
      </c>
      <c r="F1573" t="s">
        <v>8741</v>
      </c>
      <c r="G1573" t="e">
        <f>INDEX(#REF!,MATCH(P1573,#REF!,0),1)</f>
        <v>#REF!</v>
      </c>
      <c r="H1573" t="s">
        <v>8742</v>
      </c>
      <c r="J1573" t="s">
        <v>7458</v>
      </c>
      <c r="K1573" t="s">
        <v>251</v>
      </c>
      <c r="L1573" t="str">
        <f>"08210"</f>
        <v>08210</v>
      </c>
      <c r="M1573" t="s">
        <v>8743</v>
      </c>
      <c r="N1573">
        <v>2623310</v>
      </c>
      <c r="O1573" t="s">
        <v>6385</v>
      </c>
      <c r="P1573">
        <v>1061929</v>
      </c>
      <c r="Q1573" t="s">
        <v>8744</v>
      </c>
      <c r="R1573" t="s">
        <v>909</v>
      </c>
      <c r="S1573" t="s">
        <v>910</v>
      </c>
      <c r="T1573" t="s">
        <v>44</v>
      </c>
      <c r="U1573" t="s">
        <v>45</v>
      </c>
      <c r="AA1573" t="s">
        <v>119</v>
      </c>
      <c r="AE1573" t="s">
        <v>120</v>
      </c>
      <c r="AG1573" t="s">
        <v>48</v>
      </c>
    </row>
    <row r="1574" spans="1:33" x14ac:dyDescent="0.3">
      <c r="A1574">
        <v>32674</v>
      </c>
      <c r="B1574" t="s">
        <v>8745</v>
      </c>
      <c r="C1574" t="str">
        <f>""</f>
        <v/>
      </c>
      <c r="D1574" t="str">
        <f>""</f>
        <v/>
      </c>
      <c r="E1574" s="1">
        <v>45468</v>
      </c>
      <c r="F1574" t="s">
        <v>8746</v>
      </c>
      <c r="G1574" t="e">
        <f>INDEX(#REF!,MATCH(P1574,#REF!,0),1)</f>
        <v>#REF!</v>
      </c>
      <c r="H1574" t="s">
        <v>8747</v>
      </c>
      <c r="J1574" t="s">
        <v>1280</v>
      </c>
      <c r="K1574" t="s">
        <v>251</v>
      </c>
      <c r="L1574" t="str">
        <f>"08016"</f>
        <v>08016</v>
      </c>
      <c r="M1574" t="s">
        <v>8748</v>
      </c>
      <c r="N1574">
        <v>3419308</v>
      </c>
      <c r="O1574" t="s">
        <v>7638</v>
      </c>
      <c r="P1574">
        <v>3581955</v>
      </c>
      <c r="Q1574" t="s">
        <v>7638</v>
      </c>
      <c r="R1574" t="s">
        <v>7384</v>
      </c>
      <c r="S1574" t="s">
        <v>7385</v>
      </c>
      <c r="T1574" t="s">
        <v>2214</v>
      </c>
      <c r="U1574" t="s">
        <v>2214</v>
      </c>
      <c r="V1574" t="s">
        <v>2215</v>
      </c>
      <c r="AF1574" t="s">
        <v>7552</v>
      </c>
    </row>
    <row r="1575" spans="1:33" x14ac:dyDescent="0.3">
      <c r="A1575">
        <v>32675</v>
      </c>
      <c r="B1575" t="s">
        <v>8749</v>
      </c>
      <c r="C1575" t="str">
        <f>""</f>
        <v/>
      </c>
      <c r="D1575" t="str">
        <f>"59TYFTD00"</f>
        <v>59TYFTD00</v>
      </c>
      <c r="E1575" s="1">
        <v>42583</v>
      </c>
      <c r="F1575" t="s">
        <v>8750</v>
      </c>
      <c r="G1575" t="e">
        <f>INDEX(#REF!,MATCH(P1575,#REF!,0),1)</f>
        <v>#REF!</v>
      </c>
      <c r="H1575" t="s">
        <v>8751</v>
      </c>
      <c r="J1575" t="s">
        <v>8752</v>
      </c>
      <c r="K1575" t="s">
        <v>251</v>
      </c>
      <c r="L1575" t="str">
        <f>"08064"</f>
        <v>08064</v>
      </c>
      <c r="M1575" t="s">
        <v>8753</v>
      </c>
      <c r="N1575">
        <v>32675</v>
      </c>
      <c r="O1575" t="s">
        <v>8750</v>
      </c>
      <c r="P1575">
        <v>32675</v>
      </c>
      <c r="Q1575" t="s">
        <v>8750</v>
      </c>
      <c r="R1575" t="s">
        <v>245</v>
      </c>
      <c r="S1575" t="s">
        <v>246</v>
      </c>
      <c r="T1575" t="s">
        <v>44</v>
      </c>
      <c r="U1575" t="s">
        <v>45</v>
      </c>
    </row>
    <row r="1576" spans="1:33" x14ac:dyDescent="0.3">
      <c r="A1576">
        <v>32678</v>
      </c>
      <c r="B1576" t="s">
        <v>8754</v>
      </c>
      <c r="C1576" t="str">
        <f>""</f>
        <v/>
      </c>
      <c r="D1576" t="str">
        <f>"1EJSJMV00"</f>
        <v>1EJSJMV00</v>
      </c>
      <c r="E1576" s="1">
        <v>42583</v>
      </c>
      <c r="F1576" t="s">
        <v>8755</v>
      </c>
      <c r="G1576" t="e">
        <f>INDEX(#REF!,MATCH(P1576,#REF!,0),1)</f>
        <v>#REF!</v>
      </c>
      <c r="H1576" t="s">
        <v>8756</v>
      </c>
      <c r="J1576" t="s">
        <v>8757</v>
      </c>
      <c r="K1576" t="s">
        <v>251</v>
      </c>
      <c r="L1576" t="str">
        <f>"08012"</f>
        <v>08012</v>
      </c>
      <c r="M1576" t="s">
        <v>8758</v>
      </c>
      <c r="N1576">
        <v>32678</v>
      </c>
      <c r="O1576" t="s">
        <v>8755</v>
      </c>
      <c r="P1576">
        <v>32678</v>
      </c>
      <c r="Q1576" t="s">
        <v>8755</v>
      </c>
      <c r="R1576" t="s">
        <v>245</v>
      </c>
      <c r="S1576" t="s">
        <v>246</v>
      </c>
      <c r="T1576" t="s">
        <v>44</v>
      </c>
      <c r="U1576" t="s">
        <v>1823</v>
      </c>
    </row>
    <row r="1577" spans="1:33" x14ac:dyDescent="0.3">
      <c r="A1577">
        <v>32679</v>
      </c>
      <c r="B1577" t="s">
        <v>8759</v>
      </c>
      <c r="C1577" t="str">
        <f>""</f>
        <v/>
      </c>
      <c r="D1577" t="str">
        <f>"347B44X00"</f>
        <v>347B44X00</v>
      </c>
      <c r="E1577" s="1">
        <v>42917</v>
      </c>
      <c r="F1577" t="s">
        <v>8760</v>
      </c>
      <c r="G1577" t="e">
        <f>INDEX(#REF!,MATCH(P1577,#REF!,0),1)</f>
        <v>#REF!</v>
      </c>
      <c r="H1577" t="s">
        <v>8761</v>
      </c>
      <c r="J1577" t="s">
        <v>5175</v>
      </c>
      <c r="K1577" t="s">
        <v>251</v>
      </c>
      <c r="L1577" t="str">
        <f>"08618"</f>
        <v>08618</v>
      </c>
      <c r="M1577" t="s">
        <v>8762</v>
      </c>
      <c r="N1577">
        <v>32679</v>
      </c>
      <c r="O1577" t="s">
        <v>8760</v>
      </c>
      <c r="P1577">
        <v>32679</v>
      </c>
      <c r="Q1577" t="s">
        <v>8760</v>
      </c>
      <c r="R1577" t="s">
        <v>7442</v>
      </c>
      <c r="S1577" t="s">
        <v>7443</v>
      </c>
      <c r="T1577" t="s">
        <v>2214</v>
      </c>
      <c r="U1577" t="s">
        <v>2214</v>
      </c>
    </row>
    <row r="1578" spans="1:33" x14ac:dyDescent="0.3">
      <c r="A1578">
        <v>32680</v>
      </c>
      <c r="B1578" t="s">
        <v>8763</v>
      </c>
      <c r="C1578" t="str">
        <f>""</f>
        <v/>
      </c>
      <c r="D1578" t="str">
        <f>"527HBBH00"</f>
        <v>527HBBH00</v>
      </c>
      <c r="E1578" s="1">
        <v>36281</v>
      </c>
      <c r="F1578" t="s">
        <v>8764</v>
      </c>
      <c r="G1578" t="e">
        <f>INDEX(#REF!,MATCH(P1578,#REF!,0),1)</f>
        <v>#REF!</v>
      </c>
      <c r="H1578" t="s">
        <v>8765</v>
      </c>
      <c r="I1578" t="s">
        <v>8766</v>
      </c>
      <c r="J1578" t="s">
        <v>52</v>
      </c>
      <c r="K1578" t="s">
        <v>65</v>
      </c>
      <c r="L1578" t="s">
        <v>8767</v>
      </c>
      <c r="M1578" t="s">
        <v>8768</v>
      </c>
      <c r="N1578">
        <v>99061</v>
      </c>
      <c r="O1578" t="s">
        <v>8769</v>
      </c>
      <c r="P1578">
        <v>99061</v>
      </c>
      <c r="Q1578" t="s">
        <v>8769</v>
      </c>
      <c r="R1578" t="s">
        <v>6187</v>
      </c>
      <c r="S1578" t="s">
        <v>6188</v>
      </c>
      <c r="T1578" t="s">
        <v>2277</v>
      </c>
      <c r="U1578" t="s">
        <v>5622</v>
      </c>
      <c r="V1578" t="s">
        <v>2215</v>
      </c>
    </row>
    <row r="1579" spans="1:33" x14ac:dyDescent="0.3">
      <c r="A1579">
        <v>32683</v>
      </c>
      <c r="B1579" t="s">
        <v>8770</v>
      </c>
      <c r="C1579" t="str">
        <f>""</f>
        <v/>
      </c>
      <c r="D1579" t="str">
        <f>"220040800"</f>
        <v>220040800</v>
      </c>
      <c r="E1579" s="1">
        <v>42583</v>
      </c>
      <c r="F1579" t="s">
        <v>8771</v>
      </c>
      <c r="G1579" t="e">
        <f>INDEX(#REF!,MATCH(P1579,#REF!,0),1)</f>
        <v>#REF!</v>
      </c>
      <c r="H1579" t="s">
        <v>8772</v>
      </c>
      <c r="J1579" t="s">
        <v>8773</v>
      </c>
      <c r="K1579" t="s">
        <v>251</v>
      </c>
      <c r="L1579" t="str">
        <f>"08502"</f>
        <v>08502</v>
      </c>
      <c r="M1579" t="s">
        <v>8774</v>
      </c>
      <c r="N1579">
        <v>35683</v>
      </c>
      <c r="O1579" t="s">
        <v>931</v>
      </c>
      <c r="P1579">
        <v>35683</v>
      </c>
      <c r="Q1579" t="s">
        <v>931</v>
      </c>
      <c r="R1579" t="s">
        <v>254</v>
      </c>
      <c r="S1579" t="s">
        <v>255</v>
      </c>
      <c r="T1579" t="s">
        <v>44</v>
      </c>
      <c r="U1579" t="s">
        <v>1823</v>
      </c>
    </row>
    <row r="1580" spans="1:33" x14ac:dyDescent="0.3">
      <c r="A1580">
        <v>32686</v>
      </c>
      <c r="B1580" t="s">
        <v>8775</v>
      </c>
      <c r="C1580" t="str">
        <f>"1100005841529"</f>
        <v>1100005841529</v>
      </c>
      <c r="D1580" t="str">
        <f>"36MRC5300"</f>
        <v>36MRC5300</v>
      </c>
      <c r="E1580" s="1">
        <v>42583</v>
      </c>
      <c r="F1580" t="s">
        <v>4367</v>
      </c>
      <c r="G1580" t="e">
        <f>INDEX(#REF!,MATCH(P1580,#REF!,0),1)</f>
        <v>#REF!</v>
      </c>
      <c r="H1580" t="s">
        <v>8776</v>
      </c>
      <c r="J1580" t="s">
        <v>4365</v>
      </c>
      <c r="K1580" t="s">
        <v>251</v>
      </c>
      <c r="L1580" t="str">
        <f>"08103"</f>
        <v>08103</v>
      </c>
      <c r="M1580" t="s">
        <v>8777</v>
      </c>
      <c r="N1580">
        <v>32686</v>
      </c>
      <c r="O1580" t="s">
        <v>4367</v>
      </c>
      <c r="P1580">
        <v>32686</v>
      </c>
      <c r="Q1580" t="s">
        <v>4367</v>
      </c>
      <c r="R1580" t="s">
        <v>254</v>
      </c>
      <c r="S1580" t="s">
        <v>255</v>
      </c>
      <c r="T1580" t="s">
        <v>44</v>
      </c>
      <c r="U1580" t="s">
        <v>45</v>
      </c>
    </row>
    <row r="1581" spans="1:33" x14ac:dyDescent="0.3">
      <c r="A1581">
        <v>32689</v>
      </c>
      <c r="B1581" t="s">
        <v>8778</v>
      </c>
      <c r="C1581" t="str">
        <f>""</f>
        <v/>
      </c>
      <c r="D1581" t="str">
        <f>"429ULLF00"</f>
        <v>429ULLF00</v>
      </c>
      <c r="E1581" s="1">
        <v>35339</v>
      </c>
      <c r="F1581" t="s">
        <v>8779</v>
      </c>
      <c r="G1581" t="e">
        <f>INDEX(#REF!,MATCH(P1581,#REF!,0),1)</f>
        <v>#REF!</v>
      </c>
      <c r="H1581" t="s">
        <v>8780</v>
      </c>
      <c r="J1581" t="s">
        <v>52</v>
      </c>
      <c r="K1581" t="s">
        <v>65</v>
      </c>
      <c r="L1581">
        <v>17042</v>
      </c>
      <c r="M1581" t="s">
        <v>8781</v>
      </c>
      <c r="N1581">
        <v>32689</v>
      </c>
      <c r="O1581" t="s">
        <v>8779</v>
      </c>
      <c r="P1581">
        <v>32689</v>
      </c>
      <c r="Q1581" t="s">
        <v>8779</v>
      </c>
      <c r="R1581" t="s">
        <v>6187</v>
      </c>
      <c r="S1581" t="s">
        <v>6188</v>
      </c>
      <c r="T1581" t="s">
        <v>2214</v>
      </c>
      <c r="U1581" t="s">
        <v>2214</v>
      </c>
      <c r="V1581" t="s">
        <v>2215</v>
      </c>
      <c r="AD1581" t="s">
        <v>59</v>
      </c>
    </row>
    <row r="1582" spans="1:33" x14ac:dyDescent="0.3">
      <c r="A1582">
        <v>32692</v>
      </c>
      <c r="B1582" t="s">
        <v>8782</v>
      </c>
      <c r="C1582" t="str">
        <f>"1100005225350"</f>
        <v>1100005225350</v>
      </c>
      <c r="D1582" t="str">
        <f>""</f>
        <v/>
      </c>
      <c r="E1582" s="1">
        <v>40437</v>
      </c>
      <c r="F1582" t="s">
        <v>8783</v>
      </c>
      <c r="G1582" t="e">
        <f>INDEX(#REF!,MATCH(P1582,#REF!,0),1)</f>
        <v>#REF!</v>
      </c>
      <c r="H1582" t="s">
        <v>8784</v>
      </c>
      <c r="J1582" t="s">
        <v>8785</v>
      </c>
      <c r="K1582" t="s">
        <v>65</v>
      </c>
      <c r="L1582" t="s">
        <v>8786</v>
      </c>
      <c r="M1582" t="s">
        <v>8787</v>
      </c>
      <c r="N1582">
        <v>1057040</v>
      </c>
      <c r="O1582" t="s">
        <v>8788</v>
      </c>
      <c r="P1582">
        <v>1057040</v>
      </c>
      <c r="Q1582" t="s">
        <v>8788</v>
      </c>
      <c r="R1582" t="s">
        <v>4587</v>
      </c>
      <c r="S1582" t="s">
        <v>4588</v>
      </c>
      <c r="T1582" t="s">
        <v>117</v>
      </c>
      <c r="U1582" t="s">
        <v>8789</v>
      </c>
      <c r="V1582" t="s">
        <v>2215</v>
      </c>
      <c r="AF1582" t="s">
        <v>8790</v>
      </c>
    </row>
    <row r="1583" spans="1:33" x14ac:dyDescent="0.3">
      <c r="A1583">
        <v>32693</v>
      </c>
      <c r="B1583" t="s">
        <v>8791</v>
      </c>
      <c r="C1583" t="str">
        <f>"1100003475856"</f>
        <v>1100003475856</v>
      </c>
      <c r="D1583" t="str">
        <f>"0HXDMJW00"</f>
        <v>0HXDMJW00</v>
      </c>
      <c r="E1583" s="1">
        <v>42583</v>
      </c>
      <c r="F1583" t="s">
        <v>8674</v>
      </c>
      <c r="G1583" t="e">
        <f>INDEX(#REF!,MATCH(P1583,#REF!,0),1)</f>
        <v>#REF!</v>
      </c>
      <c r="H1583" t="s">
        <v>8792</v>
      </c>
      <c r="J1583" t="s">
        <v>8672</v>
      </c>
      <c r="K1583" t="s">
        <v>251</v>
      </c>
      <c r="L1583" t="str">
        <f>"07728"</f>
        <v>07728</v>
      </c>
      <c r="M1583" t="s">
        <v>8793</v>
      </c>
      <c r="N1583">
        <v>32693</v>
      </c>
      <c r="O1583" t="s">
        <v>8674</v>
      </c>
      <c r="P1583">
        <v>32693</v>
      </c>
      <c r="Q1583" t="s">
        <v>8674</v>
      </c>
      <c r="R1583" t="s">
        <v>254</v>
      </c>
      <c r="S1583" t="s">
        <v>255</v>
      </c>
      <c r="T1583" t="s">
        <v>44</v>
      </c>
      <c r="U1583" t="s">
        <v>45</v>
      </c>
    </row>
    <row r="1584" spans="1:33" x14ac:dyDescent="0.3">
      <c r="A1584">
        <v>32696</v>
      </c>
      <c r="B1584" t="s">
        <v>8794</v>
      </c>
      <c r="C1584" t="str">
        <f>"1100005465497"</f>
        <v>1100005465497</v>
      </c>
      <c r="D1584" t="str">
        <f>"230580I00"</f>
        <v>230580I00</v>
      </c>
      <c r="E1584" s="1">
        <v>42583</v>
      </c>
      <c r="F1584" t="s">
        <v>8795</v>
      </c>
      <c r="G1584" t="e">
        <f>INDEX(#REF!,MATCH(P1584,#REF!,0),1)</f>
        <v>#REF!</v>
      </c>
      <c r="H1584" t="s">
        <v>8796</v>
      </c>
      <c r="J1584" t="s">
        <v>8797</v>
      </c>
      <c r="K1584" t="s">
        <v>65</v>
      </c>
      <c r="L1584" t="s">
        <v>8798</v>
      </c>
      <c r="M1584" t="s">
        <v>8799</v>
      </c>
      <c r="N1584">
        <v>32696</v>
      </c>
      <c r="O1584" t="s">
        <v>8795</v>
      </c>
      <c r="P1584">
        <v>32696</v>
      </c>
      <c r="Q1584" t="s">
        <v>8795</v>
      </c>
      <c r="R1584" t="s">
        <v>245</v>
      </c>
      <c r="S1584" t="s">
        <v>246</v>
      </c>
      <c r="T1584" t="s">
        <v>44</v>
      </c>
      <c r="U1584" t="s">
        <v>45</v>
      </c>
    </row>
    <row r="1585" spans="1:33" x14ac:dyDescent="0.3">
      <c r="A1585">
        <v>32713</v>
      </c>
      <c r="B1585" t="s">
        <v>8800</v>
      </c>
      <c r="C1585" t="str">
        <f>""</f>
        <v/>
      </c>
      <c r="D1585" t="str">
        <f>"625IL7N00"</f>
        <v>625IL7N00</v>
      </c>
      <c r="E1585" s="1">
        <v>44348</v>
      </c>
      <c r="F1585" t="s">
        <v>8801</v>
      </c>
      <c r="G1585" t="e">
        <f>INDEX(#REF!,MATCH(P1585,#REF!,0),1)</f>
        <v>#REF!</v>
      </c>
      <c r="H1585" t="s">
        <v>8802</v>
      </c>
      <c r="J1585" t="s">
        <v>786</v>
      </c>
      <c r="K1585" t="s">
        <v>65</v>
      </c>
      <c r="L1585">
        <v>19104</v>
      </c>
      <c r="M1585" t="s">
        <v>8803</v>
      </c>
      <c r="N1585">
        <v>32713</v>
      </c>
      <c r="O1585" t="s">
        <v>8801</v>
      </c>
      <c r="P1585">
        <v>32713</v>
      </c>
      <c r="Q1585" t="s">
        <v>8801</v>
      </c>
      <c r="R1585" t="s">
        <v>6187</v>
      </c>
      <c r="S1585" t="s">
        <v>6188</v>
      </c>
      <c r="T1585" t="s">
        <v>44</v>
      </c>
      <c r="U1585" t="s">
        <v>717</v>
      </c>
      <c r="V1585" t="s">
        <v>2215</v>
      </c>
    </row>
    <row r="1586" spans="1:33" x14ac:dyDescent="0.3">
      <c r="A1586">
        <v>32714</v>
      </c>
      <c r="B1586" t="s">
        <v>8804</v>
      </c>
      <c r="C1586" t="str">
        <f>""</f>
        <v/>
      </c>
      <c r="D1586" t="str">
        <f>"220710CF0"</f>
        <v>220710CF0</v>
      </c>
      <c r="E1586" s="1">
        <v>42583</v>
      </c>
      <c r="F1586" t="s">
        <v>8805</v>
      </c>
      <c r="G1586" t="e">
        <f>INDEX(#REF!,MATCH(P1586,#REF!,0),1)</f>
        <v>#REF!</v>
      </c>
      <c r="H1586" t="s">
        <v>8806</v>
      </c>
      <c r="J1586" t="s">
        <v>8807</v>
      </c>
      <c r="K1586" t="s">
        <v>251</v>
      </c>
      <c r="L1586" t="str">
        <f>"07092"</f>
        <v>07092</v>
      </c>
      <c r="M1586" t="s">
        <v>8808</v>
      </c>
      <c r="N1586">
        <v>3209841</v>
      </c>
      <c r="O1586" t="s">
        <v>410</v>
      </c>
      <c r="P1586">
        <v>3209841</v>
      </c>
      <c r="Q1586" t="s">
        <v>410</v>
      </c>
      <c r="R1586" t="s">
        <v>411</v>
      </c>
      <c r="S1586" t="s">
        <v>412</v>
      </c>
      <c r="T1586" t="s">
        <v>44</v>
      </c>
      <c r="U1586" t="s">
        <v>288</v>
      </c>
      <c r="Y1586" t="s">
        <v>46</v>
      </c>
      <c r="Z1586" s="1">
        <v>45170</v>
      </c>
      <c r="AE1586" t="s">
        <v>47</v>
      </c>
      <c r="AG1586" t="s">
        <v>48</v>
      </c>
    </row>
    <row r="1587" spans="1:33" x14ac:dyDescent="0.3">
      <c r="A1587">
        <v>32720</v>
      </c>
      <c r="B1587" t="s">
        <v>8809</v>
      </c>
      <c r="C1587" t="str">
        <f>""</f>
        <v/>
      </c>
      <c r="D1587" t="str">
        <f>"221410A00"</f>
        <v>221410A00</v>
      </c>
      <c r="E1587" s="1">
        <v>42614</v>
      </c>
      <c r="F1587" t="s">
        <v>7818</v>
      </c>
      <c r="G1587" t="e">
        <f>INDEX(#REF!,MATCH(P1587,#REF!,0),1)</f>
        <v>#REF!</v>
      </c>
      <c r="H1587" t="s">
        <v>7815</v>
      </c>
      <c r="J1587" t="s">
        <v>7816</v>
      </c>
      <c r="K1587" t="s">
        <v>251</v>
      </c>
      <c r="L1587" t="str">
        <f>"07481"</f>
        <v>07481</v>
      </c>
      <c r="M1587" t="s">
        <v>7817</v>
      </c>
      <c r="N1587">
        <v>32720</v>
      </c>
      <c r="O1587" t="s">
        <v>7818</v>
      </c>
      <c r="P1587">
        <v>32720</v>
      </c>
      <c r="Q1587" t="s">
        <v>7818</v>
      </c>
      <c r="R1587" t="s">
        <v>6187</v>
      </c>
      <c r="S1587" t="s">
        <v>6188</v>
      </c>
      <c r="T1587" t="s">
        <v>2214</v>
      </c>
      <c r="U1587" t="s">
        <v>2214</v>
      </c>
      <c r="V1587" t="s">
        <v>2215</v>
      </c>
    </row>
    <row r="1588" spans="1:33" x14ac:dyDescent="0.3">
      <c r="A1588">
        <v>32726</v>
      </c>
      <c r="B1588" t="s">
        <v>8810</v>
      </c>
      <c r="C1588" t="str">
        <f>""</f>
        <v/>
      </c>
      <c r="D1588" t="str">
        <f>"3429X2H00"</f>
        <v>3429X2H00</v>
      </c>
      <c r="E1588" s="1">
        <v>42614</v>
      </c>
      <c r="F1588" t="s">
        <v>8811</v>
      </c>
      <c r="G1588" t="e">
        <f>INDEX(#REF!,MATCH(P1588,#REF!,0),1)</f>
        <v>#REF!</v>
      </c>
      <c r="H1588" t="s">
        <v>8812</v>
      </c>
      <c r="J1588" t="s">
        <v>8813</v>
      </c>
      <c r="K1588" t="s">
        <v>251</v>
      </c>
      <c r="L1588" t="str">
        <f>"08108"</f>
        <v>08108</v>
      </c>
      <c r="M1588" t="s">
        <v>8814</v>
      </c>
      <c r="N1588">
        <v>32955</v>
      </c>
      <c r="O1588" t="s">
        <v>8724</v>
      </c>
      <c r="P1588">
        <v>32955</v>
      </c>
      <c r="Q1588" t="s">
        <v>8724</v>
      </c>
      <c r="R1588" t="s">
        <v>5064</v>
      </c>
      <c r="S1588" t="s">
        <v>5065</v>
      </c>
      <c r="T1588" t="s">
        <v>2214</v>
      </c>
      <c r="U1588" t="s">
        <v>2214</v>
      </c>
      <c r="V1588" t="s">
        <v>2215</v>
      </c>
      <c r="AD1588" t="s">
        <v>59</v>
      </c>
    </row>
    <row r="1589" spans="1:33" x14ac:dyDescent="0.3">
      <c r="A1589">
        <v>32728</v>
      </c>
      <c r="B1589" t="s">
        <v>8815</v>
      </c>
      <c r="C1589" t="str">
        <f>""</f>
        <v/>
      </c>
      <c r="D1589" t="str">
        <f>"220770I00"</f>
        <v>220770I00</v>
      </c>
      <c r="E1589" s="1">
        <v>42583</v>
      </c>
      <c r="F1589" t="s">
        <v>8816</v>
      </c>
      <c r="G1589" t="e">
        <f>INDEX(#REF!,MATCH(P1589,#REF!,0),1)</f>
        <v>#REF!</v>
      </c>
      <c r="H1589" t="s">
        <v>8817</v>
      </c>
      <c r="J1589" t="s">
        <v>4792</v>
      </c>
      <c r="K1589" t="s">
        <v>251</v>
      </c>
      <c r="L1589" t="str">
        <f>"07107"</f>
        <v>07107</v>
      </c>
      <c r="M1589" t="s">
        <v>8818</v>
      </c>
      <c r="N1589">
        <v>32686</v>
      </c>
      <c r="O1589" t="s">
        <v>4367</v>
      </c>
      <c r="P1589">
        <v>32686</v>
      </c>
      <c r="Q1589" t="s">
        <v>4367</v>
      </c>
      <c r="R1589" t="s">
        <v>254</v>
      </c>
      <c r="S1589" t="s">
        <v>255</v>
      </c>
      <c r="T1589" t="s">
        <v>44</v>
      </c>
      <c r="U1589" t="s">
        <v>45</v>
      </c>
    </row>
    <row r="1590" spans="1:33" x14ac:dyDescent="0.3">
      <c r="A1590">
        <v>32738</v>
      </c>
      <c r="B1590" t="s">
        <v>8819</v>
      </c>
      <c r="C1590" t="str">
        <f>""</f>
        <v/>
      </c>
      <c r="D1590" t="str">
        <f>"34GIKB000"</f>
        <v>34GIKB000</v>
      </c>
      <c r="E1590" s="1">
        <v>43560</v>
      </c>
      <c r="F1590" t="s">
        <v>8820</v>
      </c>
      <c r="G1590" t="e">
        <f>INDEX(#REF!,MATCH(P1590,#REF!,0),1)</f>
        <v>#REF!</v>
      </c>
      <c r="H1590" t="s">
        <v>8821</v>
      </c>
      <c r="J1590" t="s">
        <v>7935</v>
      </c>
      <c r="K1590" t="s">
        <v>251</v>
      </c>
      <c r="L1590" t="str">
        <f>"07083"</f>
        <v>07083</v>
      </c>
      <c r="M1590" t="s">
        <v>8822</v>
      </c>
      <c r="N1590">
        <v>931027</v>
      </c>
      <c r="O1590" t="s">
        <v>8823</v>
      </c>
      <c r="P1590">
        <v>79896</v>
      </c>
      <c r="Q1590" t="s">
        <v>8824</v>
      </c>
      <c r="R1590" t="s">
        <v>6187</v>
      </c>
      <c r="S1590" t="s">
        <v>6188</v>
      </c>
      <c r="T1590" t="s">
        <v>2214</v>
      </c>
      <c r="U1590" t="s">
        <v>2214</v>
      </c>
      <c r="V1590" t="s">
        <v>2215</v>
      </c>
    </row>
    <row r="1591" spans="1:33" x14ac:dyDescent="0.3">
      <c r="A1591">
        <v>32739</v>
      </c>
      <c r="B1591" t="s">
        <v>8825</v>
      </c>
      <c r="C1591" t="str">
        <f>""</f>
        <v/>
      </c>
      <c r="D1591" t="str">
        <f>"343PEIV00"</f>
        <v>343PEIV00</v>
      </c>
      <c r="E1591" s="1">
        <v>39953</v>
      </c>
      <c r="F1591" t="s">
        <v>8826</v>
      </c>
      <c r="G1591" t="e">
        <f>INDEX(#REF!,MATCH(P1591,#REF!,0),1)</f>
        <v>#REF!</v>
      </c>
      <c r="H1591" t="s">
        <v>8827</v>
      </c>
      <c r="J1591" t="s">
        <v>7458</v>
      </c>
      <c r="K1591" t="s">
        <v>251</v>
      </c>
      <c r="L1591" t="str">
        <f>"08210"</f>
        <v>08210</v>
      </c>
      <c r="M1591" t="s">
        <v>8828</v>
      </c>
      <c r="N1591">
        <v>839245</v>
      </c>
      <c r="O1591" t="s">
        <v>7460</v>
      </c>
      <c r="P1591">
        <v>839245</v>
      </c>
      <c r="Q1591" t="s">
        <v>7460</v>
      </c>
      <c r="R1591" t="s">
        <v>6187</v>
      </c>
      <c r="S1591" t="s">
        <v>6188</v>
      </c>
      <c r="T1591" t="s">
        <v>2214</v>
      </c>
      <c r="U1591" t="s">
        <v>2214</v>
      </c>
      <c r="V1591" t="s">
        <v>2215</v>
      </c>
    </row>
    <row r="1592" spans="1:33" x14ac:dyDescent="0.3">
      <c r="A1592">
        <v>32752</v>
      </c>
      <c r="B1592" t="s">
        <v>8829</v>
      </c>
      <c r="C1592" t="str">
        <f>""</f>
        <v/>
      </c>
      <c r="D1592" t="str">
        <f>"343WLPG00"</f>
        <v>343WLPG00</v>
      </c>
      <c r="E1592" s="1">
        <v>44806</v>
      </c>
      <c r="F1592" t="s">
        <v>8830</v>
      </c>
      <c r="G1592" t="e">
        <f>INDEX(#REF!,MATCH(P1592,#REF!,0),1)</f>
        <v>#REF!</v>
      </c>
      <c r="H1592" t="s">
        <v>8831</v>
      </c>
      <c r="J1592" t="s">
        <v>1818</v>
      </c>
      <c r="K1592" t="s">
        <v>251</v>
      </c>
      <c r="L1592" t="str">
        <f>"08302"</f>
        <v>08302</v>
      </c>
      <c r="M1592" t="s">
        <v>8832</v>
      </c>
      <c r="N1592">
        <v>3338580</v>
      </c>
      <c r="O1592" t="s">
        <v>8833</v>
      </c>
      <c r="P1592">
        <v>3338580</v>
      </c>
      <c r="Q1592" t="s">
        <v>8833</v>
      </c>
      <c r="R1592" t="s">
        <v>7384</v>
      </c>
      <c r="S1592" t="s">
        <v>7385</v>
      </c>
      <c r="T1592" t="s">
        <v>2214</v>
      </c>
      <c r="U1592" t="s">
        <v>2214</v>
      </c>
      <c r="V1592" t="s">
        <v>2215</v>
      </c>
      <c r="AF1592" t="s">
        <v>7552</v>
      </c>
    </row>
    <row r="1593" spans="1:33" x14ac:dyDescent="0.3">
      <c r="A1593">
        <v>32754</v>
      </c>
      <c r="B1593" t="s">
        <v>8834</v>
      </c>
      <c r="C1593" t="str">
        <f>"1100004691729"</f>
        <v>1100004691729</v>
      </c>
      <c r="D1593" t="str">
        <f>""</f>
        <v/>
      </c>
      <c r="E1593" s="1">
        <v>39492</v>
      </c>
      <c r="F1593" t="s">
        <v>8835</v>
      </c>
      <c r="G1593" t="e">
        <f>INDEX(#REF!,MATCH(P1593,#REF!,0),1)</f>
        <v>#REF!</v>
      </c>
      <c r="H1593" t="s">
        <v>8836</v>
      </c>
      <c r="J1593" t="s">
        <v>4021</v>
      </c>
      <c r="K1593" t="s">
        <v>2244</v>
      </c>
      <c r="L1593">
        <v>14209</v>
      </c>
      <c r="M1593" t="s">
        <v>8837</v>
      </c>
      <c r="N1593">
        <v>84575</v>
      </c>
      <c r="O1593" t="s">
        <v>8838</v>
      </c>
      <c r="P1593">
        <v>84575</v>
      </c>
      <c r="Q1593" t="s">
        <v>8838</v>
      </c>
      <c r="R1593" t="s">
        <v>5064</v>
      </c>
      <c r="S1593" t="s">
        <v>5065</v>
      </c>
      <c r="T1593" t="s">
        <v>2277</v>
      </c>
      <c r="U1593" t="s">
        <v>5997</v>
      </c>
      <c r="V1593" t="s">
        <v>2215</v>
      </c>
    </row>
    <row r="1594" spans="1:33" x14ac:dyDescent="0.3">
      <c r="A1594">
        <v>32787</v>
      </c>
      <c r="B1594" t="s">
        <v>8839</v>
      </c>
      <c r="C1594" t="str">
        <f>""</f>
        <v/>
      </c>
      <c r="D1594" t="str">
        <f>"42EFB6G00"</f>
        <v>42EFB6G00</v>
      </c>
      <c r="E1594" s="1">
        <v>35339</v>
      </c>
      <c r="F1594" t="s">
        <v>8840</v>
      </c>
      <c r="G1594" t="e">
        <f>INDEX(#REF!,MATCH(P1594,#REF!,0),1)</f>
        <v>#REF!</v>
      </c>
      <c r="H1594" t="s">
        <v>8841</v>
      </c>
      <c r="J1594" t="s">
        <v>8842</v>
      </c>
      <c r="K1594" t="s">
        <v>65</v>
      </c>
      <c r="L1594">
        <v>19436</v>
      </c>
      <c r="M1594" t="s">
        <v>8843</v>
      </c>
      <c r="N1594">
        <v>711333</v>
      </c>
      <c r="O1594" t="s">
        <v>8844</v>
      </c>
      <c r="P1594">
        <v>711333</v>
      </c>
      <c r="Q1594" t="s">
        <v>8844</v>
      </c>
      <c r="R1594" t="s">
        <v>6820</v>
      </c>
      <c r="S1594" t="s">
        <v>6821</v>
      </c>
      <c r="T1594" t="s">
        <v>2214</v>
      </c>
      <c r="U1594" t="s">
        <v>2214</v>
      </c>
      <c r="V1594" t="s">
        <v>2215</v>
      </c>
    </row>
    <row r="1595" spans="1:33" x14ac:dyDescent="0.3">
      <c r="A1595">
        <v>32789</v>
      </c>
      <c r="B1595" t="s">
        <v>8845</v>
      </c>
      <c r="C1595" t="str">
        <f>""</f>
        <v/>
      </c>
      <c r="D1595" t="str">
        <f>"231680K00"</f>
        <v>231680K00</v>
      </c>
      <c r="E1595" s="1">
        <v>42583</v>
      </c>
      <c r="F1595" t="s">
        <v>8846</v>
      </c>
      <c r="G1595" t="e">
        <f>INDEX(#REF!,MATCH(P1595,#REF!,0),1)</f>
        <v>#REF!</v>
      </c>
      <c r="H1595" t="s">
        <v>8847</v>
      </c>
      <c r="J1595" t="s">
        <v>786</v>
      </c>
      <c r="K1595" t="s">
        <v>65</v>
      </c>
      <c r="L1595" t="s">
        <v>8848</v>
      </c>
      <c r="M1595" t="s">
        <v>1850</v>
      </c>
      <c r="N1595">
        <v>56976</v>
      </c>
      <c r="O1595" t="s">
        <v>1752</v>
      </c>
      <c r="P1595">
        <v>56976</v>
      </c>
      <c r="Q1595" t="s">
        <v>1752</v>
      </c>
      <c r="R1595" t="s">
        <v>1753</v>
      </c>
      <c r="S1595" t="s">
        <v>1754</v>
      </c>
      <c r="T1595" t="s">
        <v>44</v>
      </c>
      <c r="U1595" t="s">
        <v>6635</v>
      </c>
      <c r="Y1595" t="s">
        <v>46</v>
      </c>
      <c r="Z1595" s="1">
        <v>42644</v>
      </c>
      <c r="AA1595" t="s">
        <v>119</v>
      </c>
      <c r="AE1595" t="s">
        <v>564</v>
      </c>
      <c r="AG1595" t="s">
        <v>48</v>
      </c>
    </row>
    <row r="1596" spans="1:33" x14ac:dyDescent="0.3">
      <c r="A1596">
        <v>32790</v>
      </c>
      <c r="B1596" t="s">
        <v>8849</v>
      </c>
      <c r="C1596" t="str">
        <f>""</f>
        <v/>
      </c>
      <c r="D1596" t="str">
        <f>"34AUQNO00"</f>
        <v>34AUQNO00</v>
      </c>
      <c r="E1596" s="1">
        <v>42614</v>
      </c>
      <c r="F1596" t="s">
        <v>8850</v>
      </c>
      <c r="G1596" t="e">
        <f>INDEX(#REF!,MATCH(P1596,#REF!,0),1)</f>
        <v>#REF!</v>
      </c>
      <c r="H1596" t="s">
        <v>8851</v>
      </c>
      <c r="J1596" t="s">
        <v>8852</v>
      </c>
      <c r="K1596" t="s">
        <v>251</v>
      </c>
      <c r="L1596" t="str">
        <f>"07756"</f>
        <v>07756</v>
      </c>
      <c r="M1596" t="s">
        <v>8853</v>
      </c>
      <c r="N1596">
        <v>32955</v>
      </c>
      <c r="O1596" t="s">
        <v>8724</v>
      </c>
      <c r="P1596">
        <v>32955</v>
      </c>
      <c r="Q1596" t="s">
        <v>8724</v>
      </c>
      <c r="R1596" t="s">
        <v>5064</v>
      </c>
      <c r="S1596" t="s">
        <v>5065</v>
      </c>
      <c r="T1596" t="s">
        <v>2214</v>
      </c>
      <c r="U1596" t="s">
        <v>2214</v>
      </c>
      <c r="V1596" t="s">
        <v>2215</v>
      </c>
    </row>
    <row r="1597" spans="1:33" x14ac:dyDescent="0.3">
      <c r="A1597">
        <v>32791</v>
      </c>
      <c r="B1597" t="s">
        <v>8854</v>
      </c>
      <c r="C1597" t="str">
        <f>""</f>
        <v/>
      </c>
      <c r="D1597" t="str">
        <f>"349720P00"</f>
        <v>349720P00</v>
      </c>
      <c r="E1597" s="1">
        <v>42614</v>
      </c>
      <c r="F1597" t="s">
        <v>8855</v>
      </c>
      <c r="G1597" t="e">
        <f>INDEX(#REF!,MATCH(P1597,#REF!,0),1)</f>
        <v>#REF!</v>
      </c>
      <c r="H1597" t="s">
        <v>8856</v>
      </c>
      <c r="J1597" t="s">
        <v>8857</v>
      </c>
      <c r="K1597" t="s">
        <v>251</v>
      </c>
      <c r="L1597" t="str">
        <f>"08854"</f>
        <v>08854</v>
      </c>
      <c r="M1597" t="s">
        <v>8858</v>
      </c>
      <c r="N1597">
        <v>3725949</v>
      </c>
      <c r="O1597" t="s">
        <v>7716</v>
      </c>
      <c r="P1597">
        <v>3725949</v>
      </c>
      <c r="Q1597" t="s">
        <v>7716</v>
      </c>
      <c r="R1597" t="s">
        <v>5064</v>
      </c>
      <c r="S1597" t="s">
        <v>5065</v>
      </c>
      <c r="T1597" t="s">
        <v>2214</v>
      </c>
      <c r="U1597" t="s">
        <v>2214</v>
      </c>
      <c r="V1597" t="s">
        <v>2215</v>
      </c>
    </row>
    <row r="1598" spans="1:33" x14ac:dyDescent="0.3">
      <c r="A1598">
        <v>32798</v>
      </c>
      <c r="B1598" t="s">
        <v>8859</v>
      </c>
      <c r="C1598" t="str">
        <f>""</f>
        <v/>
      </c>
      <c r="D1598" t="str">
        <f>""</f>
        <v/>
      </c>
      <c r="E1598" s="1">
        <v>35339</v>
      </c>
      <c r="F1598" t="s">
        <v>8860</v>
      </c>
      <c r="G1598" t="e">
        <f>INDEX(#REF!,MATCH(P1598,#REF!,0),1)</f>
        <v>#REF!</v>
      </c>
      <c r="H1598" t="s">
        <v>8861</v>
      </c>
      <c r="J1598" t="s">
        <v>7772</v>
      </c>
      <c r="K1598" t="s">
        <v>2004</v>
      </c>
      <c r="L1598" t="str">
        <f>"02072"</f>
        <v>02072</v>
      </c>
      <c r="M1598" t="s">
        <v>8862</v>
      </c>
      <c r="N1598">
        <v>47202</v>
      </c>
      <c r="O1598" t="s">
        <v>8863</v>
      </c>
      <c r="P1598">
        <v>47202</v>
      </c>
      <c r="Q1598" t="s">
        <v>8863</v>
      </c>
      <c r="R1598" t="s">
        <v>6187</v>
      </c>
      <c r="S1598" t="s">
        <v>6188</v>
      </c>
      <c r="T1598" t="s">
        <v>2214</v>
      </c>
      <c r="U1598" t="s">
        <v>2214</v>
      </c>
      <c r="V1598" t="s">
        <v>2215</v>
      </c>
    </row>
    <row r="1599" spans="1:33" x14ac:dyDescent="0.3">
      <c r="A1599">
        <v>32805</v>
      </c>
      <c r="B1599" t="s">
        <v>8864</v>
      </c>
      <c r="C1599" t="str">
        <f>""</f>
        <v/>
      </c>
      <c r="D1599" t="str">
        <f>"G2H1THA00"</f>
        <v>G2H1THA00</v>
      </c>
      <c r="E1599" s="1">
        <v>35339</v>
      </c>
      <c r="F1599" t="s">
        <v>8865</v>
      </c>
      <c r="G1599" t="e">
        <f>INDEX(#REF!,MATCH(P1599,#REF!,0),1)</f>
        <v>#REF!</v>
      </c>
      <c r="H1599" t="s">
        <v>8866</v>
      </c>
      <c r="J1599" t="s">
        <v>3367</v>
      </c>
      <c r="K1599" t="s">
        <v>65</v>
      </c>
      <c r="L1599">
        <v>18201</v>
      </c>
      <c r="M1599" t="s">
        <v>8867</v>
      </c>
      <c r="N1599">
        <v>32805</v>
      </c>
      <c r="O1599" t="s">
        <v>8865</v>
      </c>
      <c r="P1599">
        <v>32805</v>
      </c>
      <c r="Q1599" t="s">
        <v>8865</v>
      </c>
      <c r="R1599" t="s">
        <v>6187</v>
      </c>
      <c r="S1599" t="s">
        <v>6188</v>
      </c>
      <c r="T1599" t="s">
        <v>117</v>
      </c>
      <c r="U1599" t="s">
        <v>4072</v>
      </c>
      <c r="V1599" t="s">
        <v>2215</v>
      </c>
    </row>
    <row r="1600" spans="1:33" x14ac:dyDescent="0.3">
      <c r="A1600">
        <v>32807</v>
      </c>
      <c r="B1600" t="s">
        <v>8868</v>
      </c>
      <c r="C1600" t="str">
        <f>"1100004991836"</f>
        <v>1100004991836</v>
      </c>
      <c r="D1600" t="str">
        <f>""</f>
        <v/>
      </c>
      <c r="E1600" s="1">
        <v>36920</v>
      </c>
      <c r="F1600" t="s">
        <v>8869</v>
      </c>
      <c r="G1600" t="e">
        <f>INDEX(#REF!,MATCH(P1600,#REF!,0),1)</f>
        <v>#REF!</v>
      </c>
      <c r="H1600" t="s">
        <v>8870</v>
      </c>
      <c r="J1600" t="s">
        <v>2966</v>
      </c>
      <c r="K1600" t="s">
        <v>2244</v>
      </c>
      <c r="L1600">
        <v>11234</v>
      </c>
      <c r="M1600" t="s">
        <v>8871</v>
      </c>
      <c r="N1600">
        <v>77562</v>
      </c>
      <c r="O1600" t="s">
        <v>8872</v>
      </c>
      <c r="P1600">
        <v>77562</v>
      </c>
      <c r="Q1600" t="s">
        <v>8872</v>
      </c>
      <c r="R1600" t="s">
        <v>6187</v>
      </c>
      <c r="S1600" t="s">
        <v>6188</v>
      </c>
      <c r="T1600" t="s">
        <v>117</v>
      </c>
      <c r="U1600" t="s">
        <v>4072</v>
      </c>
      <c r="V1600" t="s">
        <v>2215</v>
      </c>
    </row>
    <row r="1601" spans="1:33" x14ac:dyDescent="0.3">
      <c r="A1601">
        <v>32812</v>
      </c>
      <c r="B1601" t="s">
        <v>8873</v>
      </c>
      <c r="C1601" t="str">
        <f>""</f>
        <v/>
      </c>
      <c r="D1601" t="str">
        <f>"221350D00"</f>
        <v>221350D00</v>
      </c>
      <c r="E1601" s="1">
        <v>42661</v>
      </c>
      <c r="F1601" t="s">
        <v>8874</v>
      </c>
      <c r="G1601" t="e">
        <f>INDEX(#REF!,MATCH(P1601,#REF!,0),1)</f>
        <v>#REF!</v>
      </c>
      <c r="H1601" t="s">
        <v>8875</v>
      </c>
      <c r="J1601" t="s">
        <v>8876</v>
      </c>
      <c r="K1601" t="s">
        <v>251</v>
      </c>
      <c r="L1601" t="str">
        <f>"07052"</f>
        <v>07052</v>
      </c>
      <c r="M1601" t="s">
        <v>8877</v>
      </c>
      <c r="N1601">
        <v>2755605</v>
      </c>
      <c r="O1601" t="s">
        <v>8878</v>
      </c>
      <c r="P1601">
        <v>2755605</v>
      </c>
      <c r="Q1601" t="s">
        <v>8878</v>
      </c>
      <c r="R1601" t="s">
        <v>8879</v>
      </c>
      <c r="S1601" t="s">
        <v>8880</v>
      </c>
      <c r="T1601" t="s">
        <v>44</v>
      </c>
      <c r="U1601" t="s">
        <v>717</v>
      </c>
      <c r="AE1601" t="s">
        <v>72</v>
      </c>
    </row>
    <row r="1602" spans="1:33" x14ac:dyDescent="0.3">
      <c r="A1602">
        <v>32815</v>
      </c>
      <c r="B1602" t="s">
        <v>8881</v>
      </c>
      <c r="C1602" t="str">
        <f>""</f>
        <v/>
      </c>
      <c r="D1602" t="str">
        <f>"56JRHFH00"</f>
        <v>56JRHFH00</v>
      </c>
      <c r="E1602" s="1">
        <v>42917</v>
      </c>
      <c r="F1602" t="s">
        <v>8882</v>
      </c>
      <c r="G1602" t="e">
        <f>INDEX(#REF!,MATCH(P1602,#REF!,0),1)</f>
        <v>#REF!</v>
      </c>
      <c r="H1602" t="s">
        <v>8883</v>
      </c>
      <c r="J1602" t="s">
        <v>8884</v>
      </c>
      <c r="K1602" t="s">
        <v>251</v>
      </c>
      <c r="L1602" t="str">
        <f>"08004-0086"</f>
        <v>08004-0086</v>
      </c>
      <c r="M1602" t="s">
        <v>8885</v>
      </c>
      <c r="N1602">
        <v>32815</v>
      </c>
      <c r="O1602" t="s">
        <v>8882</v>
      </c>
      <c r="P1602">
        <v>32815</v>
      </c>
      <c r="Q1602" t="s">
        <v>8882</v>
      </c>
      <c r="R1602" t="s">
        <v>7442</v>
      </c>
      <c r="S1602" t="s">
        <v>7443</v>
      </c>
      <c r="T1602" t="s">
        <v>2214</v>
      </c>
      <c r="U1602" t="s">
        <v>2214</v>
      </c>
    </row>
    <row r="1603" spans="1:33" x14ac:dyDescent="0.3">
      <c r="A1603">
        <v>32817</v>
      </c>
      <c r="B1603" t="s">
        <v>8886</v>
      </c>
      <c r="C1603" t="str">
        <f>"1100005755536"</f>
        <v>1100005755536</v>
      </c>
      <c r="D1603" t="str">
        <f>""</f>
        <v/>
      </c>
      <c r="E1603" s="1">
        <v>44806</v>
      </c>
      <c r="F1603" t="s">
        <v>8887</v>
      </c>
      <c r="G1603" t="e">
        <f>INDEX(#REF!,MATCH(P1603,#REF!,0),1)</f>
        <v>#REF!</v>
      </c>
      <c r="H1603" t="s">
        <v>8888</v>
      </c>
      <c r="J1603" t="s">
        <v>7922</v>
      </c>
      <c r="K1603" t="s">
        <v>251</v>
      </c>
      <c r="L1603" t="str">
        <f>"07420-1075"</f>
        <v>07420-1075</v>
      </c>
      <c r="M1603" t="s">
        <v>8889</v>
      </c>
      <c r="N1603">
        <v>2628773</v>
      </c>
      <c r="O1603" t="s">
        <v>8890</v>
      </c>
      <c r="P1603">
        <v>2628773</v>
      </c>
      <c r="Q1603" t="s">
        <v>8890</v>
      </c>
      <c r="R1603" t="s">
        <v>7384</v>
      </c>
      <c r="S1603" t="s">
        <v>7385</v>
      </c>
      <c r="T1603" t="s">
        <v>2214</v>
      </c>
      <c r="U1603" t="s">
        <v>2214</v>
      </c>
      <c r="V1603" t="s">
        <v>2215</v>
      </c>
      <c r="AF1603" t="s">
        <v>7552</v>
      </c>
    </row>
    <row r="1604" spans="1:33" x14ac:dyDescent="0.3">
      <c r="A1604">
        <v>32818</v>
      </c>
      <c r="B1604" t="s">
        <v>8891</v>
      </c>
      <c r="C1604" t="str">
        <f>"1100002010058"</f>
        <v>1100002010058</v>
      </c>
      <c r="D1604" t="str">
        <f>""</f>
        <v/>
      </c>
      <c r="E1604" s="1">
        <v>43560</v>
      </c>
      <c r="F1604" t="s">
        <v>8892</v>
      </c>
      <c r="G1604" t="e">
        <f>INDEX(#REF!,MATCH(P1604,#REF!,0),1)</f>
        <v>#REF!</v>
      </c>
      <c r="H1604" t="s">
        <v>8893</v>
      </c>
      <c r="J1604" t="s">
        <v>7951</v>
      </c>
      <c r="K1604" t="s">
        <v>251</v>
      </c>
      <c r="L1604" t="str">
        <f>"07470"</f>
        <v>07470</v>
      </c>
      <c r="M1604" t="s">
        <v>8894</v>
      </c>
      <c r="N1604">
        <v>3412176</v>
      </c>
      <c r="O1604" t="s">
        <v>8895</v>
      </c>
      <c r="P1604">
        <v>3412176</v>
      </c>
      <c r="Q1604" t="s">
        <v>8895</v>
      </c>
      <c r="R1604" t="s">
        <v>6187</v>
      </c>
      <c r="S1604" t="s">
        <v>6188</v>
      </c>
      <c r="T1604" t="s">
        <v>2277</v>
      </c>
      <c r="U1604" t="s">
        <v>2278</v>
      </c>
      <c r="V1604" t="s">
        <v>2215</v>
      </c>
    </row>
    <row r="1605" spans="1:33" x14ac:dyDescent="0.3">
      <c r="A1605">
        <v>32819</v>
      </c>
      <c r="B1605" t="s">
        <v>8896</v>
      </c>
      <c r="C1605" t="str">
        <f>""</f>
        <v/>
      </c>
      <c r="D1605" t="str">
        <f>"342UIN800"</f>
        <v>342UIN800</v>
      </c>
      <c r="E1605" s="1">
        <v>42917</v>
      </c>
      <c r="F1605" t="s">
        <v>8897</v>
      </c>
      <c r="G1605" t="e">
        <f>INDEX(#REF!,MATCH(P1605,#REF!,0),1)</f>
        <v>#REF!</v>
      </c>
      <c r="H1605" t="s">
        <v>8898</v>
      </c>
      <c r="J1605" t="s">
        <v>7975</v>
      </c>
      <c r="K1605" t="s">
        <v>251</v>
      </c>
      <c r="L1605" t="str">
        <f>"08043"</f>
        <v>08043</v>
      </c>
      <c r="M1605" t="s">
        <v>8899</v>
      </c>
      <c r="N1605">
        <v>35291</v>
      </c>
      <c r="O1605" t="s">
        <v>7924</v>
      </c>
      <c r="P1605">
        <v>35291</v>
      </c>
      <c r="Q1605" t="s">
        <v>7924</v>
      </c>
      <c r="R1605" t="s">
        <v>7442</v>
      </c>
      <c r="S1605" t="s">
        <v>7443</v>
      </c>
      <c r="T1605" t="s">
        <v>2214</v>
      </c>
      <c r="U1605" t="s">
        <v>2214</v>
      </c>
    </row>
    <row r="1606" spans="1:33" x14ac:dyDescent="0.3">
      <c r="A1606">
        <v>32824</v>
      </c>
      <c r="B1606" t="s">
        <v>8900</v>
      </c>
      <c r="C1606" t="str">
        <f>"1100005288423"</f>
        <v>1100005288423</v>
      </c>
      <c r="D1606" t="str">
        <f>"220200600"</f>
        <v>220200600</v>
      </c>
      <c r="E1606" s="1">
        <v>42583</v>
      </c>
      <c r="F1606" t="s">
        <v>8901</v>
      </c>
      <c r="G1606" t="e">
        <f>INDEX(#REF!,MATCH(P1606,#REF!,0),1)</f>
        <v>#REF!</v>
      </c>
      <c r="H1606" t="s">
        <v>8902</v>
      </c>
      <c r="J1606" t="s">
        <v>8903</v>
      </c>
      <c r="K1606" t="s">
        <v>251</v>
      </c>
      <c r="L1606" t="str">
        <f>"07834"</f>
        <v>07834</v>
      </c>
      <c r="M1606" t="s">
        <v>8904</v>
      </c>
      <c r="N1606">
        <v>32824</v>
      </c>
      <c r="O1606" t="s">
        <v>8901</v>
      </c>
      <c r="P1606">
        <v>32824</v>
      </c>
      <c r="Q1606" t="s">
        <v>8901</v>
      </c>
      <c r="R1606" t="s">
        <v>254</v>
      </c>
      <c r="S1606" t="s">
        <v>255</v>
      </c>
      <c r="T1606" t="s">
        <v>44</v>
      </c>
      <c r="U1606" t="s">
        <v>45</v>
      </c>
    </row>
    <row r="1607" spans="1:33" x14ac:dyDescent="0.3">
      <c r="A1607">
        <v>32829</v>
      </c>
      <c r="B1607" t="s">
        <v>8905</v>
      </c>
      <c r="C1607" t="str">
        <f>""</f>
        <v/>
      </c>
      <c r="D1607" t="str">
        <f>"JPJVKHN00"</f>
        <v>JPJVKHN00</v>
      </c>
      <c r="E1607" s="1">
        <v>42917</v>
      </c>
      <c r="F1607" t="s">
        <v>8906</v>
      </c>
      <c r="G1607" t="e">
        <f>INDEX(#REF!,MATCH(P1607,#REF!,0),1)</f>
        <v>#REF!</v>
      </c>
      <c r="H1607" t="s">
        <v>8907</v>
      </c>
      <c r="J1607" t="s">
        <v>8908</v>
      </c>
      <c r="K1607" t="s">
        <v>251</v>
      </c>
      <c r="L1607" t="str">
        <f>"08330"</f>
        <v>08330</v>
      </c>
      <c r="M1607" t="s">
        <v>8909</v>
      </c>
      <c r="N1607">
        <v>32829</v>
      </c>
      <c r="O1607" t="s">
        <v>8906</v>
      </c>
      <c r="P1607">
        <v>32829</v>
      </c>
      <c r="Q1607" t="s">
        <v>8906</v>
      </c>
      <c r="R1607" t="s">
        <v>7442</v>
      </c>
      <c r="S1607" t="s">
        <v>7443</v>
      </c>
      <c r="T1607" t="s">
        <v>117</v>
      </c>
      <c r="U1607" t="s">
        <v>118</v>
      </c>
    </row>
    <row r="1608" spans="1:33" x14ac:dyDescent="0.3">
      <c r="A1608">
        <v>32832</v>
      </c>
      <c r="B1608" t="s">
        <v>8910</v>
      </c>
      <c r="C1608" t="str">
        <f>""</f>
        <v/>
      </c>
      <c r="D1608" t="str">
        <f>"34BNKG500"</f>
        <v>34BNKG500</v>
      </c>
      <c r="E1608" s="1">
        <v>42917</v>
      </c>
      <c r="F1608" t="s">
        <v>8911</v>
      </c>
      <c r="G1608" t="e">
        <f>INDEX(#REF!,MATCH(P1608,#REF!,0),1)</f>
        <v>#REF!</v>
      </c>
      <c r="H1608" t="s">
        <v>8912</v>
      </c>
      <c r="J1608" t="s">
        <v>8913</v>
      </c>
      <c r="K1608" t="s">
        <v>251</v>
      </c>
      <c r="L1608" t="str">
        <f>"07035"</f>
        <v>07035</v>
      </c>
      <c r="M1608" t="s">
        <v>8914</v>
      </c>
      <c r="N1608">
        <v>32832</v>
      </c>
      <c r="O1608" t="s">
        <v>8911</v>
      </c>
      <c r="P1608">
        <v>32832</v>
      </c>
      <c r="Q1608" t="s">
        <v>8911</v>
      </c>
      <c r="R1608" t="s">
        <v>7442</v>
      </c>
      <c r="S1608" t="s">
        <v>7443</v>
      </c>
      <c r="T1608" t="s">
        <v>2214</v>
      </c>
      <c r="U1608" t="s">
        <v>2214</v>
      </c>
    </row>
    <row r="1609" spans="1:33" x14ac:dyDescent="0.3">
      <c r="A1609">
        <v>32834</v>
      </c>
      <c r="B1609" t="s">
        <v>8915</v>
      </c>
      <c r="C1609" t="str">
        <f>""</f>
        <v/>
      </c>
      <c r="D1609" t="str">
        <f>"34FRSKP00"</f>
        <v>34FRSKP00</v>
      </c>
      <c r="E1609" s="1">
        <v>35309</v>
      </c>
      <c r="F1609" t="s">
        <v>8916</v>
      </c>
      <c r="G1609" t="e">
        <f>INDEX(#REF!,MATCH(P1609,#REF!,0),1)</f>
        <v>#REF!</v>
      </c>
      <c r="H1609" t="s">
        <v>8917</v>
      </c>
      <c r="J1609" t="s">
        <v>7951</v>
      </c>
      <c r="K1609" t="s">
        <v>251</v>
      </c>
      <c r="L1609" t="str">
        <f>"07035"</f>
        <v>07035</v>
      </c>
      <c r="M1609" t="s">
        <v>8918</v>
      </c>
      <c r="N1609">
        <v>931027</v>
      </c>
      <c r="O1609" t="s">
        <v>8823</v>
      </c>
      <c r="P1609">
        <v>79896</v>
      </c>
      <c r="Q1609" t="s">
        <v>8824</v>
      </c>
      <c r="R1609" t="s">
        <v>6187</v>
      </c>
      <c r="S1609" t="s">
        <v>6188</v>
      </c>
      <c r="T1609" t="s">
        <v>2214</v>
      </c>
      <c r="U1609" t="s">
        <v>2214</v>
      </c>
      <c r="V1609" t="s">
        <v>2215</v>
      </c>
    </row>
    <row r="1610" spans="1:33" x14ac:dyDescent="0.3">
      <c r="A1610">
        <v>32841</v>
      </c>
      <c r="B1610" t="s">
        <v>8919</v>
      </c>
      <c r="C1610" t="str">
        <f>""</f>
        <v/>
      </c>
      <c r="D1610" t="str">
        <f>"342THM500"</f>
        <v>342THM500</v>
      </c>
      <c r="E1610" s="1">
        <v>42917</v>
      </c>
      <c r="F1610" t="s">
        <v>8920</v>
      </c>
      <c r="G1610" t="e">
        <f>INDEX(#REF!,MATCH(P1610,#REF!,0),1)</f>
        <v>#REF!</v>
      </c>
      <c r="H1610" t="s">
        <v>8921</v>
      </c>
      <c r="J1610" t="s">
        <v>8922</v>
      </c>
      <c r="K1610" t="s">
        <v>251</v>
      </c>
      <c r="L1610" t="str">
        <f>"08230"</f>
        <v>08230</v>
      </c>
      <c r="M1610" t="s">
        <v>8923</v>
      </c>
      <c r="N1610">
        <v>32841</v>
      </c>
      <c r="O1610" t="s">
        <v>8920</v>
      </c>
      <c r="P1610">
        <v>32841</v>
      </c>
      <c r="Q1610" t="s">
        <v>8920</v>
      </c>
      <c r="R1610" t="s">
        <v>7442</v>
      </c>
      <c r="S1610" t="s">
        <v>7443</v>
      </c>
      <c r="T1610" t="s">
        <v>2214</v>
      </c>
      <c r="U1610" t="s">
        <v>2214</v>
      </c>
    </row>
    <row r="1611" spans="1:33" x14ac:dyDescent="0.3">
      <c r="A1611">
        <v>32842</v>
      </c>
      <c r="B1611" t="s">
        <v>8924</v>
      </c>
      <c r="C1611" t="str">
        <f>""</f>
        <v/>
      </c>
      <c r="D1611" t="str">
        <f>"FE3QG9B00"</f>
        <v>FE3QG9B00</v>
      </c>
      <c r="E1611" s="1">
        <v>36479</v>
      </c>
      <c r="F1611" t="s">
        <v>8925</v>
      </c>
      <c r="G1611" t="e">
        <f>INDEX(#REF!,MATCH(P1611,#REF!,0),1)</f>
        <v>#REF!</v>
      </c>
      <c r="H1611" t="s">
        <v>8926</v>
      </c>
      <c r="J1611" t="s">
        <v>2556</v>
      </c>
      <c r="K1611" t="s">
        <v>2244</v>
      </c>
      <c r="L1611">
        <v>10022</v>
      </c>
      <c r="M1611" t="s">
        <v>8927</v>
      </c>
      <c r="N1611">
        <v>73788</v>
      </c>
      <c r="O1611" t="s">
        <v>8928</v>
      </c>
      <c r="P1611">
        <v>73788</v>
      </c>
      <c r="Q1611" t="s">
        <v>8928</v>
      </c>
      <c r="R1611" t="s">
        <v>6187</v>
      </c>
      <c r="S1611" t="s">
        <v>6188</v>
      </c>
      <c r="T1611" t="s">
        <v>117</v>
      </c>
      <c r="U1611" t="s">
        <v>4072</v>
      </c>
      <c r="V1611" t="s">
        <v>2215</v>
      </c>
    </row>
    <row r="1612" spans="1:33" x14ac:dyDescent="0.3">
      <c r="A1612">
        <v>32845</v>
      </c>
      <c r="B1612" t="s">
        <v>8929</v>
      </c>
      <c r="C1612" t="str">
        <f>"1100096918322"</f>
        <v>1100096918322</v>
      </c>
      <c r="D1612" t="str">
        <f>"4BF5A0900"</f>
        <v>4BF5A0900</v>
      </c>
      <c r="E1612" s="1">
        <v>42156</v>
      </c>
      <c r="F1612" t="s">
        <v>7691</v>
      </c>
      <c r="G1612" t="e">
        <f>INDEX(#REF!,MATCH(P1612,#REF!,0),1)</f>
        <v>#REF!</v>
      </c>
      <c r="H1612" t="s">
        <v>8930</v>
      </c>
      <c r="J1612" t="s">
        <v>8931</v>
      </c>
      <c r="K1612" t="s">
        <v>65</v>
      </c>
      <c r="L1612" t="s">
        <v>8932</v>
      </c>
      <c r="M1612" t="s">
        <v>8933</v>
      </c>
      <c r="N1612">
        <v>32845</v>
      </c>
      <c r="O1612" t="s">
        <v>7691</v>
      </c>
      <c r="P1612">
        <v>32845</v>
      </c>
      <c r="Q1612" t="s">
        <v>7691</v>
      </c>
      <c r="R1612" t="s">
        <v>1753</v>
      </c>
      <c r="S1612" t="s">
        <v>1754</v>
      </c>
      <c r="T1612" t="s">
        <v>44</v>
      </c>
      <c r="U1612" t="s">
        <v>81</v>
      </c>
      <c r="AA1612" t="s">
        <v>119</v>
      </c>
      <c r="AE1612" t="s">
        <v>564</v>
      </c>
      <c r="AG1612" t="s">
        <v>48</v>
      </c>
    </row>
    <row r="1613" spans="1:33" x14ac:dyDescent="0.3">
      <c r="A1613">
        <v>32846</v>
      </c>
      <c r="B1613" t="s">
        <v>8934</v>
      </c>
      <c r="C1613" t="str">
        <f>""</f>
        <v/>
      </c>
      <c r="D1613" t="str">
        <f>"231330C00"</f>
        <v>231330C00</v>
      </c>
      <c r="E1613" s="1">
        <v>44677</v>
      </c>
      <c r="F1613" t="s">
        <v>8935</v>
      </c>
      <c r="G1613" t="e">
        <f>INDEX(#REF!,MATCH(P1613,#REF!,0),1)</f>
        <v>#REF!</v>
      </c>
      <c r="H1613" t="s">
        <v>8936</v>
      </c>
      <c r="J1613" t="s">
        <v>3422</v>
      </c>
      <c r="K1613" t="s">
        <v>65</v>
      </c>
      <c r="L1613">
        <v>19355</v>
      </c>
      <c r="M1613" t="s">
        <v>8937</v>
      </c>
      <c r="N1613">
        <v>32846</v>
      </c>
      <c r="O1613" t="s">
        <v>8935</v>
      </c>
      <c r="P1613">
        <v>32846</v>
      </c>
      <c r="Q1613" t="s">
        <v>8935</v>
      </c>
      <c r="R1613" t="s">
        <v>6187</v>
      </c>
      <c r="S1613" t="s">
        <v>6188</v>
      </c>
      <c r="T1613" t="s">
        <v>44</v>
      </c>
      <c r="U1613" t="s">
        <v>1823</v>
      </c>
      <c r="V1613" t="s">
        <v>2215</v>
      </c>
    </row>
    <row r="1614" spans="1:33" x14ac:dyDescent="0.3">
      <c r="A1614">
        <v>32847</v>
      </c>
      <c r="B1614" t="s">
        <v>8938</v>
      </c>
      <c r="C1614" t="str">
        <f>""</f>
        <v/>
      </c>
      <c r="D1614" t="str">
        <f>""</f>
        <v/>
      </c>
      <c r="E1614" s="1">
        <v>43560</v>
      </c>
      <c r="F1614" t="s">
        <v>8939</v>
      </c>
      <c r="G1614" t="e">
        <f>INDEX(#REF!,MATCH(P1614,#REF!,0),1)</f>
        <v>#REF!</v>
      </c>
      <c r="H1614" t="s">
        <v>8940</v>
      </c>
      <c r="J1614" t="s">
        <v>1293</v>
      </c>
      <c r="K1614" t="s">
        <v>251</v>
      </c>
      <c r="L1614" t="str">
        <f>"08759"</f>
        <v>08759</v>
      </c>
      <c r="M1614" t="s">
        <v>8941</v>
      </c>
      <c r="N1614">
        <v>3417480</v>
      </c>
      <c r="O1614" t="s">
        <v>8942</v>
      </c>
      <c r="P1614">
        <v>3417480</v>
      </c>
      <c r="Q1614" t="s">
        <v>8942</v>
      </c>
      <c r="R1614" t="s">
        <v>6187</v>
      </c>
      <c r="S1614" t="s">
        <v>6188</v>
      </c>
      <c r="T1614" t="s">
        <v>2214</v>
      </c>
      <c r="U1614" t="s">
        <v>2214</v>
      </c>
      <c r="V1614" t="s">
        <v>2215</v>
      </c>
    </row>
    <row r="1615" spans="1:33" x14ac:dyDescent="0.3">
      <c r="A1615">
        <v>32848</v>
      </c>
      <c r="B1615" t="s">
        <v>8943</v>
      </c>
      <c r="C1615" t="str">
        <f>""</f>
        <v/>
      </c>
      <c r="D1615" t="str">
        <f>"341J6C900"</f>
        <v>341J6C900</v>
      </c>
      <c r="E1615" s="1">
        <v>42583</v>
      </c>
      <c r="F1615" t="s">
        <v>8944</v>
      </c>
      <c r="G1615" t="e">
        <f>INDEX(#REF!,MATCH(P1615,#REF!,0),1)</f>
        <v>#REF!</v>
      </c>
      <c r="H1615" t="s">
        <v>8945</v>
      </c>
      <c r="J1615" t="s">
        <v>1280</v>
      </c>
      <c r="K1615" t="s">
        <v>251</v>
      </c>
      <c r="L1615" t="str">
        <f>"08016-3858"</f>
        <v>08016-3858</v>
      </c>
      <c r="M1615" t="s">
        <v>8946</v>
      </c>
      <c r="N1615">
        <v>109541</v>
      </c>
      <c r="O1615" t="s">
        <v>253</v>
      </c>
      <c r="P1615">
        <v>2271057</v>
      </c>
      <c r="Q1615" t="s">
        <v>8947</v>
      </c>
      <c r="R1615" t="s">
        <v>254</v>
      </c>
      <c r="S1615" t="s">
        <v>255</v>
      </c>
      <c r="T1615" t="s">
        <v>2214</v>
      </c>
      <c r="U1615" t="s">
        <v>2214</v>
      </c>
    </row>
    <row r="1616" spans="1:33" x14ac:dyDescent="0.3">
      <c r="A1616">
        <v>32849</v>
      </c>
      <c r="B1616" t="s">
        <v>8948</v>
      </c>
      <c r="C1616" t="str">
        <f>""</f>
        <v/>
      </c>
      <c r="D1616" t="str">
        <f>"428TJKA00"</f>
        <v>428TJKA00</v>
      </c>
      <c r="E1616" s="1">
        <v>41808</v>
      </c>
      <c r="F1616" t="s">
        <v>8949</v>
      </c>
      <c r="G1616" t="e">
        <f>INDEX(#REF!,MATCH(P1616,#REF!,0),1)</f>
        <v>#REF!</v>
      </c>
      <c r="H1616" t="s">
        <v>8950</v>
      </c>
      <c r="J1616" t="s">
        <v>8951</v>
      </c>
      <c r="K1616" t="s">
        <v>65</v>
      </c>
      <c r="L1616">
        <v>17022</v>
      </c>
      <c r="M1616" t="s">
        <v>8952</v>
      </c>
      <c r="N1616">
        <v>104270</v>
      </c>
      <c r="O1616" t="s">
        <v>8953</v>
      </c>
      <c r="P1616">
        <v>104270</v>
      </c>
      <c r="Q1616" t="s">
        <v>8953</v>
      </c>
      <c r="R1616" t="s">
        <v>8954</v>
      </c>
      <c r="S1616" t="s">
        <v>8955</v>
      </c>
      <c r="T1616" t="s">
        <v>2214</v>
      </c>
      <c r="U1616" t="s">
        <v>2214</v>
      </c>
      <c r="V1616" t="s">
        <v>2215</v>
      </c>
    </row>
    <row r="1617" spans="1:33" x14ac:dyDescent="0.3">
      <c r="A1617">
        <v>32855</v>
      </c>
      <c r="B1617" t="s">
        <v>8956</v>
      </c>
      <c r="C1617" t="str">
        <f>"1100005322950"</f>
        <v>1100005322950</v>
      </c>
      <c r="D1617" t="str">
        <f>""</f>
        <v/>
      </c>
      <c r="E1617" s="1">
        <v>42583</v>
      </c>
      <c r="F1617" t="s">
        <v>8957</v>
      </c>
      <c r="G1617" t="e">
        <f>INDEX(#REF!,MATCH(P1617,#REF!,0),1)</f>
        <v>#REF!</v>
      </c>
      <c r="H1617" t="s">
        <v>8958</v>
      </c>
      <c r="J1617" t="s">
        <v>1198</v>
      </c>
      <c r="K1617" t="s">
        <v>251</v>
      </c>
      <c r="L1617" t="str">
        <f>"08540"</f>
        <v>08540</v>
      </c>
      <c r="M1617" t="s">
        <v>8959</v>
      </c>
      <c r="N1617">
        <v>4007</v>
      </c>
      <c r="O1617" t="s">
        <v>276</v>
      </c>
      <c r="P1617">
        <v>2895458</v>
      </c>
      <c r="Q1617" t="s">
        <v>8534</v>
      </c>
      <c r="R1617" t="s">
        <v>4102</v>
      </c>
      <c r="S1617" t="s">
        <v>4103</v>
      </c>
      <c r="T1617" t="s">
        <v>2214</v>
      </c>
      <c r="U1617" t="s">
        <v>2214</v>
      </c>
      <c r="V1617" t="s">
        <v>1824</v>
      </c>
      <c r="AG1617" t="s">
        <v>48</v>
      </c>
    </row>
    <row r="1618" spans="1:33" x14ac:dyDescent="0.3">
      <c r="A1618">
        <v>32860</v>
      </c>
      <c r="B1618" t="s">
        <v>8960</v>
      </c>
      <c r="C1618" t="str">
        <f>""</f>
        <v/>
      </c>
      <c r="D1618" t="str">
        <f>"342MAFK00"</f>
        <v>342MAFK00</v>
      </c>
      <c r="E1618" s="1">
        <v>42917</v>
      </c>
      <c r="F1618" t="s">
        <v>8961</v>
      </c>
      <c r="G1618" t="e">
        <f>INDEX(#REF!,MATCH(P1618,#REF!,0),1)</f>
        <v>#REF!</v>
      </c>
      <c r="H1618" t="s">
        <v>8962</v>
      </c>
      <c r="J1618" t="s">
        <v>4365</v>
      </c>
      <c r="K1618" t="s">
        <v>251</v>
      </c>
      <c r="L1618" t="str">
        <f>"08103"</f>
        <v>08103</v>
      </c>
      <c r="M1618" t="s">
        <v>8963</v>
      </c>
      <c r="N1618">
        <v>32860</v>
      </c>
      <c r="O1618" t="s">
        <v>8961</v>
      </c>
      <c r="P1618">
        <v>32860</v>
      </c>
      <c r="Q1618" t="s">
        <v>8961</v>
      </c>
      <c r="R1618" t="s">
        <v>7442</v>
      </c>
      <c r="S1618" t="s">
        <v>7443</v>
      </c>
      <c r="T1618" t="s">
        <v>117</v>
      </c>
      <c r="U1618" t="s">
        <v>118</v>
      </c>
    </row>
    <row r="1619" spans="1:33" x14ac:dyDescent="0.3">
      <c r="A1619">
        <v>32865</v>
      </c>
      <c r="B1619" t="s">
        <v>8964</v>
      </c>
      <c r="C1619" t="str">
        <f>""</f>
        <v/>
      </c>
      <c r="D1619" t="str">
        <f>""</f>
        <v/>
      </c>
      <c r="E1619" s="1">
        <v>42917</v>
      </c>
      <c r="F1619" t="s">
        <v>8965</v>
      </c>
      <c r="G1619" t="e">
        <f>INDEX(#REF!,MATCH(P1619,#REF!,0),1)</f>
        <v>#REF!</v>
      </c>
      <c r="H1619" t="s">
        <v>8761</v>
      </c>
      <c r="J1619" t="s">
        <v>5175</v>
      </c>
      <c r="K1619" t="s">
        <v>251</v>
      </c>
      <c r="L1619" t="str">
        <f>"08618"</f>
        <v>08618</v>
      </c>
      <c r="M1619" t="s">
        <v>8762</v>
      </c>
      <c r="N1619">
        <v>32865</v>
      </c>
      <c r="O1619" t="s">
        <v>8965</v>
      </c>
      <c r="P1619">
        <v>32865</v>
      </c>
      <c r="Q1619" t="s">
        <v>8965</v>
      </c>
      <c r="R1619" t="s">
        <v>7442</v>
      </c>
      <c r="S1619" t="s">
        <v>7443</v>
      </c>
      <c r="T1619" t="s">
        <v>2214</v>
      </c>
      <c r="U1619" t="s">
        <v>2214</v>
      </c>
    </row>
    <row r="1620" spans="1:33" x14ac:dyDescent="0.3">
      <c r="A1620">
        <v>32866</v>
      </c>
      <c r="B1620" t="s">
        <v>8966</v>
      </c>
      <c r="C1620" t="str">
        <f>"1100005184602"</f>
        <v>1100005184602</v>
      </c>
      <c r="D1620" t="str">
        <f>""</f>
        <v/>
      </c>
      <c r="E1620" s="1">
        <v>42917</v>
      </c>
      <c r="F1620" t="s">
        <v>8967</v>
      </c>
      <c r="G1620" t="e">
        <f>INDEX(#REF!,MATCH(P1620,#REF!,0),1)</f>
        <v>#REF!</v>
      </c>
      <c r="H1620" t="s">
        <v>8968</v>
      </c>
      <c r="J1620" t="s">
        <v>8969</v>
      </c>
      <c r="K1620" t="s">
        <v>251</v>
      </c>
      <c r="L1620" t="str">
        <f>"07876"</f>
        <v>07876</v>
      </c>
      <c r="M1620" t="s">
        <v>8970</v>
      </c>
      <c r="N1620">
        <v>899271</v>
      </c>
      <c r="O1620" t="s">
        <v>8680</v>
      </c>
      <c r="P1620">
        <v>899271</v>
      </c>
      <c r="Q1620" t="s">
        <v>8680</v>
      </c>
      <c r="R1620" t="s">
        <v>7442</v>
      </c>
      <c r="S1620" t="s">
        <v>7443</v>
      </c>
      <c r="T1620" t="s">
        <v>2214</v>
      </c>
      <c r="U1620" t="s">
        <v>2214</v>
      </c>
    </row>
    <row r="1621" spans="1:33" x14ac:dyDescent="0.3">
      <c r="A1621">
        <v>32872</v>
      </c>
      <c r="B1621" t="s">
        <v>8971</v>
      </c>
      <c r="C1621" t="str">
        <f>""</f>
        <v/>
      </c>
      <c r="D1621" t="str">
        <f>"347QJJ600"</f>
        <v>347QJJ600</v>
      </c>
      <c r="E1621" s="1">
        <v>42917</v>
      </c>
      <c r="F1621" t="s">
        <v>8972</v>
      </c>
      <c r="G1621" t="e">
        <f>INDEX(#REF!,MATCH(P1621,#REF!,0),1)</f>
        <v>#REF!</v>
      </c>
      <c r="H1621" t="s">
        <v>8973</v>
      </c>
      <c r="J1621" t="s">
        <v>2106</v>
      </c>
      <c r="K1621" t="s">
        <v>251</v>
      </c>
      <c r="L1621" t="str">
        <f>"08648-2050"</f>
        <v>08648-2050</v>
      </c>
      <c r="M1621" t="s">
        <v>8974</v>
      </c>
      <c r="N1621">
        <v>32872</v>
      </c>
      <c r="O1621" t="s">
        <v>8972</v>
      </c>
      <c r="P1621">
        <v>32872</v>
      </c>
      <c r="Q1621" t="s">
        <v>8972</v>
      </c>
      <c r="R1621" t="s">
        <v>7442</v>
      </c>
      <c r="S1621" t="s">
        <v>7443</v>
      </c>
      <c r="T1621" t="s">
        <v>2214</v>
      </c>
      <c r="U1621" t="s">
        <v>2214</v>
      </c>
    </row>
    <row r="1622" spans="1:33" x14ac:dyDescent="0.3">
      <c r="A1622">
        <v>32894</v>
      </c>
      <c r="B1622" t="s">
        <v>8975</v>
      </c>
      <c r="C1622" t="str">
        <f>""</f>
        <v/>
      </c>
      <c r="D1622" t="str">
        <f>"346ZRSV00"</f>
        <v>346ZRSV00</v>
      </c>
      <c r="E1622" s="1">
        <v>42614</v>
      </c>
      <c r="F1622" t="s">
        <v>8976</v>
      </c>
      <c r="G1622" t="e">
        <f>INDEX(#REF!,MATCH(P1622,#REF!,0),1)</f>
        <v>#REF!</v>
      </c>
      <c r="H1622" t="s">
        <v>8977</v>
      </c>
      <c r="J1622" t="s">
        <v>8978</v>
      </c>
      <c r="K1622" t="s">
        <v>251</v>
      </c>
      <c r="L1622" t="str">
        <f>"08071"</f>
        <v>08071</v>
      </c>
      <c r="M1622" t="s">
        <v>8979</v>
      </c>
      <c r="N1622">
        <v>32955</v>
      </c>
      <c r="O1622" t="s">
        <v>8724</v>
      </c>
      <c r="P1622">
        <v>32955</v>
      </c>
      <c r="Q1622" t="s">
        <v>8724</v>
      </c>
      <c r="R1622" t="s">
        <v>5064</v>
      </c>
      <c r="S1622" t="s">
        <v>5065</v>
      </c>
      <c r="T1622" t="s">
        <v>2214</v>
      </c>
      <c r="U1622" t="s">
        <v>2214</v>
      </c>
      <c r="V1622" t="s">
        <v>2215</v>
      </c>
      <c r="AD1622" t="s">
        <v>59</v>
      </c>
    </row>
    <row r="1623" spans="1:33" x14ac:dyDescent="0.3">
      <c r="A1623">
        <v>32896</v>
      </c>
      <c r="B1623" t="s">
        <v>8980</v>
      </c>
      <c r="C1623" t="str">
        <f>""</f>
        <v/>
      </c>
      <c r="D1623" t="str">
        <f>"72STZIB00"</f>
        <v>72STZIB00</v>
      </c>
      <c r="E1623" s="1">
        <v>42917</v>
      </c>
      <c r="F1623" t="s">
        <v>8981</v>
      </c>
      <c r="G1623" t="e">
        <f>INDEX(#REF!,MATCH(P1623,#REF!,0),1)</f>
        <v>#REF!</v>
      </c>
      <c r="H1623" t="s">
        <v>8982</v>
      </c>
      <c r="I1623" t="s">
        <v>8983</v>
      </c>
      <c r="J1623" t="s">
        <v>1198</v>
      </c>
      <c r="K1623" t="s">
        <v>251</v>
      </c>
      <c r="L1623" t="str">
        <f>"08540-6211"</f>
        <v>08540-6211</v>
      </c>
      <c r="M1623" t="s">
        <v>8984</v>
      </c>
      <c r="N1623">
        <v>32896</v>
      </c>
      <c r="O1623" t="s">
        <v>8981</v>
      </c>
      <c r="P1623">
        <v>32896</v>
      </c>
      <c r="Q1623" t="s">
        <v>8981</v>
      </c>
      <c r="R1623" t="s">
        <v>7442</v>
      </c>
      <c r="S1623" t="s">
        <v>7443</v>
      </c>
      <c r="T1623" t="s">
        <v>2214</v>
      </c>
      <c r="U1623" t="s">
        <v>2214</v>
      </c>
    </row>
    <row r="1624" spans="1:33" x14ac:dyDescent="0.3">
      <c r="A1624">
        <v>32899</v>
      </c>
      <c r="B1624" t="s">
        <v>8985</v>
      </c>
      <c r="C1624" t="str">
        <f>"1100003534751"</f>
        <v>1100003534751</v>
      </c>
      <c r="D1624" t="str">
        <f>""</f>
        <v/>
      </c>
      <c r="E1624" s="1">
        <v>38909</v>
      </c>
      <c r="F1624" t="s">
        <v>8986</v>
      </c>
      <c r="G1624" t="e">
        <f>INDEX(#REF!,MATCH(P1624,#REF!,0),1)</f>
        <v>#REF!</v>
      </c>
      <c r="H1624" t="s">
        <v>8987</v>
      </c>
      <c r="J1624" t="s">
        <v>5854</v>
      </c>
      <c r="K1624" t="s">
        <v>88</v>
      </c>
      <c r="L1624">
        <v>90025</v>
      </c>
      <c r="M1624" t="s">
        <v>8988</v>
      </c>
      <c r="N1624">
        <v>862584</v>
      </c>
      <c r="O1624" t="s">
        <v>8989</v>
      </c>
      <c r="P1624">
        <v>862584</v>
      </c>
      <c r="Q1624" t="s">
        <v>8989</v>
      </c>
      <c r="R1624" t="s">
        <v>8990</v>
      </c>
      <c r="S1624" t="s">
        <v>8991</v>
      </c>
      <c r="T1624" t="s">
        <v>117</v>
      </c>
      <c r="U1624" t="s">
        <v>4072</v>
      </c>
      <c r="V1624" t="s">
        <v>2215</v>
      </c>
    </row>
    <row r="1625" spans="1:33" x14ac:dyDescent="0.3">
      <c r="A1625">
        <v>32900</v>
      </c>
      <c r="B1625" t="s">
        <v>8992</v>
      </c>
      <c r="C1625" t="str">
        <f>""</f>
        <v/>
      </c>
      <c r="D1625" t="str">
        <f>"J14PRTX00"</f>
        <v>J14PRTX00</v>
      </c>
      <c r="E1625" s="1">
        <v>39215</v>
      </c>
      <c r="F1625" t="s">
        <v>8993</v>
      </c>
      <c r="G1625" t="e">
        <f>INDEX(#REF!,MATCH(P1625,#REF!,0),1)</f>
        <v>#REF!</v>
      </c>
      <c r="H1625" t="s">
        <v>8994</v>
      </c>
      <c r="J1625" t="s">
        <v>6345</v>
      </c>
      <c r="K1625" t="s">
        <v>2244</v>
      </c>
      <c r="L1625">
        <v>10901</v>
      </c>
      <c r="M1625" t="s">
        <v>8995</v>
      </c>
      <c r="N1625">
        <v>862584</v>
      </c>
      <c r="O1625" t="s">
        <v>8989</v>
      </c>
      <c r="P1625">
        <v>862584</v>
      </c>
      <c r="Q1625" t="s">
        <v>8989</v>
      </c>
      <c r="R1625" t="s">
        <v>8990</v>
      </c>
      <c r="S1625" t="s">
        <v>8991</v>
      </c>
      <c r="T1625" t="s">
        <v>117</v>
      </c>
      <c r="U1625" t="s">
        <v>4072</v>
      </c>
      <c r="V1625" t="s">
        <v>2215</v>
      </c>
    </row>
    <row r="1626" spans="1:33" x14ac:dyDescent="0.3">
      <c r="A1626">
        <v>32903</v>
      </c>
      <c r="B1626" t="s">
        <v>8996</v>
      </c>
      <c r="C1626" t="str">
        <f>"1100005265233"</f>
        <v>1100005265233</v>
      </c>
      <c r="D1626" t="str">
        <f>"340RDKV00"</f>
        <v>340RDKV00</v>
      </c>
      <c r="E1626" s="1">
        <v>45468</v>
      </c>
      <c r="F1626" t="s">
        <v>8997</v>
      </c>
      <c r="G1626" t="e">
        <f>INDEX(#REF!,MATCH(P1626,#REF!,0),1)</f>
        <v>#REF!</v>
      </c>
      <c r="H1626" t="s">
        <v>8998</v>
      </c>
      <c r="J1626" t="s">
        <v>7561</v>
      </c>
      <c r="K1626" t="s">
        <v>251</v>
      </c>
      <c r="L1626" t="str">
        <f>"07601-3287"</f>
        <v>07601-3287</v>
      </c>
      <c r="M1626" t="s">
        <v>8999</v>
      </c>
      <c r="N1626">
        <v>3419308</v>
      </c>
      <c r="O1626" t="s">
        <v>7638</v>
      </c>
      <c r="P1626">
        <v>3581955</v>
      </c>
      <c r="Q1626" t="s">
        <v>7638</v>
      </c>
      <c r="R1626" t="s">
        <v>7384</v>
      </c>
      <c r="S1626" t="s">
        <v>7385</v>
      </c>
      <c r="T1626" t="s">
        <v>2214</v>
      </c>
      <c r="U1626" t="s">
        <v>2214</v>
      </c>
      <c r="V1626" t="s">
        <v>2215</v>
      </c>
      <c r="AF1626" t="s">
        <v>7552</v>
      </c>
    </row>
    <row r="1627" spans="1:33" x14ac:dyDescent="0.3">
      <c r="A1627">
        <v>32906</v>
      </c>
      <c r="B1627" t="s">
        <v>9000</v>
      </c>
      <c r="C1627" t="str">
        <f>""</f>
        <v/>
      </c>
      <c r="D1627" t="str">
        <f>"340M8FG00"</f>
        <v>340M8FG00</v>
      </c>
      <c r="E1627" s="1">
        <v>42917</v>
      </c>
      <c r="F1627" t="s">
        <v>9001</v>
      </c>
      <c r="G1627" t="e">
        <f>INDEX(#REF!,MATCH(P1627,#REF!,0),1)</f>
        <v>#REF!</v>
      </c>
      <c r="H1627" t="s">
        <v>9002</v>
      </c>
      <c r="J1627" t="s">
        <v>7915</v>
      </c>
      <c r="K1627" t="s">
        <v>251</v>
      </c>
      <c r="L1627" t="str">
        <f>"07451"</f>
        <v>07451</v>
      </c>
      <c r="M1627" t="s">
        <v>9003</v>
      </c>
      <c r="N1627">
        <v>32906</v>
      </c>
      <c r="O1627" t="s">
        <v>9001</v>
      </c>
      <c r="P1627">
        <v>32906</v>
      </c>
      <c r="Q1627" t="s">
        <v>9001</v>
      </c>
      <c r="R1627" t="s">
        <v>7442</v>
      </c>
      <c r="S1627" t="s">
        <v>7443</v>
      </c>
      <c r="T1627" t="s">
        <v>2214</v>
      </c>
      <c r="U1627" t="s">
        <v>2214</v>
      </c>
    </row>
    <row r="1628" spans="1:33" x14ac:dyDescent="0.3">
      <c r="A1628">
        <v>32908</v>
      </c>
      <c r="B1628" t="s">
        <v>9004</v>
      </c>
      <c r="C1628" t="str">
        <f>"1100004124579"</f>
        <v>1100004124579</v>
      </c>
      <c r="D1628" t="str">
        <f>"220740F00"</f>
        <v>220740F00</v>
      </c>
      <c r="E1628" s="1">
        <v>42583</v>
      </c>
      <c r="F1628" t="s">
        <v>9005</v>
      </c>
      <c r="G1628" t="e">
        <f>INDEX(#REF!,MATCH(P1628,#REF!,0),1)</f>
        <v>#REF!</v>
      </c>
      <c r="H1628" t="s">
        <v>9006</v>
      </c>
      <c r="J1628" t="s">
        <v>2418</v>
      </c>
      <c r="K1628" t="s">
        <v>251</v>
      </c>
      <c r="L1628" t="str">
        <f>"08901-1928"</f>
        <v>08901-1928</v>
      </c>
      <c r="M1628" t="s">
        <v>9007</v>
      </c>
      <c r="N1628">
        <v>3209841</v>
      </c>
      <c r="O1628" t="s">
        <v>410</v>
      </c>
      <c r="P1628">
        <v>3209841</v>
      </c>
      <c r="Q1628" t="s">
        <v>410</v>
      </c>
      <c r="R1628" t="s">
        <v>411</v>
      </c>
      <c r="S1628" t="s">
        <v>412</v>
      </c>
      <c r="T1628" t="s">
        <v>44</v>
      </c>
      <c r="U1628" t="s">
        <v>45</v>
      </c>
      <c r="Y1628" t="s">
        <v>46</v>
      </c>
      <c r="Z1628" s="1">
        <v>45170</v>
      </c>
      <c r="AE1628" t="s">
        <v>47</v>
      </c>
      <c r="AG1628" t="s">
        <v>48</v>
      </c>
    </row>
    <row r="1629" spans="1:33" x14ac:dyDescent="0.3">
      <c r="A1629">
        <v>32909</v>
      </c>
      <c r="B1629" t="s">
        <v>9008</v>
      </c>
      <c r="C1629" t="str">
        <f>""</f>
        <v/>
      </c>
      <c r="D1629" t="str">
        <f>"2204109F4"</f>
        <v>2204109F4</v>
      </c>
      <c r="E1629" s="1">
        <v>42583</v>
      </c>
      <c r="F1629" t="s">
        <v>9009</v>
      </c>
      <c r="G1629" t="e">
        <f>INDEX(#REF!,MATCH(P1629,#REF!,0),1)</f>
        <v>#REF!</v>
      </c>
      <c r="H1629" t="s">
        <v>9010</v>
      </c>
      <c r="J1629" t="s">
        <v>1314</v>
      </c>
      <c r="K1629" t="s">
        <v>251</v>
      </c>
      <c r="L1629" t="str">
        <f>"08690-3542"</f>
        <v>08690-3542</v>
      </c>
      <c r="M1629" t="s">
        <v>9011</v>
      </c>
      <c r="N1629">
        <v>3209841</v>
      </c>
      <c r="O1629" t="s">
        <v>410</v>
      </c>
      <c r="P1629">
        <v>3209841</v>
      </c>
      <c r="Q1629" t="s">
        <v>410</v>
      </c>
      <c r="R1629" t="s">
        <v>411</v>
      </c>
      <c r="S1629" t="s">
        <v>412</v>
      </c>
      <c r="T1629" t="s">
        <v>44</v>
      </c>
      <c r="U1629" t="s">
        <v>45</v>
      </c>
      <c r="Y1629" t="s">
        <v>46</v>
      </c>
      <c r="Z1629" s="1">
        <v>45170</v>
      </c>
      <c r="AE1629" t="s">
        <v>47</v>
      </c>
      <c r="AG1629" t="s">
        <v>48</v>
      </c>
    </row>
    <row r="1630" spans="1:33" x14ac:dyDescent="0.3">
      <c r="A1630">
        <v>32917</v>
      </c>
      <c r="B1630" t="s">
        <v>9012</v>
      </c>
      <c r="C1630" t="str">
        <f>""</f>
        <v/>
      </c>
      <c r="D1630" t="str">
        <f>"34Z4PXW00"</f>
        <v>34Z4PXW00</v>
      </c>
      <c r="E1630" s="1">
        <v>42614</v>
      </c>
      <c r="F1630" t="s">
        <v>9013</v>
      </c>
      <c r="G1630" t="e">
        <f>INDEX(#REF!,MATCH(P1630,#REF!,0),1)</f>
        <v>#REF!</v>
      </c>
      <c r="H1630" t="s">
        <v>9014</v>
      </c>
      <c r="J1630" t="s">
        <v>9015</v>
      </c>
      <c r="K1630" t="s">
        <v>251</v>
      </c>
      <c r="L1630" t="str">
        <f>"08402"</f>
        <v>08402</v>
      </c>
      <c r="M1630" t="s">
        <v>9016</v>
      </c>
      <c r="N1630">
        <v>4155233</v>
      </c>
      <c r="O1630" t="s">
        <v>9017</v>
      </c>
      <c r="P1630">
        <v>4155233</v>
      </c>
      <c r="Q1630" t="s">
        <v>9017</v>
      </c>
      <c r="R1630" t="s">
        <v>5064</v>
      </c>
      <c r="S1630" t="s">
        <v>5065</v>
      </c>
      <c r="T1630" t="s">
        <v>2214</v>
      </c>
      <c r="U1630" t="s">
        <v>2214</v>
      </c>
      <c r="V1630" t="s">
        <v>2215</v>
      </c>
    </row>
    <row r="1631" spans="1:33" x14ac:dyDescent="0.3">
      <c r="A1631">
        <v>32924</v>
      </c>
      <c r="B1631" t="s">
        <v>9018</v>
      </c>
      <c r="C1631" t="str">
        <f>""</f>
        <v/>
      </c>
      <c r="D1631" t="str">
        <f>"4623C0R00"</f>
        <v>4623C0R00</v>
      </c>
      <c r="E1631" s="1">
        <v>42917</v>
      </c>
      <c r="F1631" t="s">
        <v>9019</v>
      </c>
      <c r="G1631" t="e">
        <f>INDEX(#REF!,MATCH(P1631,#REF!,0),1)</f>
        <v>#REF!</v>
      </c>
      <c r="H1631" t="s">
        <v>9020</v>
      </c>
      <c r="J1631" t="s">
        <v>8903</v>
      </c>
      <c r="K1631" t="s">
        <v>251</v>
      </c>
      <c r="L1631" t="str">
        <f>"07834"</f>
        <v>07834</v>
      </c>
      <c r="M1631" t="s">
        <v>9021</v>
      </c>
      <c r="N1631">
        <v>32924</v>
      </c>
      <c r="O1631" t="s">
        <v>9019</v>
      </c>
      <c r="P1631">
        <v>32924</v>
      </c>
      <c r="Q1631" t="s">
        <v>9019</v>
      </c>
      <c r="R1631" t="s">
        <v>7442</v>
      </c>
      <c r="S1631" t="s">
        <v>7443</v>
      </c>
      <c r="T1631" t="s">
        <v>2214</v>
      </c>
      <c r="U1631" t="s">
        <v>5012</v>
      </c>
    </row>
    <row r="1632" spans="1:33" x14ac:dyDescent="0.3">
      <c r="A1632">
        <v>32926</v>
      </c>
      <c r="B1632" t="s">
        <v>9022</v>
      </c>
      <c r="C1632" t="str">
        <f>"1100003784262"</f>
        <v>1100003784262</v>
      </c>
      <c r="D1632" t="str">
        <f>"5LDRWKA00"</f>
        <v>5LDRWKA00</v>
      </c>
      <c r="E1632" s="1">
        <v>35796</v>
      </c>
      <c r="F1632" t="s">
        <v>9023</v>
      </c>
      <c r="G1632" t="e">
        <f>INDEX(#REF!,MATCH(P1632,#REF!,0),1)</f>
        <v>#REF!</v>
      </c>
      <c r="H1632" t="s">
        <v>9024</v>
      </c>
      <c r="J1632" t="s">
        <v>1179</v>
      </c>
      <c r="K1632" t="s">
        <v>225</v>
      </c>
      <c r="L1632" t="s">
        <v>9025</v>
      </c>
      <c r="M1632" t="s">
        <v>3226</v>
      </c>
      <c r="N1632">
        <v>32926</v>
      </c>
      <c r="O1632" t="s">
        <v>9023</v>
      </c>
      <c r="P1632">
        <v>32926</v>
      </c>
      <c r="Q1632" t="s">
        <v>9023</v>
      </c>
      <c r="R1632" t="s">
        <v>4689</v>
      </c>
      <c r="S1632" t="s">
        <v>4690</v>
      </c>
      <c r="T1632" t="s">
        <v>2277</v>
      </c>
      <c r="U1632" t="s">
        <v>3103</v>
      </c>
      <c r="V1632" t="s">
        <v>2215</v>
      </c>
    </row>
    <row r="1633" spans="1:33" x14ac:dyDescent="0.3">
      <c r="A1633">
        <v>32929</v>
      </c>
      <c r="B1633" t="s">
        <v>9026</v>
      </c>
      <c r="C1633" t="str">
        <f>""</f>
        <v/>
      </c>
      <c r="D1633" t="str">
        <f>"345KBDK00"</f>
        <v>345KBDK00</v>
      </c>
      <c r="E1633" s="1">
        <v>42917</v>
      </c>
      <c r="F1633" t="s">
        <v>9027</v>
      </c>
      <c r="G1633" t="e">
        <f>INDEX(#REF!,MATCH(P1633,#REF!,0),1)</f>
        <v>#REF!</v>
      </c>
      <c r="H1633" t="s">
        <v>9028</v>
      </c>
      <c r="J1633" t="s">
        <v>8876</v>
      </c>
      <c r="K1633" t="s">
        <v>251</v>
      </c>
      <c r="L1633" t="str">
        <f>"07052"</f>
        <v>07052</v>
      </c>
      <c r="M1633" t="s">
        <v>9029</v>
      </c>
      <c r="N1633">
        <v>32929</v>
      </c>
      <c r="O1633" t="s">
        <v>9027</v>
      </c>
      <c r="P1633">
        <v>32929</v>
      </c>
      <c r="Q1633" t="s">
        <v>9027</v>
      </c>
      <c r="R1633" t="s">
        <v>7442</v>
      </c>
      <c r="S1633" t="s">
        <v>7443</v>
      </c>
      <c r="T1633" t="s">
        <v>2214</v>
      </c>
      <c r="U1633" t="s">
        <v>2214</v>
      </c>
    </row>
    <row r="1634" spans="1:33" x14ac:dyDescent="0.3">
      <c r="A1634">
        <v>32930</v>
      </c>
      <c r="B1634" t="s">
        <v>9030</v>
      </c>
      <c r="C1634" t="str">
        <f>"1100004829702"</f>
        <v>1100004829702</v>
      </c>
      <c r="D1634" t="str">
        <f>"EK5FMAE00"</f>
        <v>EK5FMAE00</v>
      </c>
      <c r="E1634" s="1">
        <v>40381</v>
      </c>
      <c r="F1634" t="s">
        <v>9031</v>
      </c>
      <c r="G1634" t="e">
        <f>INDEX(#REF!,MATCH(P1634,#REF!,0),1)</f>
        <v>#REF!</v>
      </c>
      <c r="H1634" t="s">
        <v>9032</v>
      </c>
      <c r="J1634" t="s">
        <v>3356</v>
      </c>
      <c r="K1634" t="s">
        <v>65</v>
      </c>
      <c r="L1634" t="s">
        <v>9033</v>
      </c>
      <c r="M1634" t="s">
        <v>9034</v>
      </c>
      <c r="N1634">
        <v>32930</v>
      </c>
      <c r="O1634" t="s">
        <v>9031</v>
      </c>
      <c r="P1634">
        <v>32930</v>
      </c>
      <c r="Q1634" t="s">
        <v>9031</v>
      </c>
      <c r="R1634" t="s">
        <v>6187</v>
      </c>
      <c r="S1634" t="s">
        <v>6188</v>
      </c>
      <c r="T1634" t="s">
        <v>2277</v>
      </c>
      <c r="U1634" t="s">
        <v>9035</v>
      </c>
      <c r="V1634" t="s">
        <v>2215</v>
      </c>
    </row>
    <row r="1635" spans="1:33" x14ac:dyDescent="0.3">
      <c r="A1635">
        <v>32934</v>
      </c>
      <c r="B1635" t="s">
        <v>9036</v>
      </c>
      <c r="C1635" t="str">
        <f>""</f>
        <v/>
      </c>
      <c r="D1635" t="str">
        <f>"22NJA3N00"</f>
        <v>22NJA3N00</v>
      </c>
      <c r="E1635" s="1">
        <v>42917</v>
      </c>
      <c r="F1635" t="s">
        <v>9037</v>
      </c>
      <c r="G1635" t="e">
        <f>INDEX(#REF!,MATCH(P1635,#REF!,0),1)</f>
        <v>#REF!</v>
      </c>
      <c r="H1635" t="s">
        <v>9038</v>
      </c>
      <c r="J1635" t="s">
        <v>669</v>
      </c>
      <c r="K1635" t="s">
        <v>251</v>
      </c>
      <c r="L1635" t="str">
        <f>"07848"</f>
        <v>07848</v>
      </c>
      <c r="M1635" t="s">
        <v>9039</v>
      </c>
      <c r="N1635">
        <v>32934</v>
      </c>
      <c r="O1635" t="s">
        <v>9037</v>
      </c>
      <c r="P1635">
        <v>32934</v>
      </c>
      <c r="Q1635" t="s">
        <v>9037</v>
      </c>
      <c r="R1635" t="s">
        <v>7442</v>
      </c>
      <c r="S1635" t="s">
        <v>7443</v>
      </c>
      <c r="T1635" t="s">
        <v>2214</v>
      </c>
      <c r="U1635" t="s">
        <v>2214</v>
      </c>
    </row>
    <row r="1636" spans="1:33" x14ac:dyDescent="0.3">
      <c r="A1636">
        <v>32937</v>
      </c>
      <c r="B1636" t="s">
        <v>9040</v>
      </c>
      <c r="C1636" t="str">
        <f>""</f>
        <v/>
      </c>
      <c r="D1636" t="str">
        <f>"232140CF0"</f>
        <v>232140CF0</v>
      </c>
      <c r="E1636" s="1">
        <v>44861</v>
      </c>
      <c r="F1636" t="s">
        <v>9041</v>
      </c>
      <c r="G1636" t="e">
        <f>INDEX(#REF!,MATCH(P1636,#REF!,0),1)</f>
        <v>#REF!</v>
      </c>
      <c r="H1636" t="s">
        <v>9042</v>
      </c>
      <c r="J1636" t="s">
        <v>786</v>
      </c>
      <c r="K1636" t="s">
        <v>65</v>
      </c>
      <c r="L1636" t="s">
        <v>9043</v>
      </c>
      <c r="M1636" t="s">
        <v>9044</v>
      </c>
      <c r="N1636">
        <v>56976</v>
      </c>
      <c r="O1636" t="s">
        <v>1752</v>
      </c>
      <c r="P1636">
        <v>56976</v>
      </c>
      <c r="Q1636" t="s">
        <v>1752</v>
      </c>
      <c r="R1636" t="s">
        <v>3751</v>
      </c>
      <c r="S1636" t="s">
        <v>3752</v>
      </c>
      <c r="T1636" t="s">
        <v>117</v>
      </c>
      <c r="U1636" t="s">
        <v>2479</v>
      </c>
      <c r="V1636" t="s">
        <v>1824</v>
      </c>
      <c r="Y1636" t="s">
        <v>46</v>
      </c>
      <c r="Z1636" s="1">
        <v>44861</v>
      </c>
      <c r="AA1636" t="s">
        <v>119</v>
      </c>
      <c r="AE1636" t="s">
        <v>564</v>
      </c>
      <c r="AG1636" t="s">
        <v>48</v>
      </c>
    </row>
    <row r="1637" spans="1:33" x14ac:dyDescent="0.3">
      <c r="A1637">
        <v>32942</v>
      </c>
      <c r="B1637" t="s">
        <v>9045</v>
      </c>
      <c r="C1637" t="str">
        <f>"1100005274020"</f>
        <v>1100005274020</v>
      </c>
      <c r="D1637" t="str">
        <f>"34AOKH600"</f>
        <v>34AOKH600</v>
      </c>
      <c r="E1637" s="1">
        <v>42583</v>
      </c>
      <c r="F1637" t="s">
        <v>9046</v>
      </c>
      <c r="G1637" t="e">
        <f>INDEX(#REF!,MATCH(P1637,#REF!,0),1)</f>
        <v>#REF!</v>
      </c>
      <c r="H1637" t="s">
        <v>9047</v>
      </c>
      <c r="J1637" t="s">
        <v>8672</v>
      </c>
      <c r="K1637" t="s">
        <v>251</v>
      </c>
      <c r="L1637" t="str">
        <f>"07728"</f>
        <v>07728</v>
      </c>
      <c r="M1637" t="s">
        <v>9048</v>
      </c>
      <c r="N1637">
        <v>32693</v>
      </c>
      <c r="O1637" t="s">
        <v>8674</v>
      </c>
      <c r="P1637">
        <v>32693</v>
      </c>
      <c r="Q1637" t="s">
        <v>8674</v>
      </c>
      <c r="R1637" t="s">
        <v>254</v>
      </c>
      <c r="S1637" t="s">
        <v>255</v>
      </c>
      <c r="T1637" t="s">
        <v>2214</v>
      </c>
      <c r="U1637" t="s">
        <v>2214</v>
      </c>
    </row>
    <row r="1638" spans="1:33" x14ac:dyDescent="0.3">
      <c r="A1638">
        <v>32943</v>
      </c>
      <c r="B1638" t="s">
        <v>9049</v>
      </c>
      <c r="C1638" t="str">
        <f>""</f>
        <v/>
      </c>
      <c r="D1638" t="str">
        <f>"220940H00"</f>
        <v>220940H00</v>
      </c>
      <c r="E1638" s="1">
        <v>45383</v>
      </c>
      <c r="F1638" t="s">
        <v>9050</v>
      </c>
      <c r="G1638" t="e">
        <f>INDEX(#REF!,MATCH(P1638,#REF!,0),1)</f>
        <v>#REF!</v>
      </c>
      <c r="H1638" t="s">
        <v>9051</v>
      </c>
      <c r="I1638" t="s">
        <v>9052</v>
      </c>
      <c r="J1638" t="s">
        <v>9053</v>
      </c>
      <c r="K1638" t="s">
        <v>251</v>
      </c>
      <c r="L1638" t="str">
        <f>"07977"</f>
        <v>07977</v>
      </c>
      <c r="M1638" t="s">
        <v>9054</v>
      </c>
      <c r="N1638">
        <v>32943</v>
      </c>
      <c r="O1638" t="s">
        <v>9050</v>
      </c>
      <c r="P1638">
        <v>32943</v>
      </c>
      <c r="Q1638" t="s">
        <v>9050</v>
      </c>
      <c r="R1638" t="s">
        <v>6187</v>
      </c>
      <c r="S1638" t="s">
        <v>6188</v>
      </c>
      <c r="T1638" t="s">
        <v>44</v>
      </c>
      <c r="U1638" t="s">
        <v>3640</v>
      </c>
      <c r="V1638" t="s">
        <v>2215</v>
      </c>
    </row>
    <row r="1639" spans="1:33" x14ac:dyDescent="0.3">
      <c r="A1639">
        <v>32944</v>
      </c>
      <c r="B1639" t="s">
        <v>9055</v>
      </c>
      <c r="C1639" t="str">
        <f>"1100003947780"</f>
        <v>1100003947780</v>
      </c>
      <c r="D1639" t="str">
        <f>"230440D00"</f>
        <v>230440D00</v>
      </c>
      <c r="E1639" s="1">
        <v>44348</v>
      </c>
      <c r="F1639" t="s">
        <v>9056</v>
      </c>
      <c r="G1639" t="e">
        <f>INDEX(#REF!,MATCH(P1639,#REF!,0),1)</f>
        <v>#REF!</v>
      </c>
      <c r="H1639" t="s">
        <v>9057</v>
      </c>
      <c r="J1639" t="s">
        <v>9058</v>
      </c>
      <c r="K1639" t="s">
        <v>65</v>
      </c>
      <c r="L1639">
        <v>16828</v>
      </c>
      <c r="M1639" t="s">
        <v>9059</v>
      </c>
      <c r="N1639">
        <v>32944</v>
      </c>
      <c r="O1639" t="s">
        <v>9056</v>
      </c>
      <c r="P1639">
        <v>32944</v>
      </c>
      <c r="Q1639" t="s">
        <v>9056</v>
      </c>
      <c r="R1639" t="s">
        <v>6187</v>
      </c>
      <c r="S1639" t="s">
        <v>6188</v>
      </c>
      <c r="T1639" t="s">
        <v>44</v>
      </c>
      <c r="U1639" t="s">
        <v>1823</v>
      </c>
      <c r="V1639" t="s">
        <v>2215</v>
      </c>
    </row>
    <row r="1640" spans="1:33" x14ac:dyDescent="0.3">
      <c r="A1640">
        <v>32955</v>
      </c>
      <c r="B1640" t="s">
        <v>9060</v>
      </c>
      <c r="C1640" t="str">
        <f>""</f>
        <v/>
      </c>
      <c r="D1640" t="str">
        <f>"70RHM6700"</f>
        <v>70RHM6700</v>
      </c>
      <c r="E1640" s="1">
        <v>42614</v>
      </c>
      <c r="F1640" t="s">
        <v>8724</v>
      </c>
      <c r="G1640" t="e">
        <f>INDEX(#REF!,MATCH(P1640,#REF!,0),1)</f>
        <v>#REF!</v>
      </c>
      <c r="H1640" t="s">
        <v>9061</v>
      </c>
      <c r="I1640" t="s">
        <v>9062</v>
      </c>
      <c r="J1640" t="s">
        <v>2587</v>
      </c>
      <c r="K1640" t="s">
        <v>251</v>
      </c>
      <c r="L1640" t="str">
        <f>"07753"</f>
        <v>07753</v>
      </c>
      <c r="M1640" t="s">
        <v>9063</v>
      </c>
      <c r="N1640">
        <v>32955</v>
      </c>
      <c r="O1640" t="s">
        <v>8724</v>
      </c>
      <c r="P1640">
        <v>32955</v>
      </c>
      <c r="Q1640" t="s">
        <v>8724</v>
      </c>
      <c r="R1640" t="s">
        <v>5064</v>
      </c>
      <c r="S1640" t="s">
        <v>5065</v>
      </c>
      <c r="T1640" t="s">
        <v>2214</v>
      </c>
      <c r="U1640" t="s">
        <v>2214</v>
      </c>
      <c r="V1640" t="s">
        <v>2215</v>
      </c>
    </row>
    <row r="1641" spans="1:33" x14ac:dyDescent="0.3">
      <c r="A1641">
        <v>32956</v>
      </c>
      <c r="B1641" t="s">
        <v>9064</v>
      </c>
      <c r="C1641" t="str">
        <f>""</f>
        <v/>
      </c>
      <c r="D1641" t="str">
        <f>"220820E00"</f>
        <v>220820E00</v>
      </c>
      <c r="E1641" s="1">
        <v>42583</v>
      </c>
      <c r="F1641" t="s">
        <v>9065</v>
      </c>
      <c r="G1641" t="e">
        <f>INDEX(#REF!,MATCH(P1641,#REF!,0),1)</f>
        <v>#REF!</v>
      </c>
      <c r="H1641" t="s">
        <v>9066</v>
      </c>
      <c r="J1641" t="s">
        <v>4792</v>
      </c>
      <c r="K1641" t="s">
        <v>251</v>
      </c>
      <c r="L1641" t="str">
        <f>"07103-2496"</f>
        <v>07103-2496</v>
      </c>
      <c r="M1641" t="s">
        <v>9067</v>
      </c>
      <c r="N1641">
        <v>32956</v>
      </c>
      <c r="O1641" t="s">
        <v>9065</v>
      </c>
      <c r="P1641">
        <v>32956</v>
      </c>
      <c r="Q1641" t="s">
        <v>9065</v>
      </c>
      <c r="R1641" t="s">
        <v>254</v>
      </c>
      <c r="S1641" t="s">
        <v>255</v>
      </c>
      <c r="T1641" t="s">
        <v>44</v>
      </c>
      <c r="U1641" t="s">
        <v>45</v>
      </c>
    </row>
    <row r="1642" spans="1:33" x14ac:dyDescent="0.3">
      <c r="A1642">
        <v>32961</v>
      </c>
      <c r="B1642" t="s">
        <v>9068</v>
      </c>
      <c r="C1642" t="str">
        <f>""</f>
        <v/>
      </c>
      <c r="D1642" t="str">
        <f>"343B04P00"</f>
        <v>343B04P00</v>
      </c>
      <c r="E1642" s="1">
        <v>42614</v>
      </c>
      <c r="F1642" t="s">
        <v>9069</v>
      </c>
      <c r="G1642" t="e">
        <f>INDEX(#REF!,MATCH(P1642,#REF!,0),1)</f>
        <v>#REF!</v>
      </c>
      <c r="H1642" t="s">
        <v>9070</v>
      </c>
      <c r="J1642" t="s">
        <v>9071</v>
      </c>
      <c r="K1642" t="s">
        <v>251</v>
      </c>
      <c r="L1642" t="str">
        <f>"08826"</f>
        <v>08826</v>
      </c>
      <c r="M1642" t="s">
        <v>9072</v>
      </c>
      <c r="N1642">
        <v>32955</v>
      </c>
      <c r="O1642" t="s">
        <v>8724</v>
      </c>
      <c r="P1642">
        <v>32955</v>
      </c>
      <c r="Q1642" t="s">
        <v>8724</v>
      </c>
      <c r="R1642" t="s">
        <v>5064</v>
      </c>
      <c r="S1642" t="s">
        <v>5065</v>
      </c>
      <c r="T1642" t="s">
        <v>2214</v>
      </c>
      <c r="U1642" t="s">
        <v>2214</v>
      </c>
      <c r="V1642" t="s">
        <v>2215</v>
      </c>
      <c r="AD1642" t="s">
        <v>59</v>
      </c>
    </row>
    <row r="1643" spans="1:33" x14ac:dyDescent="0.3">
      <c r="A1643">
        <v>32962</v>
      </c>
      <c r="B1643" t="s">
        <v>9073</v>
      </c>
      <c r="C1643" t="str">
        <f>""</f>
        <v/>
      </c>
      <c r="D1643" t="str">
        <f>"5AYYP1100"</f>
        <v>5AYYP1100</v>
      </c>
      <c r="E1643" s="1">
        <v>42614</v>
      </c>
      <c r="F1643" t="s">
        <v>9074</v>
      </c>
      <c r="G1643" t="e">
        <f>INDEX(#REF!,MATCH(P1643,#REF!,0),1)</f>
        <v>#REF!</v>
      </c>
      <c r="H1643" t="s">
        <v>9075</v>
      </c>
      <c r="J1643" t="s">
        <v>9071</v>
      </c>
      <c r="K1643" t="s">
        <v>251</v>
      </c>
      <c r="L1643" t="str">
        <f>"08226"</f>
        <v>08226</v>
      </c>
      <c r="M1643" t="s">
        <v>9072</v>
      </c>
      <c r="N1643">
        <v>32955</v>
      </c>
      <c r="O1643" t="s">
        <v>8724</v>
      </c>
      <c r="P1643">
        <v>32955</v>
      </c>
      <c r="Q1643" t="s">
        <v>8724</v>
      </c>
      <c r="R1643" t="s">
        <v>5064</v>
      </c>
      <c r="S1643" t="s">
        <v>5065</v>
      </c>
      <c r="T1643" t="s">
        <v>2214</v>
      </c>
      <c r="U1643" t="s">
        <v>2214</v>
      </c>
      <c r="V1643" t="s">
        <v>2215</v>
      </c>
    </row>
    <row r="1644" spans="1:33" x14ac:dyDescent="0.3">
      <c r="A1644">
        <v>32972</v>
      </c>
      <c r="B1644" t="s">
        <v>9076</v>
      </c>
      <c r="C1644" t="str">
        <f>"1100005373051"</f>
        <v>1100005373051</v>
      </c>
      <c r="D1644" t="str">
        <f>"JD2264A00"</f>
        <v>JD2264A00</v>
      </c>
      <c r="E1644" s="1">
        <v>35827</v>
      </c>
      <c r="F1644" t="s">
        <v>9077</v>
      </c>
      <c r="G1644" t="e">
        <f>INDEX(#REF!,MATCH(P1644,#REF!,0),1)</f>
        <v>#REF!</v>
      </c>
      <c r="H1644" t="s">
        <v>9078</v>
      </c>
      <c r="J1644" t="s">
        <v>282</v>
      </c>
      <c r="K1644" t="s">
        <v>283</v>
      </c>
      <c r="L1644">
        <v>55402</v>
      </c>
      <c r="M1644" t="s">
        <v>9079</v>
      </c>
      <c r="N1644">
        <v>559</v>
      </c>
      <c r="O1644" t="s">
        <v>2041</v>
      </c>
      <c r="P1644">
        <v>3834</v>
      </c>
      <c r="Q1644" t="s">
        <v>4510</v>
      </c>
      <c r="R1644" t="s">
        <v>3864</v>
      </c>
      <c r="S1644" t="s">
        <v>3865</v>
      </c>
      <c r="T1644" t="s">
        <v>2277</v>
      </c>
      <c r="U1644" t="s">
        <v>4419</v>
      </c>
      <c r="V1644" t="s">
        <v>1824</v>
      </c>
      <c r="AD1644" t="s">
        <v>94</v>
      </c>
      <c r="AE1644" t="s">
        <v>120</v>
      </c>
    </row>
    <row r="1645" spans="1:33" x14ac:dyDescent="0.3">
      <c r="A1645">
        <v>33116</v>
      </c>
      <c r="B1645" t="s">
        <v>9080</v>
      </c>
      <c r="C1645" t="str">
        <f>""</f>
        <v/>
      </c>
      <c r="D1645" t="str">
        <f>"JH3HMEK00"</f>
        <v>JH3HMEK00</v>
      </c>
      <c r="E1645" s="1">
        <v>42614</v>
      </c>
      <c r="F1645" t="s">
        <v>9081</v>
      </c>
      <c r="G1645" t="e">
        <f>INDEX(#REF!,MATCH(P1645,#REF!,0),1)</f>
        <v>#REF!</v>
      </c>
      <c r="H1645" t="s">
        <v>9082</v>
      </c>
      <c r="J1645" t="s">
        <v>9083</v>
      </c>
      <c r="K1645" t="s">
        <v>533</v>
      </c>
      <c r="L1645">
        <v>83704</v>
      </c>
      <c r="M1645" t="s">
        <v>9084</v>
      </c>
      <c r="N1645">
        <v>1177915</v>
      </c>
      <c r="O1645" t="s">
        <v>9085</v>
      </c>
      <c r="P1645">
        <v>1177915</v>
      </c>
      <c r="Q1645" t="s">
        <v>9085</v>
      </c>
      <c r="R1645" t="s">
        <v>4609</v>
      </c>
      <c r="S1645" t="s">
        <v>4610</v>
      </c>
      <c r="T1645" t="s">
        <v>2277</v>
      </c>
      <c r="U1645" t="s">
        <v>2278</v>
      </c>
      <c r="V1645" t="s">
        <v>2215</v>
      </c>
      <c r="AD1645" t="s">
        <v>59</v>
      </c>
      <c r="AF1645" t="s">
        <v>9086</v>
      </c>
    </row>
    <row r="1646" spans="1:33" x14ac:dyDescent="0.3">
      <c r="A1646">
        <v>33121</v>
      </c>
      <c r="B1646" t="s">
        <v>9087</v>
      </c>
      <c r="C1646" t="str">
        <f>"1100005143227"</f>
        <v>1100005143227</v>
      </c>
      <c r="D1646" t="str">
        <f>"2E4354W00"</f>
        <v>2E4354W00</v>
      </c>
      <c r="E1646" s="1">
        <v>35458</v>
      </c>
      <c r="F1646" t="s">
        <v>9088</v>
      </c>
      <c r="G1646" t="e">
        <f>INDEX(#REF!,MATCH(P1646,#REF!,0),1)</f>
        <v>#REF!</v>
      </c>
      <c r="H1646" t="s">
        <v>9089</v>
      </c>
      <c r="J1646" t="s">
        <v>9083</v>
      </c>
      <c r="K1646" t="s">
        <v>533</v>
      </c>
      <c r="L1646" t="s">
        <v>9090</v>
      </c>
      <c r="M1646" t="s">
        <v>9091</v>
      </c>
      <c r="N1646">
        <v>33121</v>
      </c>
      <c r="O1646" t="s">
        <v>9088</v>
      </c>
      <c r="P1646">
        <v>33121</v>
      </c>
      <c r="Q1646" t="s">
        <v>9088</v>
      </c>
      <c r="R1646" t="s">
        <v>4689</v>
      </c>
      <c r="S1646" t="s">
        <v>4690</v>
      </c>
      <c r="T1646" t="s">
        <v>2277</v>
      </c>
      <c r="U1646" t="s">
        <v>5497</v>
      </c>
      <c r="V1646" t="s">
        <v>2215</v>
      </c>
    </row>
    <row r="1647" spans="1:33" x14ac:dyDescent="0.3">
      <c r="A1647">
        <v>33123</v>
      </c>
      <c r="B1647" t="s">
        <v>9092</v>
      </c>
      <c r="C1647" t="str">
        <f>"1100002761684"</f>
        <v>1100002761684</v>
      </c>
      <c r="D1647" t="str">
        <f>"GKBM5TV00"</f>
        <v>GKBM5TV00</v>
      </c>
      <c r="E1647" s="1">
        <v>35458</v>
      </c>
      <c r="F1647" t="s">
        <v>9093</v>
      </c>
      <c r="G1647" t="e">
        <f>INDEX(#REF!,MATCH(P1647,#REF!,0),1)</f>
        <v>#REF!</v>
      </c>
      <c r="H1647" t="s">
        <v>9094</v>
      </c>
      <c r="J1647" t="s">
        <v>532</v>
      </c>
      <c r="K1647" t="s">
        <v>533</v>
      </c>
      <c r="L1647" t="s">
        <v>9095</v>
      </c>
      <c r="M1647" t="s">
        <v>9096</v>
      </c>
      <c r="N1647">
        <v>33123</v>
      </c>
      <c r="O1647" t="s">
        <v>9093</v>
      </c>
      <c r="P1647">
        <v>33123</v>
      </c>
      <c r="Q1647" t="s">
        <v>9093</v>
      </c>
      <c r="R1647" t="s">
        <v>4689</v>
      </c>
      <c r="S1647" t="s">
        <v>4690</v>
      </c>
      <c r="T1647" t="s">
        <v>2277</v>
      </c>
      <c r="U1647" t="s">
        <v>9097</v>
      </c>
      <c r="V1647" t="s">
        <v>2215</v>
      </c>
    </row>
    <row r="1648" spans="1:33" x14ac:dyDescent="0.3">
      <c r="A1648">
        <v>33126</v>
      </c>
      <c r="B1648" t="s">
        <v>9098</v>
      </c>
      <c r="C1648" t="str">
        <f>""</f>
        <v/>
      </c>
      <c r="D1648" t="str">
        <f>"78NMW7R00"</f>
        <v>78NMW7R00</v>
      </c>
      <c r="E1648" s="1">
        <v>40064</v>
      </c>
      <c r="F1648" t="s">
        <v>9099</v>
      </c>
      <c r="G1648" t="e">
        <f>INDEX(#REF!,MATCH(P1648,#REF!,0),1)</f>
        <v>#REF!</v>
      </c>
      <c r="H1648" t="s">
        <v>9100</v>
      </c>
      <c r="J1648" t="s">
        <v>9101</v>
      </c>
      <c r="K1648" t="s">
        <v>235</v>
      </c>
      <c r="L1648">
        <v>24986</v>
      </c>
      <c r="M1648" t="s">
        <v>3226</v>
      </c>
      <c r="N1648">
        <v>33126</v>
      </c>
      <c r="O1648" t="s">
        <v>9099</v>
      </c>
      <c r="P1648">
        <v>33126</v>
      </c>
      <c r="Q1648" t="s">
        <v>9099</v>
      </c>
      <c r="R1648" t="s">
        <v>9102</v>
      </c>
      <c r="S1648" t="s">
        <v>9103</v>
      </c>
      <c r="T1648" t="s">
        <v>3674</v>
      </c>
      <c r="U1648" t="s">
        <v>4139</v>
      </c>
      <c r="V1648" t="s">
        <v>2215</v>
      </c>
    </row>
    <row r="1649" spans="1:33" x14ac:dyDescent="0.3">
      <c r="A1649">
        <v>33135</v>
      </c>
      <c r="B1649" t="s">
        <v>9104</v>
      </c>
      <c r="C1649" t="str">
        <f>""</f>
        <v/>
      </c>
      <c r="D1649" t="str">
        <f>"27G9RD200"</f>
        <v>27G9RD200</v>
      </c>
      <c r="E1649" s="1">
        <v>35458</v>
      </c>
      <c r="F1649" t="s">
        <v>9105</v>
      </c>
      <c r="G1649" t="e">
        <f>INDEX(#REF!,MATCH(P1649,#REF!,0),1)</f>
        <v>#REF!</v>
      </c>
      <c r="H1649" t="s">
        <v>9106</v>
      </c>
      <c r="J1649" t="s">
        <v>532</v>
      </c>
      <c r="K1649" t="s">
        <v>533</v>
      </c>
      <c r="L1649" t="s">
        <v>9107</v>
      </c>
      <c r="M1649" t="s">
        <v>9108</v>
      </c>
      <c r="N1649">
        <v>33135</v>
      </c>
      <c r="O1649" t="s">
        <v>9105</v>
      </c>
      <c r="P1649">
        <v>33135</v>
      </c>
      <c r="Q1649" t="s">
        <v>9105</v>
      </c>
      <c r="R1649" t="s">
        <v>4689</v>
      </c>
      <c r="S1649" t="s">
        <v>4690</v>
      </c>
      <c r="T1649" t="s">
        <v>2277</v>
      </c>
      <c r="U1649" t="s">
        <v>5497</v>
      </c>
      <c r="V1649" t="s">
        <v>2215</v>
      </c>
    </row>
    <row r="1650" spans="1:33" x14ac:dyDescent="0.3">
      <c r="A1650">
        <v>33137</v>
      </c>
      <c r="B1650" t="s">
        <v>9109</v>
      </c>
      <c r="C1650" t="str">
        <f>""</f>
        <v/>
      </c>
      <c r="D1650" t="str">
        <f>"YVFHWPA00"</f>
        <v>YVFHWPA00</v>
      </c>
      <c r="E1650" s="1">
        <v>35458</v>
      </c>
      <c r="F1650" t="s">
        <v>9110</v>
      </c>
      <c r="G1650" t="e">
        <f>INDEX(#REF!,MATCH(P1650,#REF!,0),1)</f>
        <v>#REF!</v>
      </c>
      <c r="H1650" t="s">
        <v>9111</v>
      </c>
      <c r="J1650" t="s">
        <v>532</v>
      </c>
      <c r="K1650" t="s">
        <v>533</v>
      </c>
      <c r="L1650" t="s">
        <v>9112</v>
      </c>
      <c r="M1650" t="s">
        <v>9113</v>
      </c>
      <c r="N1650">
        <v>33137</v>
      </c>
      <c r="O1650" t="s">
        <v>9110</v>
      </c>
      <c r="P1650">
        <v>33137</v>
      </c>
      <c r="Q1650" t="s">
        <v>9110</v>
      </c>
      <c r="R1650" t="s">
        <v>4689</v>
      </c>
      <c r="S1650" t="s">
        <v>4690</v>
      </c>
      <c r="T1650" t="s">
        <v>2277</v>
      </c>
      <c r="U1650" t="s">
        <v>3103</v>
      </c>
      <c r="V1650" t="s">
        <v>2215</v>
      </c>
    </row>
    <row r="1651" spans="1:33" x14ac:dyDescent="0.3">
      <c r="A1651">
        <v>33353</v>
      </c>
      <c r="B1651" t="s">
        <v>9114</v>
      </c>
      <c r="C1651" t="str">
        <f>""</f>
        <v/>
      </c>
      <c r="D1651" t="str">
        <f>"360970P00"</f>
        <v>360970P00</v>
      </c>
      <c r="E1651" s="1">
        <v>42583</v>
      </c>
      <c r="F1651" t="s">
        <v>9115</v>
      </c>
      <c r="G1651" t="e">
        <f>INDEX(#REF!,MATCH(P1651,#REF!,0),1)</f>
        <v>#REF!</v>
      </c>
      <c r="H1651" t="s">
        <v>9116</v>
      </c>
      <c r="J1651" t="s">
        <v>9117</v>
      </c>
      <c r="K1651" t="s">
        <v>384</v>
      </c>
      <c r="L1651">
        <v>28092</v>
      </c>
      <c r="M1651" t="s">
        <v>9118</v>
      </c>
      <c r="N1651">
        <v>5949</v>
      </c>
      <c r="O1651" t="s">
        <v>2330</v>
      </c>
      <c r="P1651">
        <v>5949</v>
      </c>
      <c r="Q1651" t="s">
        <v>2330</v>
      </c>
      <c r="R1651" t="s">
        <v>2331</v>
      </c>
      <c r="S1651" t="s">
        <v>2332</v>
      </c>
      <c r="T1651" t="s">
        <v>44</v>
      </c>
      <c r="U1651" t="s">
        <v>45</v>
      </c>
      <c r="AC1651" t="s">
        <v>2333</v>
      </c>
    </row>
    <row r="1652" spans="1:33" x14ac:dyDescent="0.3">
      <c r="A1652">
        <v>33360</v>
      </c>
      <c r="B1652" t="s">
        <v>9119</v>
      </c>
      <c r="C1652" t="str">
        <f>""</f>
        <v/>
      </c>
      <c r="D1652" t="str">
        <f>"F3373WR00"</f>
        <v>F3373WR00</v>
      </c>
      <c r="E1652" s="1">
        <v>42620</v>
      </c>
      <c r="F1652" t="s">
        <v>9120</v>
      </c>
      <c r="G1652" t="e">
        <f>INDEX(#REF!,MATCH(P1652,#REF!,0),1)</f>
        <v>#REF!</v>
      </c>
      <c r="H1652" t="s">
        <v>9121</v>
      </c>
      <c r="J1652" t="s">
        <v>1777</v>
      </c>
      <c r="K1652" t="s">
        <v>125</v>
      </c>
      <c r="L1652" t="s">
        <v>9122</v>
      </c>
      <c r="M1652" t="s">
        <v>9123</v>
      </c>
      <c r="N1652">
        <v>486</v>
      </c>
      <c r="O1652" t="s">
        <v>218</v>
      </c>
      <c r="P1652">
        <v>3560893</v>
      </c>
      <c r="Q1652" t="s">
        <v>9124</v>
      </c>
      <c r="R1652" t="s">
        <v>4838</v>
      </c>
      <c r="S1652" t="s">
        <v>4839</v>
      </c>
      <c r="T1652" t="s">
        <v>2277</v>
      </c>
      <c r="U1652" t="s">
        <v>3103</v>
      </c>
      <c r="V1652" t="s">
        <v>1824</v>
      </c>
      <c r="AA1652" t="s">
        <v>105</v>
      </c>
      <c r="AB1652" t="s">
        <v>93</v>
      </c>
      <c r="AE1652" t="s">
        <v>220</v>
      </c>
    </row>
    <row r="1653" spans="1:33" x14ac:dyDescent="0.3">
      <c r="A1653">
        <v>33361</v>
      </c>
      <c r="B1653" t="s">
        <v>9125</v>
      </c>
      <c r="C1653" t="str">
        <f>"1100004290410"</f>
        <v>1100004290410</v>
      </c>
      <c r="D1653" t="str">
        <f>"E8KEN3A00"</f>
        <v>E8KEN3A00</v>
      </c>
      <c r="E1653" s="1">
        <v>43677</v>
      </c>
      <c r="F1653" t="s">
        <v>9126</v>
      </c>
      <c r="G1653" t="e">
        <f>INDEX(#REF!,MATCH(P1653,#REF!,0),1)</f>
        <v>#REF!</v>
      </c>
      <c r="H1653" t="s">
        <v>9127</v>
      </c>
      <c r="J1653" t="s">
        <v>1777</v>
      </c>
      <c r="K1653" t="s">
        <v>125</v>
      </c>
      <c r="L1653" t="s">
        <v>9128</v>
      </c>
      <c r="M1653" t="s">
        <v>9129</v>
      </c>
      <c r="N1653">
        <v>486</v>
      </c>
      <c r="O1653" t="s">
        <v>218</v>
      </c>
      <c r="P1653">
        <v>3560893</v>
      </c>
      <c r="Q1653" t="s">
        <v>9124</v>
      </c>
      <c r="R1653" t="s">
        <v>4838</v>
      </c>
      <c r="S1653" t="s">
        <v>4839</v>
      </c>
      <c r="T1653" t="s">
        <v>2277</v>
      </c>
      <c r="U1653" t="s">
        <v>2278</v>
      </c>
      <c r="V1653" t="s">
        <v>1824</v>
      </c>
      <c r="AA1653" t="s">
        <v>105</v>
      </c>
      <c r="AB1653" t="s">
        <v>93</v>
      </c>
    </row>
    <row r="1654" spans="1:33" x14ac:dyDescent="0.3">
      <c r="A1654">
        <v>33372</v>
      </c>
      <c r="B1654" t="s">
        <v>9130</v>
      </c>
      <c r="C1654" t="str">
        <f>"1100002794989"</f>
        <v>1100002794989</v>
      </c>
      <c r="D1654" t="str">
        <f>"66K7GK300"</f>
        <v>66K7GK300</v>
      </c>
      <c r="E1654" s="1">
        <v>42620</v>
      </c>
      <c r="F1654" t="s">
        <v>9131</v>
      </c>
      <c r="G1654" t="e">
        <f>INDEX(#REF!,MATCH(P1654,#REF!,0),1)</f>
        <v>#REF!</v>
      </c>
      <c r="H1654" t="s">
        <v>9132</v>
      </c>
      <c r="J1654" t="s">
        <v>1777</v>
      </c>
      <c r="K1654" t="s">
        <v>125</v>
      </c>
      <c r="L1654" t="s">
        <v>9133</v>
      </c>
      <c r="M1654" t="s">
        <v>9134</v>
      </c>
      <c r="N1654">
        <v>486</v>
      </c>
      <c r="O1654" t="s">
        <v>218</v>
      </c>
      <c r="P1654">
        <v>3560893</v>
      </c>
      <c r="Q1654" t="s">
        <v>9124</v>
      </c>
      <c r="R1654" t="s">
        <v>4838</v>
      </c>
      <c r="S1654" t="s">
        <v>4839</v>
      </c>
      <c r="T1654" t="s">
        <v>2277</v>
      </c>
      <c r="U1654" t="s">
        <v>2278</v>
      </c>
      <c r="V1654" t="s">
        <v>1824</v>
      </c>
      <c r="AA1654" t="s">
        <v>105</v>
      </c>
      <c r="AB1654" t="s">
        <v>93</v>
      </c>
    </row>
    <row r="1655" spans="1:33" x14ac:dyDescent="0.3">
      <c r="A1655">
        <v>33375</v>
      </c>
      <c r="B1655" t="s">
        <v>9135</v>
      </c>
      <c r="C1655" t="str">
        <f>"1100002674748"</f>
        <v>1100002674748</v>
      </c>
      <c r="D1655" t="str">
        <f>"A3V73K200"</f>
        <v>A3V73K200</v>
      </c>
      <c r="E1655" s="1">
        <v>42620</v>
      </c>
      <c r="F1655" t="s">
        <v>9136</v>
      </c>
      <c r="G1655" t="e">
        <f>INDEX(#REF!,MATCH(P1655,#REF!,0),1)</f>
        <v>#REF!</v>
      </c>
      <c r="H1655" t="s">
        <v>9137</v>
      </c>
      <c r="J1655" t="s">
        <v>1777</v>
      </c>
      <c r="K1655" t="s">
        <v>125</v>
      </c>
      <c r="L1655" t="s">
        <v>9138</v>
      </c>
      <c r="M1655" t="s">
        <v>9139</v>
      </c>
      <c r="N1655">
        <v>486</v>
      </c>
      <c r="O1655" t="s">
        <v>218</v>
      </c>
      <c r="P1655">
        <v>3560893</v>
      </c>
      <c r="Q1655" t="s">
        <v>9124</v>
      </c>
      <c r="R1655" t="s">
        <v>4838</v>
      </c>
      <c r="S1655" t="s">
        <v>4839</v>
      </c>
      <c r="T1655" t="s">
        <v>2277</v>
      </c>
      <c r="U1655" t="s">
        <v>3103</v>
      </c>
      <c r="V1655" t="s">
        <v>1824</v>
      </c>
      <c r="AA1655" t="s">
        <v>105</v>
      </c>
      <c r="AB1655" t="s">
        <v>93</v>
      </c>
      <c r="AE1655" t="s">
        <v>220</v>
      </c>
    </row>
    <row r="1656" spans="1:33" x14ac:dyDescent="0.3">
      <c r="A1656">
        <v>33376</v>
      </c>
      <c r="B1656" t="s">
        <v>9140</v>
      </c>
      <c r="C1656" t="str">
        <f>""</f>
        <v/>
      </c>
      <c r="D1656" t="str">
        <f>"A4AT7K800"</f>
        <v>A4AT7K800</v>
      </c>
      <c r="E1656" s="1">
        <v>35462</v>
      </c>
      <c r="F1656" t="s">
        <v>9141</v>
      </c>
      <c r="G1656" t="e">
        <f>INDEX(#REF!,MATCH(P1656,#REF!,0),1)</f>
        <v>#REF!</v>
      </c>
      <c r="H1656" t="s">
        <v>9142</v>
      </c>
      <c r="J1656" t="s">
        <v>781</v>
      </c>
      <c r="K1656" t="s">
        <v>353</v>
      </c>
      <c r="L1656" t="s">
        <v>9143</v>
      </c>
      <c r="M1656" t="s">
        <v>5918</v>
      </c>
      <c r="N1656">
        <v>2623348</v>
      </c>
      <c r="O1656" t="s">
        <v>773</v>
      </c>
      <c r="P1656">
        <v>193</v>
      </c>
      <c r="Q1656" t="s">
        <v>773</v>
      </c>
      <c r="R1656" t="s">
        <v>3372</v>
      </c>
      <c r="S1656" t="s">
        <v>3373</v>
      </c>
      <c r="T1656" t="s">
        <v>2277</v>
      </c>
      <c r="U1656" t="s">
        <v>2278</v>
      </c>
      <c r="V1656" t="s">
        <v>1824</v>
      </c>
      <c r="AA1656" t="s">
        <v>93</v>
      </c>
      <c r="AE1656" t="s">
        <v>220</v>
      </c>
      <c r="AG1656" t="s">
        <v>48</v>
      </c>
    </row>
    <row r="1657" spans="1:33" x14ac:dyDescent="0.3">
      <c r="A1657">
        <v>33379</v>
      </c>
      <c r="B1657" t="s">
        <v>9144</v>
      </c>
      <c r="C1657" t="str">
        <f>""</f>
        <v/>
      </c>
      <c r="D1657" t="str">
        <f>"48XPPBY00"</f>
        <v>48XPPBY00</v>
      </c>
      <c r="E1657" s="1">
        <v>35462</v>
      </c>
      <c r="F1657" t="s">
        <v>9145</v>
      </c>
      <c r="G1657" t="e">
        <f>INDEX(#REF!,MATCH(P1657,#REF!,0),1)</f>
        <v>#REF!</v>
      </c>
      <c r="H1657" t="s">
        <v>9146</v>
      </c>
      <c r="J1657" t="s">
        <v>1688</v>
      </c>
      <c r="K1657" t="s">
        <v>283</v>
      </c>
      <c r="L1657" t="s">
        <v>9147</v>
      </c>
      <c r="M1657" t="s">
        <v>3226</v>
      </c>
      <c r="N1657">
        <v>722704</v>
      </c>
      <c r="O1657" t="s">
        <v>648</v>
      </c>
      <c r="P1657">
        <v>465</v>
      </c>
      <c r="Q1657" t="s">
        <v>1686</v>
      </c>
      <c r="R1657" t="s">
        <v>2550</v>
      </c>
      <c r="S1657" t="s">
        <v>2551</v>
      </c>
      <c r="T1657" t="s">
        <v>2277</v>
      </c>
      <c r="U1657" t="s">
        <v>2278</v>
      </c>
      <c r="V1657" t="s">
        <v>1824</v>
      </c>
      <c r="AA1657" t="s">
        <v>119</v>
      </c>
      <c r="AE1657" t="s">
        <v>120</v>
      </c>
    </row>
    <row r="1658" spans="1:33" x14ac:dyDescent="0.3">
      <c r="A1658">
        <v>33386</v>
      </c>
      <c r="B1658" t="s">
        <v>9148</v>
      </c>
      <c r="C1658" t="str">
        <f>""</f>
        <v/>
      </c>
      <c r="D1658" t="str">
        <f>"05K301T00"</f>
        <v>05K301T00</v>
      </c>
      <c r="E1658" s="1">
        <v>35462</v>
      </c>
      <c r="F1658" t="s">
        <v>9149</v>
      </c>
      <c r="G1658" t="e">
        <f>INDEX(#REF!,MATCH(P1658,#REF!,0),1)</f>
        <v>#REF!</v>
      </c>
      <c r="H1658" t="s">
        <v>9150</v>
      </c>
      <c r="J1658" t="s">
        <v>2497</v>
      </c>
      <c r="K1658" t="s">
        <v>2004</v>
      </c>
      <c r="L1658" t="str">
        <f>"01841-2884"</f>
        <v>01841-2884</v>
      </c>
      <c r="M1658" t="s">
        <v>9151</v>
      </c>
      <c r="N1658">
        <v>33386</v>
      </c>
      <c r="O1658" t="s">
        <v>9149</v>
      </c>
      <c r="P1658">
        <v>33386</v>
      </c>
      <c r="Q1658" t="s">
        <v>9149</v>
      </c>
      <c r="R1658" t="s">
        <v>5064</v>
      </c>
      <c r="S1658" t="s">
        <v>5065</v>
      </c>
      <c r="T1658" t="s">
        <v>2277</v>
      </c>
      <c r="U1658" t="s">
        <v>5622</v>
      </c>
      <c r="V1658" t="s">
        <v>2215</v>
      </c>
      <c r="AD1658" t="s">
        <v>59</v>
      </c>
    </row>
    <row r="1659" spans="1:33" x14ac:dyDescent="0.3">
      <c r="A1659">
        <v>33400</v>
      </c>
      <c r="B1659" t="s">
        <v>9152</v>
      </c>
      <c r="C1659" t="str">
        <f>""</f>
        <v/>
      </c>
      <c r="D1659" t="str">
        <f>"85GPLQT00"</f>
        <v>85GPLQT00</v>
      </c>
      <c r="E1659" s="1">
        <v>40090</v>
      </c>
      <c r="F1659" t="s">
        <v>9153</v>
      </c>
      <c r="G1659" t="e">
        <f>INDEX(#REF!,MATCH(P1659,#REF!,0),1)</f>
        <v>#REF!</v>
      </c>
      <c r="H1659" t="s">
        <v>9154</v>
      </c>
      <c r="J1659" t="s">
        <v>9155</v>
      </c>
      <c r="K1659" t="s">
        <v>2004</v>
      </c>
      <c r="L1659" t="str">
        <f>"01757-1750"</f>
        <v>01757-1750</v>
      </c>
      <c r="M1659" t="s">
        <v>9156</v>
      </c>
      <c r="N1659">
        <v>841335</v>
      </c>
      <c r="O1659" t="s">
        <v>4608</v>
      </c>
      <c r="P1659">
        <v>841335</v>
      </c>
      <c r="Q1659" t="s">
        <v>4608</v>
      </c>
      <c r="R1659" t="s">
        <v>4609</v>
      </c>
      <c r="S1659" t="s">
        <v>4610</v>
      </c>
      <c r="T1659" t="s">
        <v>2277</v>
      </c>
      <c r="U1659" t="s">
        <v>5651</v>
      </c>
      <c r="V1659" t="s">
        <v>2215</v>
      </c>
      <c r="AD1659" t="s">
        <v>59</v>
      </c>
      <c r="AF1659" t="s">
        <v>4612</v>
      </c>
    </row>
    <row r="1660" spans="1:33" x14ac:dyDescent="0.3">
      <c r="A1660">
        <v>33415</v>
      </c>
      <c r="B1660" t="s">
        <v>9157</v>
      </c>
      <c r="C1660" t="str">
        <f>"1100004731531"</f>
        <v>1100004731531</v>
      </c>
      <c r="D1660" t="str">
        <f>"JG4525F00"</f>
        <v>JG4525F00</v>
      </c>
      <c r="E1660" s="1">
        <v>35462</v>
      </c>
      <c r="F1660" t="s">
        <v>9158</v>
      </c>
      <c r="G1660" t="e">
        <f>INDEX(#REF!,MATCH(P1660,#REF!,0),1)</f>
        <v>#REF!</v>
      </c>
      <c r="H1660" t="s">
        <v>9159</v>
      </c>
      <c r="J1660" t="s">
        <v>446</v>
      </c>
      <c r="K1660" t="s">
        <v>37</v>
      </c>
      <c r="L1660" t="s">
        <v>9160</v>
      </c>
      <c r="M1660" t="s">
        <v>9161</v>
      </c>
      <c r="N1660">
        <v>210</v>
      </c>
      <c r="O1660" t="s">
        <v>840</v>
      </c>
      <c r="P1660">
        <v>210</v>
      </c>
      <c r="Q1660" t="s">
        <v>840</v>
      </c>
      <c r="R1660" t="s">
        <v>3744</v>
      </c>
      <c r="S1660" t="s">
        <v>3745</v>
      </c>
      <c r="T1660" t="s">
        <v>117</v>
      </c>
      <c r="U1660" t="s">
        <v>2479</v>
      </c>
      <c r="V1660" t="s">
        <v>1824</v>
      </c>
      <c r="Y1660" t="s">
        <v>46</v>
      </c>
      <c r="Z1660" s="1">
        <v>43191</v>
      </c>
      <c r="AE1660" t="s">
        <v>47</v>
      </c>
    </row>
    <row r="1661" spans="1:33" x14ac:dyDescent="0.3">
      <c r="A1661">
        <v>33416</v>
      </c>
      <c r="B1661" t="s">
        <v>9162</v>
      </c>
      <c r="C1661" t="str">
        <f>"1100007567526"</f>
        <v>1100007567526</v>
      </c>
      <c r="D1661" t="str">
        <f>"2914P9E00"</f>
        <v>2914P9E00</v>
      </c>
      <c r="E1661" s="1">
        <v>35462</v>
      </c>
      <c r="F1661" t="s">
        <v>9163</v>
      </c>
      <c r="G1661" t="e">
        <f>INDEX(#REF!,MATCH(P1661,#REF!,0),1)</f>
        <v>#REF!</v>
      </c>
      <c r="H1661" t="s">
        <v>9164</v>
      </c>
      <c r="J1661" t="s">
        <v>9165</v>
      </c>
      <c r="K1661" t="s">
        <v>37</v>
      </c>
      <c r="L1661" t="s">
        <v>9166</v>
      </c>
      <c r="M1661" t="s">
        <v>9167</v>
      </c>
      <c r="N1661">
        <v>210</v>
      </c>
      <c r="O1661" t="s">
        <v>840</v>
      </c>
      <c r="P1661">
        <v>210</v>
      </c>
      <c r="Q1661" t="s">
        <v>840</v>
      </c>
      <c r="R1661" t="s">
        <v>3744</v>
      </c>
      <c r="S1661" t="s">
        <v>3745</v>
      </c>
      <c r="T1661" t="s">
        <v>117</v>
      </c>
      <c r="U1661" t="s">
        <v>2479</v>
      </c>
      <c r="V1661" t="s">
        <v>1824</v>
      </c>
      <c r="Y1661" t="s">
        <v>46</v>
      </c>
      <c r="Z1661" s="1">
        <v>42370</v>
      </c>
      <c r="AE1661" t="s">
        <v>47</v>
      </c>
    </row>
    <row r="1662" spans="1:33" x14ac:dyDescent="0.3">
      <c r="A1662">
        <v>33419</v>
      </c>
      <c r="B1662" t="s">
        <v>9168</v>
      </c>
      <c r="C1662" t="str">
        <f>""</f>
        <v/>
      </c>
      <c r="D1662" t="str">
        <f>"412530F00"</f>
        <v>412530F00</v>
      </c>
      <c r="E1662" s="1">
        <v>44501</v>
      </c>
      <c r="F1662" t="s">
        <v>6938</v>
      </c>
      <c r="G1662" t="e">
        <f>INDEX(#REF!,MATCH(P1662,#REF!,0),1)</f>
        <v>#REF!</v>
      </c>
      <c r="H1662" t="s">
        <v>9169</v>
      </c>
      <c r="J1662" t="s">
        <v>7334</v>
      </c>
      <c r="K1662" t="s">
        <v>37</v>
      </c>
      <c r="L1662" t="s">
        <v>9170</v>
      </c>
      <c r="M1662" t="s">
        <v>7336</v>
      </c>
      <c r="N1662">
        <v>210</v>
      </c>
      <c r="O1662" t="s">
        <v>840</v>
      </c>
      <c r="P1662">
        <v>4008</v>
      </c>
      <c r="Q1662" t="s">
        <v>7332</v>
      </c>
      <c r="R1662" t="s">
        <v>844</v>
      </c>
      <c r="S1662" t="s">
        <v>845</v>
      </c>
      <c r="T1662" t="s">
        <v>44</v>
      </c>
      <c r="U1662" t="s">
        <v>45</v>
      </c>
      <c r="Y1662" t="s">
        <v>46</v>
      </c>
      <c r="Z1662" s="1">
        <v>44501</v>
      </c>
      <c r="AE1662" t="s">
        <v>404</v>
      </c>
    </row>
    <row r="1663" spans="1:33" x14ac:dyDescent="0.3">
      <c r="A1663">
        <v>33532</v>
      </c>
      <c r="B1663" t="s">
        <v>9171</v>
      </c>
      <c r="C1663" t="str">
        <f>""</f>
        <v/>
      </c>
      <c r="D1663" t="str">
        <f>""</f>
        <v/>
      </c>
      <c r="E1663" s="1">
        <v>45166</v>
      </c>
      <c r="F1663" t="s">
        <v>9172</v>
      </c>
      <c r="G1663" t="e">
        <f>INDEX(#REF!,MATCH(P1663,#REF!,0),1)</f>
        <v>#REF!</v>
      </c>
      <c r="H1663" t="s">
        <v>9173</v>
      </c>
      <c r="J1663" t="s">
        <v>6185</v>
      </c>
      <c r="K1663" t="s">
        <v>2004</v>
      </c>
      <c r="L1663" t="str">
        <f>"01810-2036"</f>
        <v>01810-2036</v>
      </c>
      <c r="M1663" t="s">
        <v>9174</v>
      </c>
      <c r="N1663">
        <v>4076302</v>
      </c>
      <c r="O1663" t="s">
        <v>9175</v>
      </c>
      <c r="P1663">
        <v>4076302</v>
      </c>
      <c r="Q1663" t="s">
        <v>9175</v>
      </c>
      <c r="R1663" t="s">
        <v>7384</v>
      </c>
      <c r="S1663" t="s">
        <v>7385</v>
      </c>
      <c r="T1663" t="s">
        <v>2214</v>
      </c>
      <c r="U1663" t="s">
        <v>9176</v>
      </c>
      <c r="V1663" t="s">
        <v>2215</v>
      </c>
      <c r="AF1663" t="s">
        <v>7552</v>
      </c>
    </row>
    <row r="1664" spans="1:33" x14ac:dyDescent="0.3">
      <c r="A1664">
        <v>33535</v>
      </c>
      <c r="B1664" t="s">
        <v>9177</v>
      </c>
      <c r="C1664" t="str">
        <f>"1100010741630"</f>
        <v>1100010741630</v>
      </c>
      <c r="D1664" t="str">
        <f>"4JDMW1J00"</f>
        <v>4JDMW1J00</v>
      </c>
      <c r="E1664" s="1">
        <v>40317</v>
      </c>
      <c r="F1664" t="s">
        <v>9178</v>
      </c>
      <c r="G1664" t="e">
        <f>INDEX(#REF!,MATCH(P1664,#REF!,0),1)</f>
        <v>#REF!</v>
      </c>
      <c r="H1664" t="s">
        <v>9179</v>
      </c>
      <c r="I1664" t="s">
        <v>9180</v>
      </c>
      <c r="J1664" t="s">
        <v>6185</v>
      </c>
      <c r="K1664" t="s">
        <v>2004</v>
      </c>
      <c r="L1664" t="str">
        <f>"01810-1509"</f>
        <v>01810-1509</v>
      </c>
      <c r="M1664" t="s">
        <v>9181</v>
      </c>
      <c r="N1664">
        <v>2606322</v>
      </c>
      <c r="O1664" t="s">
        <v>7545</v>
      </c>
      <c r="P1664">
        <v>2842381</v>
      </c>
      <c r="Q1664" t="s">
        <v>9182</v>
      </c>
      <c r="R1664" t="s">
        <v>7384</v>
      </c>
      <c r="S1664" t="s">
        <v>7385</v>
      </c>
      <c r="T1664" t="s">
        <v>2277</v>
      </c>
      <c r="U1664" t="s">
        <v>9183</v>
      </c>
      <c r="V1664" t="s">
        <v>2215</v>
      </c>
      <c r="AF1664" t="s">
        <v>7546</v>
      </c>
    </row>
    <row r="1665" spans="1:33" x14ac:dyDescent="0.3">
      <c r="A1665">
        <v>33536</v>
      </c>
      <c r="B1665" t="s">
        <v>9184</v>
      </c>
      <c r="C1665" t="str">
        <f>""</f>
        <v/>
      </c>
      <c r="D1665" t="str">
        <f>"25TM5H800"</f>
        <v>25TM5H800</v>
      </c>
      <c r="E1665" s="1">
        <v>39693</v>
      </c>
      <c r="F1665" t="s">
        <v>9185</v>
      </c>
      <c r="G1665" t="e">
        <f>INDEX(#REF!,MATCH(P1665,#REF!,0),1)</f>
        <v>#REF!</v>
      </c>
      <c r="H1665" t="s">
        <v>9186</v>
      </c>
      <c r="J1665" t="s">
        <v>9187</v>
      </c>
      <c r="K1665" t="s">
        <v>2004</v>
      </c>
      <c r="L1665" t="str">
        <f>"01890-1921"</f>
        <v>01890-1921</v>
      </c>
      <c r="M1665" t="s">
        <v>9188</v>
      </c>
      <c r="N1665">
        <v>33536</v>
      </c>
      <c r="O1665" t="s">
        <v>9185</v>
      </c>
      <c r="P1665">
        <v>33536</v>
      </c>
      <c r="Q1665" t="s">
        <v>9185</v>
      </c>
      <c r="R1665" t="s">
        <v>6187</v>
      </c>
      <c r="S1665" t="s">
        <v>6188</v>
      </c>
      <c r="T1665" t="s">
        <v>2214</v>
      </c>
      <c r="U1665" t="s">
        <v>2214</v>
      </c>
      <c r="V1665" t="s">
        <v>2215</v>
      </c>
      <c r="AD1665" t="s">
        <v>59</v>
      </c>
    </row>
    <row r="1666" spans="1:33" x14ac:dyDescent="0.3">
      <c r="A1666">
        <v>33540</v>
      </c>
      <c r="B1666" t="s">
        <v>9189</v>
      </c>
      <c r="C1666" t="str">
        <f>"1100002215439"</f>
        <v>1100002215439</v>
      </c>
      <c r="D1666" t="str">
        <f>"120010400"</f>
        <v>120010400</v>
      </c>
      <c r="E1666" s="1">
        <v>44501</v>
      </c>
      <c r="F1666" t="s">
        <v>9190</v>
      </c>
      <c r="G1666" t="e">
        <f>INDEX(#REF!,MATCH(P1666,#REF!,0),1)</f>
        <v>#REF!</v>
      </c>
      <c r="H1666" t="s">
        <v>9191</v>
      </c>
      <c r="J1666" t="s">
        <v>1288</v>
      </c>
      <c r="K1666" t="s">
        <v>53</v>
      </c>
      <c r="L1666" t="str">
        <f>"03570"</f>
        <v>03570</v>
      </c>
      <c r="M1666" t="s">
        <v>9192</v>
      </c>
      <c r="N1666">
        <v>33540</v>
      </c>
      <c r="O1666" t="s">
        <v>9190</v>
      </c>
      <c r="P1666">
        <v>33540</v>
      </c>
      <c r="Q1666" t="s">
        <v>9190</v>
      </c>
      <c r="R1666" t="s">
        <v>245</v>
      </c>
      <c r="S1666" t="s">
        <v>246</v>
      </c>
      <c r="T1666" t="s">
        <v>44</v>
      </c>
      <c r="U1666" t="s">
        <v>45</v>
      </c>
    </row>
    <row r="1667" spans="1:33" x14ac:dyDescent="0.3">
      <c r="A1667">
        <v>33541</v>
      </c>
      <c r="B1667" t="s">
        <v>9193</v>
      </c>
      <c r="C1667" t="str">
        <f>""</f>
        <v/>
      </c>
      <c r="D1667" t="str">
        <f>""</f>
        <v/>
      </c>
      <c r="E1667" s="1">
        <v>35462</v>
      </c>
      <c r="F1667" t="s">
        <v>9194</v>
      </c>
      <c r="G1667" t="e">
        <f>INDEX(#REF!,MATCH(P1667,#REF!,0),1)</f>
        <v>#REF!</v>
      </c>
      <c r="H1667" t="s">
        <v>9195</v>
      </c>
      <c r="J1667" t="s">
        <v>2134</v>
      </c>
      <c r="K1667" t="s">
        <v>2004</v>
      </c>
      <c r="L1667" t="str">
        <f>"02130-4803"</f>
        <v>02130-4803</v>
      </c>
      <c r="M1667" t="s">
        <v>9196</v>
      </c>
      <c r="N1667">
        <v>33541</v>
      </c>
      <c r="O1667" t="s">
        <v>9194</v>
      </c>
      <c r="P1667">
        <v>33541</v>
      </c>
      <c r="Q1667" t="s">
        <v>9194</v>
      </c>
      <c r="R1667" t="s">
        <v>5064</v>
      </c>
      <c r="S1667" t="s">
        <v>5065</v>
      </c>
      <c r="T1667" t="s">
        <v>117</v>
      </c>
      <c r="U1667" t="s">
        <v>2479</v>
      </c>
      <c r="V1667" t="s">
        <v>2215</v>
      </c>
    </row>
    <row r="1668" spans="1:33" x14ac:dyDescent="0.3">
      <c r="A1668">
        <v>33542</v>
      </c>
      <c r="B1668" t="s">
        <v>9197</v>
      </c>
      <c r="C1668" t="str">
        <f>""</f>
        <v/>
      </c>
      <c r="D1668" t="str">
        <f>""</f>
        <v/>
      </c>
      <c r="E1668" s="1">
        <v>45166</v>
      </c>
      <c r="F1668" t="s">
        <v>9198</v>
      </c>
      <c r="G1668" t="e">
        <f>INDEX(#REF!,MATCH(P1668,#REF!,0),1)</f>
        <v>#REF!</v>
      </c>
      <c r="H1668" t="s">
        <v>9199</v>
      </c>
      <c r="J1668" t="s">
        <v>9200</v>
      </c>
      <c r="K1668" t="s">
        <v>2004</v>
      </c>
      <c r="L1668" t="str">
        <f>"01432-1171"</f>
        <v>01432-1171</v>
      </c>
      <c r="M1668" t="s">
        <v>9201</v>
      </c>
      <c r="N1668">
        <v>4076302</v>
      </c>
      <c r="O1668" t="s">
        <v>9175</v>
      </c>
      <c r="P1668">
        <v>4076302</v>
      </c>
      <c r="Q1668" t="s">
        <v>9175</v>
      </c>
      <c r="R1668" t="s">
        <v>7384</v>
      </c>
      <c r="S1668" t="s">
        <v>7385</v>
      </c>
      <c r="T1668" t="s">
        <v>2214</v>
      </c>
      <c r="U1668" t="s">
        <v>9176</v>
      </c>
      <c r="V1668" t="s">
        <v>2215</v>
      </c>
      <c r="AF1668" t="s">
        <v>7552</v>
      </c>
    </row>
    <row r="1669" spans="1:33" x14ac:dyDescent="0.3">
      <c r="A1669">
        <v>33546</v>
      </c>
      <c r="B1669" t="s">
        <v>9202</v>
      </c>
      <c r="C1669" t="str">
        <f>""</f>
        <v/>
      </c>
      <c r="D1669" t="str">
        <f>"858YGNM00"</f>
        <v>858YGNM00</v>
      </c>
      <c r="E1669" s="1">
        <v>40655</v>
      </c>
      <c r="F1669" t="s">
        <v>9203</v>
      </c>
      <c r="G1669" t="e">
        <f>INDEX(#REF!,MATCH(P1669,#REF!,0),1)</f>
        <v>#REF!</v>
      </c>
      <c r="H1669" t="s">
        <v>9204</v>
      </c>
      <c r="J1669" t="s">
        <v>9205</v>
      </c>
      <c r="K1669" t="s">
        <v>2507</v>
      </c>
      <c r="L1669" t="str">
        <f>"02919-3228"</f>
        <v>02919-3228</v>
      </c>
      <c r="M1669" t="s">
        <v>9206</v>
      </c>
      <c r="N1669">
        <v>841335</v>
      </c>
      <c r="O1669" t="s">
        <v>4608</v>
      </c>
      <c r="P1669">
        <v>841335</v>
      </c>
      <c r="Q1669" t="s">
        <v>4608</v>
      </c>
      <c r="R1669" t="s">
        <v>4609</v>
      </c>
      <c r="S1669" t="s">
        <v>4610</v>
      </c>
      <c r="T1669" t="s">
        <v>117</v>
      </c>
      <c r="U1669" t="s">
        <v>4970</v>
      </c>
      <c r="V1669" t="s">
        <v>2215</v>
      </c>
      <c r="AD1669" t="s">
        <v>59</v>
      </c>
      <c r="AF1669" t="s">
        <v>4612</v>
      </c>
    </row>
    <row r="1670" spans="1:33" x14ac:dyDescent="0.3">
      <c r="A1670">
        <v>33547</v>
      </c>
      <c r="B1670" t="s">
        <v>9207</v>
      </c>
      <c r="C1670" t="str">
        <f>""</f>
        <v/>
      </c>
      <c r="D1670" t="str">
        <f>"141140B00"</f>
        <v>141140B00</v>
      </c>
      <c r="E1670" s="1">
        <v>44501</v>
      </c>
      <c r="F1670" t="s">
        <v>9208</v>
      </c>
      <c r="G1670" t="e">
        <f>INDEX(#REF!,MATCH(P1670,#REF!,0),1)</f>
        <v>#REF!</v>
      </c>
      <c r="H1670" t="s">
        <v>9209</v>
      </c>
      <c r="J1670" t="s">
        <v>9210</v>
      </c>
      <c r="K1670" t="s">
        <v>2004</v>
      </c>
      <c r="L1670" t="str">
        <f>"01950-3894"</f>
        <v>01950-3894</v>
      </c>
      <c r="M1670" t="s">
        <v>9211</v>
      </c>
      <c r="N1670">
        <v>33547</v>
      </c>
      <c r="O1670" t="s">
        <v>9208</v>
      </c>
      <c r="P1670">
        <v>33547</v>
      </c>
      <c r="Q1670" t="s">
        <v>9208</v>
      </c>
      <c r="R1670" t="s">
        <v>1301</v>
      </c>
      <c r="S1670" t="s">
        <v>1302</v>
      </c>
      <c r="T1670" t="s">
        <v>44</v>
      </c>
      <c r="U1670" t="s">
        <v>45</v>
      </c>
      <c r="AG1670" t="s">
        <v>48</v>
      </c>
    </row>
    <row r="1671" spans="1:33" x14ac:dyDescent="0.3">
      <c r="A1671">
        <v>33550</v>
      </c>
      <c r="B1671" t="s">
        <v>9212</v>
      </c>
      <c r="C1671" t="str">
        <f>"1100094262922"</f>
        <v>1100094262922</v>
      </c>
      <c r="D1671" t="str">
        <f>"140060B00"</f>
        <v>140060B00</v>
      </c>
      <c r="E1671" s="1">
        <v>41368</v>
      </c>
      <c r="F1671" t="s">
        <v>9213</v>
      </c>
      <c r="G1671" t="e">
        <f>INDEX(#REF!,MATCH(P1671,#REF!,0),1)</f>
        <v>#REF!</v>
      </c>
      <c r="H1671" t="s">
        <v>9214</v>
      </c>
      <c r="J1671" t="s">
        <v>9215</v>
      </c>
      <c r="K1671" t="s">
        <v>2004</v>
      </c>
      <c r="L1671" t="str">
        <f>"01331-3598"</f>
        <v>01331-3598</v>
      </c>
      <c r="M1671" t="s">
        <v>9216</v>
      </c>
      <c r="N1671">
        <v>1079149</v>
      </c>
      <c r="O1671" t="s">
        <v>7608</v>
      </c>
      <c r="P1671">
        <v>1079149</v>
      </c>
      <c r="Q1671" t="s">
        <v>7608</v>
      </c>
      <c r="R1671" t="s">
        <v>1301</v>
      </c>
      <c r="S1671" t="s">
        <v>1302</v>
      </c>
      <c r="T1671" t="s">
        <v>44</v>
      </c>
      <c r="U1671" t="s">
        <v>45</v>
      </c>
      <c r="AA1671" t="s">
        <v>58</v>
      </c>
      <c r="AE1671" t="s">
        <v>72</v>
      </c>
    </row>
    <row r="1672" spans="1:33" x14ac:dyDescent="0.3">
      <c r="A1672">
        <v>33552</v>
      </c>
      <c r="B1672" t="s">
        <v>9217</v>
      </c>
      <c r="C1672" t="str">
        <f>"1100003611490"</f>
        <v>1100003611490</v>
      </c>
      <c r="D1672" t="str">
        <f>"JYF4SYQ00"</f>
        <v>JYF4SYQ00</v>
      </c>
      <c r="E1672" s="1">
        <v>35462</v>
      </c>
      <c r="F1672" t="s">
        <v>9218</v>
      </c>
      <c r="G1672" t="e">
        <f>INDEX(#REF!,MATCH(P1672,#REF!,0),1)</f>
        <v>#REF!</v>
      </c>
      <c r="H1672" t="s">
        <v>9219</v>
      </c>
      <c r="J1672" t="s">
        <v>726</v>
      </c>
      <c r="K1672" t="s">
        <v>727</v>
      </c>
      <c r="L1672">
        <v>68114</v>
      </c>
      <c r="M1672" t="s">
        <v>9220</v>
      </c>
      <c r="N1672">
        <v>33552</v>
      </c>
      <c r="O1672" t="s">
        <v>9218</v>
      </c>
      <c r="P1672">
        <v>33552</v>
      </c>
      <c r="Q1672" t="s">
        <v>9218</v>
      </c>
      <c r="R1672" t="s">
        <v>3945</v>
      </c>
      <c r="S1672" t="s">
        <v>3946</v>
      </c>
      <c r="T1672" t="s">
        <v>117</v>
      </c>
      <c r="U1672" t="s">
        <v>2479</v>
      </c>
      <c r="V1672" t="s">
        <v>2215</v>
      </c>
      <c r="AD1672" t="s">
        <v>59</v>
      </c>
    </row>
    <row r="1673" spans="1:33" x14ac:dyDescent="0.3">
      <c r="A1673">
        <v>33556</v>
      </c>
      <c r="B1673" t="s">
        <v>9221</v>
      </c>
      <c r="C1673" t="str">
        <f>""</f>
        <v/>
      </c>
      <c r="D1673" t="str">
        <f>"141480I00"</f>
        <v>141480I00</v>
      </c>
      <c r="E1673" s="1">
        <v>42583</v>
      </c>
      <c r="F1673" t="s">
        <v>2934</v>
      </c>
      <c r="G1673" t="e">
        <f>INDEX(#REF!,MATCH(P1673,#REF!,0),1)</f>
        <v>#REF!</v>
      </c>
      <c r="H1673" t="s">
        <v>9222</v>
      </c>
      <c r="J1673" t="s">
        <v>1248</v>
      </c>
      <c r="K1673" t="s">
        <v>2004</v>
      </c>
      <c r="L1673" t="str">
        <f>"01199-1001"</f>
        <v>01199-1001</v>
      </c>
      <c r="M1673" t="s">
        <v>9223</v>
      </c>
      <c r="N1673">
        <v>33556</v>
      </c>
      <c r="O1673" t="s">
        <v>2934</v>
      </c>
      <c r="P1673">
        <v>33556</v>
      </c>
      <c r="Q1673" t="s">
        <v>2934</v>
      </c>
      <c r="R1673" t="s">
        <v>1301</v>
      </c>
      <c r="S1673" t="s">
        <v>1302</v>
      </c>
      <c r="T1673" t="s">
        <v>44</v>
      </c>
      <c r="U1673" t="s">
        <v>45</v>
      </c>
      <c r="AG1673" t="s">
        <v>48</v>
      </c>
    </row>
    <row r="1674" spans="1:33" x14ac:dyDescent="0.3">
      <c r="A1674">
        <v>33579</v>
      </c>
      <c r="B1674" t="s">
        <v>9224</v>
      </c>
      <c r="C1674" t="str">
        <f>"1100095997342"</f>
        <v>1100095997342</v>
      </c>
      <c r="D1674" t="str">
        <f>"140540E00"</f>
        <v>140540E00</v>
      </c>
      <c r="E1674" s="1">
        <v>42583</v>
      </c>
      <c r="F1674" t="s">
        <v>9225</v>
      </c>
      <c r="G1674" t="e">
        <f>INDEX(#REF!,MATCH(P1674,#REF!,0),1)</f>
        <v>#REF!</v>
      </c>
      <c r="H1674" t="s">
        <v>9226</v>
      </c>
      <c r="J1674" t="s">
        <v>9227</v>
      </c>
      <c r="K1674" t="s">
        <v>2004</v>
      </c>
      <c r="L1674" t="str">
        <f>"02467"</f>
        <v>02467</v>
      </c>
      <c r="M1674" t="s">
        <v>9228</v>
      </c>
      <c r="N1674">
        <v>33579</v>
      </c>
      <c r="O1674" t="s">
        <v>9225</v>
      </c>
      <c r="P1674">
        <v>33579</v>
      </c>
      <c r="Q1674" t="s">
        <v>9225</v>
      </c>
      <c r="R1674" t="s">
        <v>245</v>
      </c>
      <c r="S1674" t="s">
        <v>246</v>
      </c>
      <c r="T1674" t="s">
        <v>44</v>
      </c>
      <c r="U1674" t="s">
        <v>45</v>
      </c>
    </row>
    <row r="1675" spans="1:33" x14ac:dyDescent="0.3">
      <c r="A1675">
        <v>33581</v>
      </c>
      <c r="B1675" t="s">
        <v>9229</v>
      </c>
      <c r="C1675" t="str">
        <f>""</f>
        <v/>
      </c>
      <c r="D1675" t="str">
        <f>"891V7L500"</f>
        <v>891V7L500</v>
      </c>
      <c r="E1675" s="1">
        <v>35462</v>
      </c>
      <c r="F1675" t="s">
        <v>9230</v>
      </c>
      <c r="G1675" t="e">
        <f>INDEX(#REF!,MATCH(P1675,#REF!,0),1)</f>
        <v>#REF!</v>
      </c>
      <c r="H1675" t="s">
        <v>9231</v>
      </c>
      <c r="J1675" t="s">
        <v>4178</v>
      </c>
      <c r="K1675" t="s">
        <v>2004</v>
      </c>
      <c r="L1675" t="str">
        <f>"02184"</f>
        <v>02184</v>
      </c>
      <c r="M1675" t="s">
        <v>9232</v>
      </c>
      <c r="N1675">
        <v>47202</v>
      </c>
      <c r="O1675" t="s">
        <v>8863</v>
      </c>
      <c r="P1675">
        <v>47202</v>
      </c>
      <c r="Q1675" t="s">
        <v>8863</v>
      </c>
      <c r="R1675" t="s">
        <v>6187</v>
      </c>
      <c r="S1675" t="s">
        <v>6188</v>
      </c>
      <c r="T1675" t="s">
        <v>2214</v>
      </c>
      <c r="U1675" t="s">
        <v>2214</v>
      </c>
      <c r="V1675" t="s">
        <v>2215</v>
      </c>
    </row>
    <row r="1676" spans="1:33" x14ac:dyDescent="0.3">
      <c r="A1676">
        <v>33582</v>
      </c>
      <c r="B1676" t="s">
        <v>9233</v>
      </c>
      <c r="C1676" t="str">
        <f>""</f>
        <v/>
      </c>
      <c r="D1676" t="str">
        <f>"130050900"</f>
        <v>130050900</v>
      </c>
      <c r="E1676" s="1">
        <v>43282</v>
      </c>
      <c r="F1676" t="s">
        <v>9234</v>
      </c>
      <c r="G1676" t="e">
        <f>INDEX(#REF!,MATCH(P1676,#REF!,0),1)</f>
        <v>#REF!</v>
      </c>
      <c r="H1676" t="s">
        <v>9235</v>
      </c>
      <c r="J1676" t="s">
        <v>9236</v>
      </c>
      <c r="K1676" t="s">
        <v>425</v>
      </c>
      <c r="L1676" t="str">
        <f>"05302"</f>
        <v>05302</v>
      </c>
      <c r="M1676" t="s">
        <v>9237</v>
      </c>
      <c r="N1676">
        <v>155</v>
      </c>
      <c r="O1676" t="s">
        <v>55</v>
      </c>
      <c r="P1676">
        <v>155</v>
      </c>
      <c r="Q1676" t="s">
        <v>55</v>
      </c>
      <c r="R1676" t="s">
        <v>56</v>
      </c>
      <c r="S1676" t="s">
        <v>57</v>
      </c>
      <c r="T1676" t="s">
        <v>44</v>
      </c>
      <c r="U1676" t="s">
        <v>1823</v>
      </c>
      <c r="AE1676" t="s">
        <v>60</v>
      </c>
    </row>
    <row r="1677" spans="1:33" x14ac:dyDescent="0.3">
      <c r="A1677">
        <v>33584</v>
      </c>
      <c r="B1677" t="s">
        <v>9238</v>
      </c>
      <c r="C1677" t="str">
        <f>""</f>
        <v/>
      </c>
      <c r="D1677" t="str">
        <f>"EXMMAA300"</f>
        <v>EXMMAA300</v>
      </c>
      <c r="E1677" s="1">
        <v>42614</v>
      </c>
      <c r="F1677" t="s">
        <v>9239</v>
      </c>
      <c r="G1677" t="e">
        <f>INDEX(#REF!,MATCH(P1677,#REF!,0),1)</f>
        <v>#REF!</v>
      </c>
      <c r="H1677" t="s">
        <v>9240</v>
      </c>
      <c r="J1677" t="s">
        <v>9227</v>
      </c>
      <c r="K1677" t="s">
        <v>2004</v>
      </c>
      <c r="L1677" t="str">
        <f>"02114"</f>
        <v>02114</v>
      </c>
      <c r="M1677" t="s">
        <v>9241</v>
      </c>
      <c r="N1677">
        <v>2407580</v>
      </c>
      <c r="O1677" t="s">
        <v>8638</v>
      </c>
      <c r="P1677">
        <v>2419518</v>
      </c>
      <c r="Q1677" t="s">
        <v>9242</v>
      </c>
      <c r="R1677" t="s">
        <v>8545</v>
      </c>
      <c r="S1677" t="s">
        <v>8546</v>
      </c>
      <c r="T1677" t="s">
        <v>2277</v>
      </c>
      <c r="U1677" t="s">
        <v>2278</v>
      </c>
      <c r="V1677" t="s">
        <v>2215</v>
      </c>
      <c r="AF1677" t="s">
        <v>8640</v>
      </c>
    </row>
    <row r="1678" spans="1:33" x14ac:dyDescent="0.3">
      <c r="A1678">
        <v>33587</v>
      </c>
      <c r="B1678" t="s">
        <v>9243</v>
      </c>
      <c r="C1678" t="str">
        <f>"1100004508461"</f>
        <v>1100004508461</v>
      </c>
      <c r="D1678" t="str">
        <f>"130040800"</f>
        <v>130040800</v>
      </c>
      <c r="E1678" s="1">
        <v>40827</v>
      </c>
      <c r="F1678" t="s">
        <v>9244</v>
      </c>
      <c r="G1678" t="e">
        <f>INDEX(#REF!,MATCH(P1678,#REF!,0),1)</f>
        <v>#REF!</v>
      </c>
      <c r="H1678" t="s">
        <v>9245</v>
      </c>
      <c r="J1678" t="s">
        <v>9236</v>
      </c>
      <c r="K1678" t="s">
        <v>425</v>
      </c>
      <c r="L1678" t="str">
        <f>"05301"</f>
        <v>05301</v>
      </c>
      <c r="M1678" t="s">
        <v>9246</v>
      </c>
      <c r="N1678">
        <v>33587</v>
      </c>
      <c r="O1678" t="s">
        <v>9244</v>
      </c>
      <c r="P1678">
        <v>33587</v>
      </c>
      <c r="Q1678" t="s">
        <v>9244</v>
      </c>
      <c r="R1678" t="s">
        <v>245</v>
      </c>
      <c r="S1678" t="s">
        <v>246</v>
      </c>
      <c r="T1678" t="s">
        <v>44</v>
      </c>
      <c r="U1678" t="s">
        <v>45</v>
      </c>
    </row>
    <row r="1679" spans="1:33" x14ac:dyDescent="0.3">
      <c r="A1679">
        <v>33589</v>
      </c>
      <c r="B1679" t="s">
        <v>9247</v>
      </c>
      <c r="C1679" t="str">
        <f>""</f>
        <v/>
      </c>
      <c r="D1679" t="str">
        <f>"HF84F4R00"</f>
        <v>HF84F4R00</v>
      </c>
      <c r="E1679" s="1">
        <v>35462</v>
      </c>
      <c r="F1679" t="s">
        <v>9248</v>
      </c>
      <c r="G1679" t="e">
        <f>INDEX(#REF!,MATCH(P1679,#REF!,0),1)</f>
        <v>#REF!</v>
      </c>
      <c r="H1679" t="s">
        <v>9249</v>
      </c>
      <c r="J1679" t="s">
        <v>9250</v>
      </c>
      <c r="K1679" t="s">
        <v>1109</v>
      </c>
      <c r="L1679" t="str">
        <f>"06357"</f>
        <v>06357</v>
      </c>
      <c r="M1679" t="s">
        <v>9251</v>
      </c>
      <c r="N1679">
        <v>79737</v>
      </c>
      <c r="O1679" t="s">
        <v>9252</v>
      </c>
      <c r="P1679">
        <v>79737</v>
      </c>
      <c r="Q1679" t="s">
        <v>9252</v>
      </c>
      <c r="R1679" t="s">
        <v>5064</v>
      </c>
      <c r="S1679" t="s">
        <v>5065</v>
      </c>
      <c r="T1679" t="s">
        <v>2214</v>
      </c>
      <c r="U1679" t="s">
        <v>2214</v>
      </c>
      <c r="V1679" t="s">
        <v>2215</v>
      </c>
    </row>
    <row r="1680" spans="1:33" x14ac:dyDescent="0.3">
      <c r="A1680">
        <v>33590</v>
      </c>
      <c r="B1680" t="s">
        <v>9253</v>
      </c>
      <c r="C1680" t="str">
        <f>"1100003795947"</f>
        <v>1100003795947</v>
      </c>
      <c r="D1680" t="str">
        <f>"160060D00"</f>
        <v>160060D00</v>
      </c>
      <c r="E1680" s="1">
        <v>40662</v>
      </c>
      <c r="F1680" t="s">
        <v>9254</v>
      </c>
      <c r="G1680" t="e">
        <f>INDEX(#REF!,MATCH(P1680,#REF!,0),1)</f>
        <v>#REF!</v>
      </c>
      <c r="H1680" t="s">
        <v>9255</v>
      </c>
      <c r="J1680" t="s">
        <v>3760</v>
      </c>
      <c r="K1680" t="s">
        <v>1109</v>
      </c>
      <c r="L1680" t="str">
        <f>"06010-5161"</f>
        <v>06010-5161</v>
      </c>
      <c r="M1680" t="s">
        <v>9256</v>
      </c>
      <c r="N1680">
        <v>33590</v>
      </c>
      <c r="O1680" t="s">
        <v>9254</v>
      </c>
      <c r="P1680">
        <v>33590</v>
      </c>
      <c r="Q1680" t="s">
        <v>9254</v>
      </c>
      <c r="R1680" t="s">
        <v>1301</v>
      </c>
      <c r="S1680" t="s">
        <v>1302</v>
      </c>
      <c r="T1680" t="s">
        <v>44</v>
      </c>
      <c r="U1680" t="s">
        <v>45</v>
      </c>
      <c r="AA1680" t="s">
        <v>119</v>
      </c>
      <c r="AE1680" t="s">
        <v>60</v>
      </c>
    </row>
    <row r="1681" spans="1:33" x14ac:dyDescent="0.3">
      <c r="A1681">
        <v>33606</v>
      </c>
      <c r="B1681" t="s">
        <v>9257</v>
      </c>
      <c r="C1681" t="str">
        <f>""</f>
        <v/>
      </c>
      <c r="D1681" t="str">
        <f>"25JNWIR00"</f>
        <v>25JNWIR00</v>
      </c>
      <c r="E1681" s="1">
        <v>35462</v>
      </c>
      <c r="F1681" t="s">
        <v>9258</v>
      </c>
      <c r="G1681" t="e">
        <f>INDEX(#REF!,MATCH(P1681,#REF!,0),1)</f>
        <v>#REF!</v>
      </c>
      <c r="H1681" t="s">
        <v>9259</v>
      </c>
      <c r="J1681" t="s">
        <v>2736</v>
      </c>
      <c r="K1681" t="s">
        <v>2004</v>
      </c>
      <c r="L1681" t="str">
        <f>"02720"</f>
        <v>02720</v>
      </c>
      <c r="M1681" t="s">
        <v>9260</v>
      </c>
      <c r="N1681">
        <v>79386</v>
      </c>
      <c r="O1681" t="s">
        <v>9261</v>
      </c>
      <c r="P1681">
        <v>79386</v>
      </c>
      <c r="Q1681" t="s">
        <v>9261</v>
      </c>
      <c r="R1681" t="s">
        <v>6187</v>
      </c>
      <c r="S1681" t="s">
        <v>6188</v>
      </c>
      <c r="T1681" t="s">
        <v>2214</v>
      </c>
      <c r="U1681" t="s">
        <v>2214</v>
      </c>
      <c r="V1681" t="s">
        <v>2215</v>
      </c>
      <c r="AD1681" t="s">
        <v>59</v>
      </c>
    </row>
    <row r="1682" spans="1:33" x14ac:dyDescent="0.3">
      <c r="A1682">
        <v>33612</v>
      </c>
      <c r="B1682" t="s">
        <v>9262</v>
      </c>
      <c r="C1682" t="str">
        <f>""</f>
        <v/>
      </c>
      <c r="D1682" t="str">
        <f>"25L2DX400"</f>
        <v>25L2DX400</v>
      </c>
      <c r="E1682" s="1">
        <v>35462</v>
      </c>
      <c r="F1682" t="s">
        <v>9263</v>
      </c>
      <c r="G1682" t="e">
        <f>INDEX(#REF!,MATCH(P1682,#REF!,0),1)</f>
        <v>#REF!</v>
      </c>
      <c r="H1682" t="s">
        <v>9264</v>
      </c>
      <c r="J1682" t="s">
        <v>9265</v>
      </c>
      <c r="K1682" t="s">
        <v>2004</v>
      </c>
      <c r="L1682" t="str">
        <f>"01923"</f>
        <v>01923</v>
      </c>
      <c r="M1682" t="s">
        <v>9266</v>
      </c>
      <c r="N1682">
        <v>51302</v>
      </c>
      <c r="O1682" t="s">
        <v>9267</v>
      </c>
      <c r="P1682">
        <v>51302</v>
      </c>
      <c r="Q1682" t="s">
        <v>9267</v>
      </c>
      <c r="R1682" t="s">
        <v>6187</v>
      </c>
      <c r="S1682" t="s">
        <v>6188</v>
      </c>
      <c r="T1682" t="s">
        <v>2214</v>
      </c>
      <c r="U1682" t="s">
        <v>2214</v>
      </c>
      <c r="V1682" t="s">
        <v>2215</v>
      </c>
    </row>
    <row r="1683" spans="1:33" x14ac:dyDescent="0.3">
      <c r="A1683">
        <v>33618</v>
      </c>
      <c r="B1683" t="s">
        <v>9268</v>
      </c>
      <c r="C1683" t="str">
        <f>""</f>
        <v/>
      </c>
      <c r="D1683" t="str">
        <f>""</f>
        <v/>
      </c>
      <c r="E1683" s="1">
        <v>42614</v>
      </c>
      <c r="F1683" t="s">
        <v>9269</v>
      </c>
      <c r="G1683" t="e">
        <f>INDEX(#REF!,MATCH(P1683,#REF!,0),1)</f>
        <v>#REF!</v>
      </c>
      <c r="H1683" t="s">
        <v>9270</v>
      </c>
      <c r="J1683" t="s">
        <v>721</v>
      </c>
      <c r="K1683" t="s">
        <v>425</v>
      </c>
      <c r="L1683" t="str">
        <f>"05089"</f>
        <v>05089</v>
      </c>
      <c r="M1683" t="s">
        <v>9271</v>
      </c>
      <c r="N1683">
        <v>33618</v>
      </c>
      <c r="O1683" t="s">
        <v>9269</v>
      </c>
      <c r="P1683">
        <v>33618</v>
      </c>
      <c r="Q1683" t="s">
        <v>9269</v>
      </c>
      <c r="R1683" t="s">
        <v>6187</v>
      </c>
      <c r="S1683" t="s">
        <v>6188</v>
      </c>
      <c r="T1683" t="s">
        <v>2214</v>
      </c>
      <c r="U1683" t="s">
        <v>2214</v>
      </c>
      <c r="V1683" t="s">
        <v>2215</v>
      </c>
    </row>
    <row r="1684" spans="1:33" x14ac:dyDescent="0.3">
      <c r="A1684">
        <v>33624</v>
      </c>
      <c r="B1684" t="s">
        <v>9272</v>
      </c>
      <c r="C1684" t="str">
        <f>""</f>
        <v/>
      </c>
      <c r="D1684" t="str">
        <f>"AL0EV8C00"</f>
        <v>AL0EV8C00</v>
      </c>
      <c r="E1684" s="1">
        <v>35462</v>
      </c>
      <c r="F1684" t="s">
        <v>9273</v>
      </c>
      <c r="G1684" t="e">
        <f>INDEX(#REF!,MATCH(P1684,#REF!,0),1)</f>
        <v>#REF!</v>
      </c>
      <c r="H1684" t="s">
        <v>9274</v>
      </c>
      <c r="J1684" t="s">
        <v>1293</v>
      </c>
      <c r="K1684" t="s">
        <v>53</v>
      </c>
      <c r="L1684" t="str">
        <f>"03104"</f>
        <v>03104</v>
      </c>
      <c r="M1684" t="s">
        <v>9275</v>
      </c>
      <c r="N1684">
        <v>33624</v>
      </c>
      <c r="O1684" t="s">
        <v>9273</v>
      </c>
      <c r="P1684">
        <v>33624</v>
      </c>
      <c r="Q1684" t="s">
        <v>9273</v>
      </c>
      <c r="R1684" t="s">
        <v>5064</v>
      </c>
      <c r="S1684" t="s">
        <v>5065</v>
      </c>
      <c r="T1684" t="s">
        <v>44</v>
      </c>
      <c r="U1684" t="s">
        <v>6115</v>
      </c>
      <c r="V1684" t="s">
        <v>2215</v>
      </c>
    </row>
    <row r="1685" spans="1:33" x14ac:dyDescent="0.3">
      <c r="A1685">
        <v>33637</v>
      </c>
      <c r="B1685" t="s">
        <v>9276</v>
      </c>
      <c r="C1685" t="str">
        <f>""</f>
        <v/>
      </c>
      <c r="D1685" t="str">
        <f>"JF5EVIU00"</f>
        <v>JF5EVIU00</v>
      </c>
      <c r="E1685" s="1">
        <v>42614</v>
      </c>
      <c r="F1685" t="s">
        <v>9277</v>
      </c>
      <c r="G1685" t="e">
        <f>INDEX(#REF!,MATCH(P1685,#REF!,0),1)</f>
        <v>#REF!</v>
      </c>
      <c r="H1685" t="s">
        <v>9278</v>
      </c>
      <c r="J1685" t="s">
        <v>2741</v>
      </c>
      <c r="K1685" t="s">
        <v>53</v>
      </c>
      <c r="L1685" t="str">
        <f>"03301-2551"</f>
        <v>03301-2551</v>
      </c>
      <c r="M1685" t="s">
        <v>9279</v>
      </c>
      <c r="N1685">
        <v>2623570</v>
      </c>
      <c r="O1685" t="s">
        <v>8592</v>
      </c>
      <c r="P1685">
        <v>6196674</v>
      </c>
      <c r="Q1685" t="s">
        <v>9280</v>
      </c>
      <c r="R1685" t="s">
        <v>7384</v>
      </c>
      <c r="S1685" t="s">
        <v>7385</v>
      </c>
      <c r="T1685" t="s">
        <v>2277</v>
      </c>
      <c r="U1685" t="s">
        <v>9035</v>
      </c>
      <c r="V1685" t="s">
        <v>2215</v>
      </c>
      <c r="AA1685" t="s">
        <v>328</v>
      </c>
      <c r="AD1685" t="s">
        <v>59</v>
      </c>
      <c r="AF1685" t="s">
        <v>8592</v>
      </c>
    </row>
    <row r="1686" spans="1:33" x14ac:dyDescent="0.3">
      <c r="A1686">
        <v>33639</v>
      </c>
      <c r="B1686" t="s">
        <v>9281</v>
      </c>
      <c r="C1686" t="str">
        <f>""</f>
        <v/>
      </c>
      <c r="D1686" t="str">
        <f>"120430A00"</f>
        <v>120430A00</v>
      </c>
      <c r="E1686" s="1">
        <v>40137</v>
      </c>
      <c r="F1686" t="s">
        <v>9282</v>
      </c>
      <c r="G1686" t="e">
        <f>INDEX(#REF!,MATCH(P1686,#REF!,0),1)</f>
        <v>#REF!</v>
      </c>
      <c r="H1686" t="s">
        <v>9283</v>
      </c>
      <c r="J1686" t="s">
        <v>9284</v>
      </c>
      <c r="K1686" t="s">
        <v>53</v>
      </c>
      <c r="L1686" t="str">
        <f>"03785-1421"</f>
        <v>03785-1421</v>
      </c>
      <c r="M1686" t="s">
        <v>9285</v>
      </c>
      <c r="N1686">
        <v>33639</v>
      </c>
      <c r="O1686" t="s">
        <v>9282</v>
      </c>
      <c r="P1686">
        <v>33639</v>
      </c>
      <c r="Q1686" t="s">
        <v>9282</v>
      </c>
      <c r="R1686" t="s">
        <v>245</v>
      </c>
      <c r="S1686" t="s">
        <v>246</v>
      </c>
      <c r="T1686" t="s">
        <v>44</v>
      </c>
      <c r="U1686" t="s">
        <v>45</v>
      </c>
    </row>
    <row r="1687" spans="1:33" x14ac:dyDescent="0.3">
      <c r="A1687">
        <v>33652</v>
      </c>
      <c r="B1687" t="s">
        <v>9286</v>
      </c>
      <c r="C1687" t="str">
        <f>""</f>
        <v/>
      </c>
      <c r="D1687" t="str">
        <f>""</f>
        <v/>
      </c>
      <c r="E1687" s="1">
        <v>35462</v>
      </c>
      <c r="F1687" t="s">
        <v>9287</v>
      </c>
      <c r="G1687" t="e">
        <f>INDEX(#REF!,MATCH(P1687,#REF!,0),1)</f>
        <v>#REF!</v>
      </c>
      <c r="H1687" t="s">
        <v>9288</v>
      </c>
      <c r="J1687" t="s">
        <v>9265</v>
      </c>
      <c r="K1687" t="s">
        <v>2004</v>
      </c>
      <c r="L1687" t="str">
        <f>"01923"</f>
        <v>01923</v>
      </c>
      <c r="M1687" t="s">
        <v>9289</v>
      </c>
      <c r="N1687">
        <v>51302</v>
      </c>
      <c r="O1687" t="s">
        <v>9267</v>
      </c>
      <c r="P1687">
        <v>51302</v>
      </c>
      <c r="Q1687" t="s">
        <v>9267</v>
      </c>
      <c r="R1687" t="s">
        <v>6187</v>
      </c>
      <c r="S1687" t="s">
        <v>6188</v>
      </c>
      <c r="T1687" t="s">
        <v>2214</v>
      </c>
      <c r="U1687" t="s">
        <v>2214</v>
      </c>
      <c r="V1687" t="s">
        <v>2215</v>
      </c>
    </row>
    <row r="1688" spans="1:33" x14ac:dyDescent="0.3">
      <c r="A1688">
        <v>33655</v>
      </c>
      <c r="B1688" t="s">
        <v>9290</v>
      </c>
      <c r="C1688" t="str">
        <f>""</f>
        <v/>
      </c>
      <c r="D1688" t="str">
        <f>"HLWV9RT00"</f>
        <v>HLWV9RT00</v>
      </c>
      <c r="E1688" s="1">
        <v>38139</v>
      </c>
      <c r="F1688" t="s">
        <v>9291</v>
      </c>
      <c r="G1688" t="e">
        <f>INDEX(#REF!,MATCH(P1688,#REF!,0),1)</f>
        <v>#REF!</v>
      </c>
      <c r="H1688" t="s">
        <v>9292</v>
      </c>
      <c r="J1688" t="s">
        <v>964</v>
      </c>
      <c r="K1688" t="s">
        <v>835</v>
      </c>
      <c r="L1688">
        <v>66615</v>
      </c>
      <c r="M1688" t="s">
        <v>9293</v>
      </c>
      <c r="N1688">
        <v>33655</v>
      </c>
      <c r="O1688" t="s">
        <v>9291</v>
      </c>
      <c r="P1688">
        <v>33655</v>
      </c>
      <c r="Q1688" t="s">
        <v>9291</v>
      </c>
      <c r="R1688" t="s">
        <v>3945</v>
      </c>
      <c r="S1688" t="s">
        <v>3946</v>
      </c>
      <c r="T1688" t="s">
        <v>2277</v>
      </c>
      <c r="U1688" t="s">
        <v>5622</v>
      </c>
      <c r="V1688" t="s">
        <v>2215</v>
      </c>
    </row>
    <row r="1689" spans="1:33" x14ac:dyDescent="0.3">
      <c r="A1689">
        <v>33659</v>
      </c>
      <c r="B1689" t="s">
        <v>9294</v>
      </c>
      <c r="C1689" t="str">
        <f>""</f>
        <v/>
      </c>
      <c r="D1689" t="str">
        <f>"140080D00"</f>
        <v>140080D00</v>
      </c>
      <c r="E1689" s="1">
        <v>42583</v>
      </c>
      <c r="F1689" t="s">
        <v>9295</v>
      </c>
      <c r="G1689" t="e">
        <f>INDEX(#REF!,MATCH(P1689,#REF!,0),1)</f>
        <v>#REF!</v>
      </c>
      <c r="H1689" t="s">
        <v>9296</v>
      </c>
      <c r="J1689" t="s">
        <v>9200</v>
      </c>
      <c r="K1689" t="s">
        <v>2004</v>
      </c>
      <c r="L1689" t="str">
        <f>"01432-1171"</f>
        <v>01432-1171</v>
      </c>
      <c r="M1689" t="s">
        <v>9297</v>
      </c>
      <c r="N1689">
        <v>2623351</v>
      </c>
      <c r="O1689" t="s">
        <v>2006</v>
      </c>
      <c r="P1689">
        <v>2623351</v>
      </c>
      <c r="Q1689" t="s">
        <v>2006</v>
      </c>
      <c r="R1689" t="s">
        <v>245</v>
      </c>
      <c r="S1689" t="s">
        <v>246</v>
      </c>
      <c r="T1689" t="s">
        <v>44</v>
      </c>
      <c r="U1689" t="s">
        <v>45</v>
      </c>
    </row>
    <row r="1690" spans="1:33" x14ac:dyDescent="0.3">
      <c r="A1690">
        <v>33666</v>
      </c>
      <c r="B1690" t="s">
        <v>9298</v>
      </c>
      <c r="C1690" t="str">
        <f>""</f>
        <v/>
      </c>
      <c r="D1690" t="str">
        <f>"25YSGN000"</f>
        <v>25YSGN000</v>
      </c>
      <c r="E1690" s="1">
        <v>35462</v>
      </c>
      <c r="F1690" t="s">
        <v>9299</v>
      </c>
      <c r="G1690" t="e">
        <f>INDEX(#REF!,MATCH(P1690,#REF!,0),1)</f>
        <v>#REF!</v>
      </c>
      <c r="H1690" t="s">
        <v>9300</v>
      </c>
      <c r="J1690" t="s">
        <v>9301</v>
      </c>
      <c r="K1690" t="s">
        <v>2004</v>
      </c>
      <c r="L1690" t="str">
        <f>"02132"</f>
        <v>02132</v>
      </c>
      <c r="M1690" t="s">
        <v>9302</v>
      </c>
      <c r="N1690">
        <v>33666</v>
      </c>
      <c r="O1690" t="s">
        <v>9299</v>
      </c>
      <c r="P1690">
        <v>33666</v>
      </c>
      <c r="Q1690" t="s">
        <v>9299</v>
      </c>
      <c r="R1690" t="s">
        <v>6187</v>
      </c>
      <c r="S1690" t="s">
        <v>6188</v>
      </c>
      <c r="T1690" t="s">
        <v>2214</v>
      </c>
      <c r="U1690" t="s">
        <v>2214</v>
      </c>
      <c r="V1690" t="s">
        <v>2215</v>
      </c>
    </row>
    <row r="1691" spans="1:33" x14ac:dyDescent="0.3">
      <c r="A1691">
        <v>33668</v>
      </c>
      <c r="B1691" t="s">
        <v>9303</v>
      </c>
      <c r="C1691" t="str">
        <f>"1100002587437"</f>
        <v>1100002587437</v>
      </c>
      <c r="D1691" t="str">
        <f>"07T2EWC00"</f>
        <v>07T2EWC00</v>
      </c>
      <c r="E1691" s="1">
        <v>35796</v>
      </c>
      <c r="F1691" t="s">
        <v>9304</v>
      </c>
      <c r="G1691" t="e">
        <f>INDEX(#REF!,MATCH(P1691,#REF!,0),1)</f>
        <v>#REF!</v>
      </c>
      <c r="H1691" t="s">
        <v>9305</v>
      </c>
      <c r="J1691" t="s">
        <v>4219</v>
      </c>
      <c r="K1691" t="s">
        <v>225</v>
      </c>
      <c r="L1691" t="s">
        <v>9306</v>
      </c>
      <c r="M1691" t="s">
        <v>9307</v>
      </c>
      <c r="N1691">
        <v>33668</v>
      </c>
      <c r="O1691" t="s">
        <v>9304</v>
      </c>
      <c r="P1691">
        <v>33668</v>
      </c>
      <c r="Q1691" t="s">
        <v>9304</v>
      </c>
      <c r="R1691" t="s">
        <v>4689</v>
      </c>
      <c r="S1691" t="s">
        <v>4690</v>
      </c>
      <c r="T1691" t="s">
        <v>2277</v>
      </c>
      <c r="U1691" t="s">
        <v>5622</v>
      </c>
      <c r="V1691" t="s">
        <v>2215</v>
      </c>
    </row>
    <row r="1692" spans="1:33" x14ac:dyDescent="0.3">
      <c r="A1692">
        <v>33669</v>
      </c>
      <c r="B1692" t="s">
        <v>9308</v>
      </c>
      <c r="C1692" t="str">
        <f>""</f>
        <v/>
      </c>
      <c r="D1692" t="str">
        <f>"RRVERBT00"</f>
        <v>RRVERBT00</v>
      </c>
      <c r="E1692" s="1">
        <v>40749</v>
      </c>
      <c r="F1692" t="s">
        <v>9309</v>
      </c>
      <c r="G1692" t="e">
        <f>INDEX(#REF!,MATCH(P1692,#REF!,0),1)</f>
        <v>#REF!</v>
      </c>
      <c r="H1692" t="s">
        <v>9310</v>
      </c>
      <c r="I1692" t="s">
        <v>5753</v>
      </c>
      <c r="J1692" t="s">
        <v>9311</v>
      </c>
      <c r="K1692" t="s">
        <v>2004</v>
      </c>
      <c r="L1692" t="str">
        <f>"02128-1990"</f>
        <v>02128-1990</v>
      </c>
      <c r="M1692" t="s">
        <v>9312</v>
      </c>
      <c r="N1692">
        <v>33669</v>
      </c>
      <c r="O1692" t="s">
        <v>9309</v>
      </c>
      <c r="P1692">
        <v>33669</v>
      </c>
      <c r="Q1692" t="s">
        <v>9309</v>
      </c>
      <c r="R1692" t="s">
        <v>5419</v>
      </c>
      <c r="S1692" t="s">
        <v>5420</v>
      </c>
      <c r="T1692" t="s">
        <v>2277</v>
      </c>
      <c r="U1692" t="s">
        <v>2278</v>
      </c>
      <c r="V1692" t="s">
        <v>2215</v>
      </c>
      <c r="AF1692" t="s">
        <v>5421</v>
      </c>
    </row>
    <row r="1693" spans="1:33" x14ac:dyDescent="0.3">
      <c r="A1693">
        <v>33678</v>
      </c>
      <c r="B1693" t="s">
        <v>9313</v>
      </c>
      <c r="C1693" t="str">
        <f>"1100003367991"</f>
        <v>1100003367991</v>
      </c>
      <c r="D1693" t="str">
        <f>"12PIN8500"</f>
        <v>12PIN8500</v>
      </c>
      <c r="E1693" s="1">
        <v>42583</v>
      </c>
      <c r="F1693" t="s">
        <v>9314</v>
      </c>
      <c r="G1693" t="e">
        <f>INDEX(#REF!,MATCH(P1693,#REF!,0),1)</f>
        <v>#REF!</v>
      </c>
      <c r="H1693" t="s">
        <v>9315</v>
      </c>
      <c r="J1693" t="s">
        <v>1293</v>
      </c>
      <c r="K1693" t="s">
        <v>53</v>
      </c>
      <c r="L1693" t="str">
        <f>"03103"</f>
        <v>03103</v>
      </c>
      <c r="M1693" t="s">
        <v>9316</v>
      </c>
      <c r="N1693">
        <v>3544510</v>
      </c>
      <c r="O1693" t="s">
        <v>656</v>
      </c>
      <c r="P1693">
        <v>345</v>
      </c>
      <c r="Q1693" t="s">
        <v>1291</v>
      </c>
      <c r="R1693" t="s">
        <v>3751</v>
      </c>
      <c r="S1693" t="s">
        <v>3752</v>
      </c>
      <c r="T1693" t="s">
        <v>117</v>
      </c>
      <c r="U1693" t="s">
        <v>2479</v>
      </c>
      <c r="V1693" t="s">
        <v>1824</v>
      </c>
      <c r="AA1693" t="s">
        <v>58</v>
      </c>
      <c r="AE1693" t="s">
        <v>60</v>
      </c>
    </row>
    <row r="1694" spans="1:33" x14ac:dyDescent="0.3">
      <c r="A1694">
        <v>33692</v>
      </c>
      <c r="B1694" t="s">
        <v>9317</v>
      </c>
      <c r="C1694" t="str">
        <f>""</f>
        <v/>
      </c>
      <c r="D1694" t="str">
        <f>"25YAMZ000"</f>
        <v>25YAMZ000</v>
      </c>
      <c r="E1694" s="1">
        <v>35462</v>
      </c>
      <c r="F1694" t="s">
        <v>9318</v>
      </c>
      <c r="G1694" t="e">
        <f>INDEX(#REF!,MATCH(P1694,#REF!,0),1)</f>
        <v>#REF!</v>
      </c>
      <c r="H1694" t="s">
        <v>9319</v>
      </c>
      <c r="J1694" t="s">
        <v>9320</v>
      </c>
      <c r="K1694" t="s">
        <v>2004</v>
      </c>
      <c r="L1694" t="str">
        <f>"02571"</f>
        <v>02571</v>
      </c>
      <c r="M1694" t="s">
        <v>9321</v>
      </c>
      <c r="N1694">
        <v>47202</v>
      </c>
      <c r="O1694" t="s">
        <v>8863</v>
      </c>
      <c r="P1694">
        <v>47202</v>
      </c>
      <c r="Q1694" t="s">
        <v>8863</v>
      </c>
      <c r="R1694" t="s">
        <v>6187</v>
      </c>
      <c r="S1694" t="s">
        <v>6188</v>
      </c>
      <c r="T1694" t="s">
        <v>2214</v>
      </c>
      <c r="U1694" t="s">
        <v>2214</v>
      </c>
      <c r="V1694" t="s">
        <v>2215</v>
      </c>
    </row>
    <row r="1695" spans="1:33" x14ac:dyDescent="0.3">
      <c r="A1695">
        <v>33693</v>
      </c>
      <c r="B1695" t="s">
        <v>9322</v>
      </c>
      <c r="C1695" t="str">
        <f>"1100002751616"</f>
        <v>1100002751616</v>
      </c>
      <c r="D1695" t="str">
        <f>"140730F00"</f>
        <v>140730F00</v>
      </c>
      <c r="E1695" s="1">
        <v>42583</v>
      </c>
      <c r="F1695" t="s">
        <v>9323</v>
      </c>
      <c r="G1695" t="e">
        <f>INDEX(#REF!,MATCH(P1695,#REF!,0),1)</f>
        <v>#REF!</v>
      </c>
      <c r="H1695" t="s">
        <v>9324</v>
      </c>
      <c r="J1695" t="s">
        <v>463</v>
      </c>
      <c r="K1695" t="s">
        <v>2004</v>
      </c>
      <c r="L1695" t="str">
        <f>"01301-2691"</f>
        <v>01301-2691</v>
      </c>
      <c r="M1695" t="s">
        <v>9325</v>
      </c>
      <c r="N1695">
        <v>33556</v>
      </c>
      <c r="O1695" t="s">
        <v>2934</v>
      </c>
      <c r="P1695">
        <v>33556</v>
      </c>
      <c r="Q1695" t="s">
        <v>2934</v>
      </c>
      <c r="R1695" t="s">
        <v>1301</v>
      </c>
      <c r="S1695" t="s">
        <v>1302</v>
      </c>
      <c r="T1695" t="s">
        <v>44</v>
      </c>
      <c r="U1695" t="s">
        <v>45</v>
      </c>
      <c r="AG1695" t="s">
        <v>48</v>
      </c>
    </row>
    <row r="1696" spans="1:33" x14ac:dyDescent="0.3">
      <c r="A1696">
        <v>33694</v>
      </c>
      <c r="B1696" t="s">
        <v>9326</v>
      </c>
      <c r="C1696" t="str">
        <f>"1100006032414"</f>
        <v>1100006032414</v>
      </c>
      <c r="D1696" t="str">
        <f>"120120600"</f>
        <v>120120600</v>
      </c>
      <c r="E1696" s="1">
        <v>44409</v>
      </c>
      <c r="F1696" t="s">
        <v>9327</v>
      </c>
      <c r="G1696" t="e">
        <f>INDEX(#REF!,MATCH(P1696,#REF!,0),1)</f>
        <v>#REF!</v>
      </c>
      <c r="H1696" t="s">
        <v>9328</v>
      </c>
      <c r="J1696" t="s">
        <v>1089</v>
      </c>
      <c r="K1696" t="s">
        <v>53</v>
      </c>
      <c r="L1696" t="str">
        <f>"03235"</f>
        <v>03235</v>
      </c>
      <c r="M1696" t="s">
        <v>9329</v>
      </c>
      <c r="N1696">
        <v>2757218</v>
      </c>
      <c r="O1696" t="s">
        <v>9330</v>
      </c>
      <c r="P1696">
        <v>2757218</v>
      </c>
      <c r="Q1696" t="s">
        <v>9330</v>
      </c>
      <c r="R1696" t="s">
        <v>245</v>
      </c>
      <c r="S1696" t="s">
        <v>246</v>
      </c>
      <c r="T1696" t="s">
        <v>44</v>
      </c>
      <c r="U1696" t="s">
        <v>45</v>
      </c>
    </row>
    <row r="1697" spans="1:33" x14ac:dyDescent="0.3">
      <c r="A1697">
        <v>33706</v>
      </c>
      <c r="B1697" t="s">
        <v>9331</v>
      </c>
      <c r="C1697" t="str">
        <f>""</f>
        <v/>
      </c>
      <c r="D1697" t="str">
        <f>"67BM2HT00"</f>
        <v>67BM2HT00</v>
      </c>
      <c r="E1697" s="1">
        <v>42583</v>
      </c>
      <c r="F1697" t="s">
        <v>9332</v>
      </c>
      <c r="G1697" t="e">
        <f>INDEX(#REF!,MATCH(P1697,#REF!,0),1)</f>
        <v>#REF!</v>
      </c>
      <c r="H1697" t="s">
        <v>9333</v>
      </c>
      <c r="J1697" t="s">
        <v>4787</v>
      </c>
      <c r="K1697" t="s">
        <v>2004</v>
      </c>
      <c r="L1697" t="str">
        <f>"02302"</f>
        <v>02302</v>
      </c>
      <c r="M1697" t="s">
        <v>9334</v>
      </c>
      <c r="N1697">
        <v>2623351</v>
      </c>
      <c r="O1697" t="s">
        <v>2006</v>
      </c>
      <c r="P1697">
        <v>2623351</v>
      </c>
      <c r="Q1697" t="s">
        <v>2006</v>
      </c>
      <c r="R1697" t="s">
        <v>245</v>
      </c>
      <c r="S1697" t="s">
        <v>246</v>
      </c>
      <c r="T1697" t="s">
        <v>117</v>
      </c>
      <c r="U1697" t="s">
        <v>4108</v>
      </c>
    </row>
    <row r="1698" spans="1:33" x14ac:dyDescent="0.3">
      <c r="A1698">
        <v>33712</v>
      </c>
      <c r="B1698" t="s">
        <v>9335</v>
      </c>
      <c r="C1698" t="str">
        <f>"1100001182121"</f>
        <v>1100001182121</v>
      </c>
      <c r="D1698" t="str">
        <f>"130150A00"</f>
        <v>130150A00</v>
      </c>
      <c r="E1698" s="1">
        <v>41221</v>
      </c>
      <c r="F1698" t="s">
        <v>9336</v>
      </c>
      <c r="G1698" t="e">
        <f>INDEX(#REF!,MATCH(P1698,#REF!,0),1)</f>
        <v>#REF!</v>
      </c>
      <c r="H1698" t="s">
        <v>9337</v>
      </c>
      <c r="J1698" t="s">
        <v>9338</v>
      </c>
      <c r="K1698" t="s">
        <v>425</v>
      </c>
      <c r="L1698" t="str">
        <f>"05353"</f>
        <v>05353</v>
      </c>
      <c r="M1698" t="s">
        <v>9339</v>
      </c>
      <c r="N1698">
        <v>33712</v>
      </c>
      <c r="O1698" t="s">
        <v>9336</v>
      </c>
      <c r="P1698">
        <v>33712</v>
      </c>
      <c r="Q1698" t="s">
        <v>9336</v>
      </c>
      <c r="R1698" t="s">
        <v>56</v>
      </c>
      <c r="S1698" t="s">
        <v>57</v>
      </c>
      <c r="T1698" t="s">
        <v>44</v>
      </c>
      <c r="U1698" t="s">
        <v>45</v>
      </c>
    </row>
    <row r="1699" spans="1:33" x14ac:dyDescent="0.3">
      <c r="A1699">
        <v>33744</v>
      </c>
      <c r="B1699" t="s">
        <v>9340</v>
      </c>
      <c r="C1699" t="str">
        <f>""</f>
        <v/>
      </c>
      <c r="D1699" t="str">
        <f>"140760I00"</f>
        <v>140760I00</v>
      </c>
      <c r="E1699" s="1">
        <v>42583</v>
      </c>
      <c r="F1699" t="s">
        <v>9341</v>
      </c>
      <c r="G1699" t="e">
        <f>INDEX(#REF!,MATCH(P1699,#REF!,0),1)</f>
        <v>#REF!</v>
      </c>
      <c r="H1699" t="s">
        <v>9342</v>
      </c>
      <c r="J1699" t="s">
        <v>9343</v>
      </c>
      <c r="K1699" t="s">
        <v>2004</v>
      </c>
      <c r="L1699" t="str">
        <f>"01830-6700"</f>
        <v>01830-6700</v>
      </c>
      <c r="M1699" t="s">
        <v>9344</v>
      </c>
      <c r="N1699">
        <v>683</v>
      </c>
      <c r="O1699" t="s">
        <v>2495</v>
      </c>
      <c r="P1699">
        <v>683</v>
      </c>
      <c r="Q1699" t="s">
        <v>2495</v>
      </c>
      <c r="R1699" t="s">
        <v>658</v>
      </c>
      <c r="S1699" t="s">
        <v>659</v>
      </c>
      <c r="T1699" t="s">
        <v>44</v>
      </c>
      <c r="U1699" t="s">
        <v>45</v>
      </c>
      <c r="AA1699" t="s">
        <v>119</v>
      </c>
      <c r="AE1699" t="s">
        <v>120</v>
      </c>
    </row>
    <row r="1700" spans="1:33" x14ac:dyDescent="0.3">
      <c r="A1700">
        <v>33748</v>
      </c>
      <c r="B1700" t="s">
        <v>9345</v>
      </c>
      <c r="C1700" t="str">
        <f>"1100004752222"</f>
        <v>1100004752222</v>
      </c>
      <c r="D1700" t="str">
        <f>"25M5H0F00"</f>
        <v>25M5H0F00</v>
      </c>
      <c r="E1700" s="1">
        <v>45686</v>
      </c>
      <c r="F1700" t="s">
        <v>9346</v>
      </c>
      <c r="G1700" t="e">
        <f>INDEX(#REF!,MATCH(P1700,#REF!,0),1)</f>
        <v>#REF!</v>
      </c>
      <c r="H1700" t="s">
        <v>9347</v>
      </c>
      <c r="J1700" t="s">
        <v>9343</v>
      </c>
      <c r="K1700" t="s">
        <v>2004</v>
      </c>
      <c r="L1700" t="str">
        <f>"01832"</f>
        <v>01832</v>
      </c>
      <c r="M1700" t="s">
        <v>9348</v>
      </c>
      <c r="N1700">
        <v>4155233</v>
      </c>
      <c r="O1700" t="s">
        <v>9017</v>
      </c>
      <c r="P1700">
        <v>4155233</v>
      </c>
      <c r="Q1700" t="s">
        <v>9017</v>
      </c>
      <c r="R1700" t="s">
        <v>5064</v>
      </c>
      <c r="S1700" t="s">
        <v>5065</v>
      </c>
      <c r="T1700" t="s">
        <v>2214</v>
      </c>
      <c r="U1700" t="s">
        <v>2214</v>
      </c>
      <c r="V1700" t="s">
        <v>2215</v>
      </c>
    </row>
    <row r="1701" spans="1:33" x14ac:dyDescent="0.3">
      <c r="A1701">
        <v>33765</v>
      </c>
      <c r="B1701" t="s">
        <v>9349</v>
      </c>
      <c r="C1701" t="str">
        <f>""</f>
        <v/>
      </c>
      <c r="D1701" t="str">
        <f>"S2MZO47F0"</f>
        <v>S2MZO47F0</v>
      </c>
      <c r="E1701" s="1">
        <v>42614</v>
      </c>
      <c r="F1701" t="s">
        <v>9350</v>
      </c>
      <c r="G1701" t="e">
        <f>INDEX(#REF!,MATCH(P1701,#REF!,0),1)</f>
        <v>#REF!</v>
      </c>
      <c r="H1701" t="s">
        <v>9351</v>
      </c>
      <c r="J1701" t="s">
        <v>9352</v>
      </c>
      <c r="K1701" t="s">
        <v>2004</v>
      </c>
      <c r="L1701" t="str">
        <f>"02169"</f>
        <v>02169</v>
      </c>
      <c r="M1701" t="s">
        <v>9353</v>
      </c>
      <c r="N1701">
        <v>2407580</v>
      </c>
      <c r="O1701" t="s">
        <v>8638</v>
      </c>
      <c r="P1701">
        <v>2419518</v>
      </c>
      <c r="Q1701" t="s">
        <v>9242</v>
      </c>
      <c r="R1701" t="s">
        <v>8545</v>
      </c>
      <c r="S1701" t="s">
        <v>8546</v>
      </c>
      <c r="T1701" t="s">
        <v>4245</v>
      </c>
      <c r="U1701" t="s">
        <v>4246</v>
      </c>
      <c r="V1701" t="s">
        <v>2215</v>
      </c>
      <c r="AF1701" t="s">
        <v>8640</v>
      </c>
    </row>
    <row r="1702" spans="1:33" x14ac:dyDescent="0.3">
      <c r="A1702">
        <v>33773</v>
      </c>
      <c r="B1702" t="s">
        <v>9354</v>
      </c>
      <c r="C1702" t="str">
        <f>""</f>
        <v/>
      </c>
      <c r="D1702" t="str">
        <f>"141360F00"</f>
        <v>141360F00</v>
      </c>
      <c r="E1702" s="1">
        <v>42583</v>
      </c>
      <c r="F1702" t="s">
        <v>9355</v>
      </c>
      <c r="G1702" t="e">
        <f>INDEX(#REF!,MATCH(P1702,#REF!,0),1)</f>
        <v>#REF!</v>
      </c>
      <c r="H1702" t="s">
        <v>9356</v>
      </c>
      <c r="J1702" t="s">
        <v>2134</v>
      </c>
      <c r="K1702" t="s">
        <v>2004</v>
      </c>
      <c r="L1702" t="str">
        <f>"02131-1011"</f>
        <v>02131-1011</v>
      </c>
      <c r="M1702" t="s">
        <v>9357</v>
      </c>
      <c r="N1702">
        <v>33773</v>
      </c>
      <c r="O1702" t="s">
        <v>9355</v>
      </c>
      <c r="P1702">
        <v>33773</v>
      </c>
      <c r="Q1702" t="s">
        <v>9355</v>
      </c>
      <c r="R1702" t="s">
        <v>245</v>
      </c>
      <c r="S1702" t="s">
        <v>246</v>
      </c>
      <c r="T1702" t="s">
        <v>44</v>
      </c>
      <c r="U1702" t="s">
        <v>45</v>
      </c>
    </row>
    <row r="1703" spans="1:33" x14ac:dyDescent="0.3">
      <c r="A1703">
        <v>33779</v>
      </c>
      <c r="B1703" t="s">
        <v>9358</v>
      </c>
      <c r="C1703" t="str">
        <f>""</f>
        <v/>
      </c>
      <c r="D1703" t="str">
        <f>""</f>
        <v/>
      </c>
      <c r="E1703" s="1">
        <v>41555</v>
      </c>
      <c r="F1703" t="s">
        <v>9359</v>
      </c>
      <c r="G1703" t="e">
        <f>INDEX(#REF!,MATCH(P1703,#REF!,0),1)</f>
        <v>#REF!</v>
      </c>
      <c r="H1703" t="s">
        <v>9360</v>
      </c>
      <c r="J1703" t="s">
        <v>9361</v>
      </c>
      <c r="K1703" t="s">
        <v>2507</v>
      </c>
      <c r="L1703" t="str">
        <f>"02917"</f>
        <v>02917</v>
      </c>
      <c r="M1703" t="s">
        <v>9362</v>
      </c>
      <c r="N1703">
        <v>1109765</v>
      </c>
      <c r="O1703" t="s">
        <v>9363</v>
      </c>
      <c r="P1703">
        <v>1109765</v>
      </c>
      <c r="Q1703" t="s">
        <v>9363</v>
      </c>
      <c r="R1703" t="s">
        <v>6187</v>
      </c>
      <c r="S1703" t="s">
        <v>6188</v>
      </c>
      <c r="T1703" t="s">
        <v>2214</v>
      </c>
      <c r="U1703" t="s">
        <v>2214</v>
      </c>
      <c r="V1703" t="s">
        <v>2215</v>
      </c>
    </row>
    <row r="1704" spans="1:33" x14ac:dyDescent="0.3">
      <c r="A1704">
        <v>33786</v>
      </c>
      <c r="B1704" t="s">
        <v>9364</v>
      </c>
      <c r="C1704" t="str">
        <f>"1100003325533"</f>
        <v>1100003325533</v>
      </c>
      <c r="D1704" t="str">
        <f>"6Q9NT5Q00"</f>
        <v>6Q9NT5Q00</v>
      </c>
      <c r="E1704" s="1">
        <v>38610</v>
      </c>
      <c r="F1704" t="s">
        <v>9365</v>
      </c>
      <c r="G1704" t="e">
        <f>INDEX(#REF!,MATCH(P1704,#REF!,0),1)</f>
        <v>#REF!</v>
      </c>
      <c r="H1704" t="s">
        <v>9366</v>
      </c>
      <c r="J1704" t="s">
        <v>9367</v>
      </c>
      <c r="K1704" t="s">
        <v>2004</v>
      </c>
      <c r="L1704" t="str">
        <f>"01001"</f>
        <v>01001</v>
      </c>
      <c r="M1704" t="s">
        <v>9368</v>
      </c>
      <c r="N1704">
        <v>33789</v>
      </c>
      <c r="O1704" t="s">
        <v>9369</v>
      </c>
      <c r="P1704">
        <v>33789</v>
      </c>
      <c r="Q1704" t="s">
        <v>9369</v>
      </c>
      <c r="R1704" t="s">
        <v>6187</v>
      </c>
      <c r="S1704" t="s">
        <v>6188</v>
      </c>
      <c r="T1704" t="s">
        <v>2277</v>
      </c>
      <c r="U1704" t="s">
        <v>2278</v>
      </c>
      <c r="V1704" t="s">
        <v>2215</v>
      </c>
    </row>
    <row r="1705" spans="1:33" x14ac:dyDescent="0.3">
      <c r="A1705">
        <v>33789</v>
      </c>
      <c r="B1705" t="s">
        <v>9370</v>
      </c>
      <c r="C1705" t="str">
        <f>"1100005439719"</f>
        <v>1100005439719</v>
      </c>
      <c r="D1705" t="str">
        <f>"904P67F00"</f>
        <v>904P67F00</v>
      </c>
      <c r="E1705" s="1">
        <v>38610</v>
      </c>
      <c r="F1705" t="s">
        <v>9369</v>
      </c>
      <c r="G1705" t="e">
        <f>INDEX(#REF!,MATCH(P1705,#REF!,0),1)</f>
        <v>#REF!</v>
      </c>
      <c r="H1705" t="s">
        <v>9371</v>
      </c>
      <c r="J1705" t="s">
        <v>9372</v>
      </c>
      <c r="K1705" t="s">
        <v>2004</v>
      </c>
      <c r="L1705" t="str">
        <f>"01020"</f>
        <v>01020</v>
      </c>
      <c r="M1705" t="s">
        <v>9373</v>
      </c>
      <c r="N1705">
        <v>33789</v>
      </c>
      <c r="O1705" t="s">
        <v>9369</v>
      </c>
      <c r="P1705">
        <v>33789</v>
      </c>
      <c r="Q1705" t="s">
        <v>9369</v>
      </c>
      <c r="R1705" t="s">
        <v>6187</v>
      </c>
      <c r="S1705" t="s">
        <v>6188</v>
      </c>
      <c r="T1705" t="s">
        <v>2277</v>
      </c>
      <c r="U1705" t="s">
        <v>2278</v>
      </c>
      <c r="V1705" t="s">
        <v>2215</v>
      </c>
      <c r="AD1705" t="s">
        <v>59</v>
      </c>
    </row>
    <row r="1706" spans="1:33" x14ac:dyDescent="0.3">
      <c r="A1706">
        <v>33793</v>
      </c>
      <c r="B1706" t="s">
        <v>9374</v>
      </c>
      <c r="C1706" t="str">
        <f>""</f>
        <v/>
      </c>
      <c r="D1706" t="str">
        <f>"KC181HN00"</f>
        <v>KC181HN00</v>
      </c>
      <c r="E1706" s="1">
        <v>38596</v>
      </c>
      <c r="F1706" t="s">
        <v>9375</v>
      </c>
      <c r="G1706" t="e">
        <f>INDEX(#REF!,MATCH(P1706,#REF!,0),1)</f>
        <v>#REF!</v>
      </c>
      <c r="H1706" t="s">
        <v>9376</v>
      </c>
      <c r="J1706" t="s">
        <v>9377</v>
      </c>
      <c r="K1706" t="s">
        <v>2004</v>
      </c>
      <c r="L1706" t="str">
        <f>"01961"</f>
        <v>01961</v>
      </c>
      <c r="M1706" t="s">
        <v>9378</v>
      </c>
      <c r="N1706">
        <v>2598</v>
      </c>
      <c r="O1706" t="s">
        <v>2136</v>
      </c>
      <c r="P1706">
        <v>89276</v>
      </c>
      <c r="Q1706" t="s">
        <v>9379</v>
      </c>
      <c r="R1706" t="s">
        <v>2138</v>
      </c>
      <c r="S1706" t="s">
        <v>2139</v>
      </c>
      <c r="T1706" t="s">
        <v>117</v>
      </c>
      <c r="U1706" t="s">
        <v>2479</v>
      </c>
      <c r="V1706" t="s">
        <v>1824</v>
      </c>
      <c r="AG1706" t="s">
        <v>48</v>
      </c>
    </row>
    <row r="1707" spans="1:33" x14ac:dyDescent="0.3">
      <c r="A1707">
        <v>33795</v>
      </c>
      <c r="B1707" t="s">
        <v>9380</v>
      </c>
      <c r="C1707" t="str">
        <f>""</f>
        <v/>
      </c>
      <c r="D1707" t="str">
        <f>"IWRMKOZF0"</f>
        <v>IWRMKOZF0</v>
      </c>
      <c r="E1707" s="1">
        <v>38610</v>
      </c>
      <c r="F1707" t="s">
        <v>9381</v>
      </c>
      <c r="G1707" t="e">
        <f>INDEX(#REF!,MATCH(P1707,#REF!,0),1)</f>
        <v>#REF!</v>
      </c>
      <c r="H1707" t="s">
        <v>9382</v>
      </c>
      <c r="J1707" t="s">
        <v>9383</v>
      </c>
      <c r="K1707" t="s">
        <v>2004</v>
      </c>
      <c r="L1707" t="str">
        <f>"01085"</f>
        <v>01085</v>
      </c>
      <c r="M1707" t="s">
        <v>9384</v>
      </c>
      <c r="N1707">
        <v>33789</v>
      </c>
      <c r="O1707" t="s">
        <v>9369</v>
      </c>
      <c r="P1707">
        <v>33789</v>
      </c>
      <c r="Q1707" t="s">
        <v>9369</v>
      </c>
      <c r="R1707" t="s">
        <v>6187</v>
      </c>
      <c r="S1707" t="s">
        <v>6188</v>
      </c>
      <c r="T1707" t="s">
        <v>2277</v>
      </c>
      <c r="U1707" t="s">
        <v>2278</v>
      </c>
      <c r="V1707" t="s">
        <v>2215</v>
      </c>
    </row>
    <row r="1708" spans="1:33" x14ac:dyDescent="0.3">
      <c r="A1708">
        <v>33796</v>
      </c>
      <c r="B1708" t="s">
        <v>9385</v>
      </c>
      <c r="C1708" t="str">
        <f>"1100004057389"</f>
        <v>1100004057389</v>
      </c>
      <c r="D1708" t="str">
        <f>"27QA98Q00"</f>
        <v>27QA98Q00</v>
      </c>
      <c r="E1708" s="1">
        <v>38610</v>
      </c>
      <c r="F1708" t="s">
        <v>9386</v>
      </c>
      <c r="G1708" t="e">
        <f>INDEX(#REF!,MATCH(P1708,#REF!,0),1)</f>
        <v>#REF!</v>
      </c>
      <c r="H1708" t="s">
        <v>9387</v>
      </c>
      <c r="J1708" t="s">
        <v>1248</v>
      </c>
      <c r="K1708" t="s">
        <v>2004</v>
      </c>
      <c r="L1708" t="str">
        <f>"01118"</f>
        <v>01118</v>
      </c>
      <c r="M1708" t="s">
        <v>9388</v>
      </c>
      <c r="N1708">
        <v>33789</v>
      </c>
      <c r="O1708" t="s">
        <v>9369</v>
      </c>
      <c r="P1708">
        <v>33789</v>
      </c>
      <c r="Q1708" t="s">
        <v>9369</v>
      </c>
      <c r="R1708" t="s">
        <v>6187</v>
      </c>
      <c r="S1708" t="s">
        <v>6188</v>
      </c>
      <c r="T1708" t="s">
        <v>2277</v>
      </c>
      <c r="U1708" t="s">
        <v>2278</v>
      </c>
      <c r="V1708" t="s">
        <v>2215</v>
      </c>
    </row>
    <row r="1709" spans="1:33" x14ac:dyDescent="0.3">
      <c r="A1709">
        <v>33798</v>
      </c>
      <c r="B1709" t="s">
        <v>9389</v>
      </c>
      <c r="C1709" t="str">
        <f>""</f>
        <v/>
      </c>
      <c r="D1709" t="str">
        <f>""</f>
        <v/>
      </c>
      <c r="E1709" s="1">
        <v>44875</v>
      </c>
      <c r="F1709" t="s">
        <v>9390</v>
      </c>
      <c r="G1709" t="e">
        <f>INDEX(#REF!,MATCH(P1709,#REF!,0),1)</f>
        <v>#REF!</v>
      </c>
      <c r="H1709" t="s">
        <v>9391</v>
      </c>
      <c r="J1709" t="s">
        <v>9392</v>
      </c>
      <c r="K1709" t="s">
        <v>2507</v>
      </c>
      <c r="L1709" t="str">
        <f>"02838"</f>
        <v>02838</v>
      </c>
      <c r="M1709" t="s">
        <v>9393</v>
      </c>
      <c r="N1709">
        <v>33798</v>
      </c>
      <c r="O1709" t="s">
        <v>9390</v>
      </c>
      <c r="P1709">
        <v>33798</v>
      </c>
      <c r="Q1709" t="s">
        <v>9390</v>
      </c>
      <c r="R1709" t="s">
        <v>7384</v>
      </c>
      <c r="S1709" t="s">
        <v>7385</v>
      </c>
      <c r="T1709" t="s">
        <v>2214</v>
      </c>
      <c r="U1709" t="s">
        <v>2214</v>
      </c>
      <c r="V1709" t="s">
        <v>2215</v>
      </c>
      <c r="AF1709" t="s">
        <v>7552</v>
      </c>
    </row>
    <row r="1710" spans="1:33" x14ac:dyDescent="0.3">
      <c r="A1710">
        <v>33800</v>
      </c>
      <c r="B1710" t="s">
        <v>9394</v>
      </c>
      <c r="C1710" t="str">
        <f>""</f>
        <v/>
      </c>
      <c r="D1710" t="str">
        <f>"140790L00"</f>
        <v>140790L00</v>
      </c>
      <c r="E1710" s="1">
        <v>44409</v>
      </c>
      <c r="F1710" t="s">
        <v>9395</v>
      </c>
      <c r="G1710" t="e">
        <f>INDEX(#REF!,MATCH(P1710,#REF!,0),1)</f>
        <v>#REF!</v>
      </c>
      <c r="H1710" t="s">
        <v>9396</v>
      </c>
      <c r="J1710" t="s">
        <v>9397</v>
      </c>
      <c r="K1710" t="s">
        <v>2004</v>
      </c>
      <c r="L1710" t="str">
        <f>"01040-2223"</f>
        <v>01040-2223</v>
      </c>
      <c r="M1710" t="s">
        <v>9398</v>
      </c>
      <c r="N1710">
        <v>3789083</v>
      </c>
      <c r="O1710" t="s">
        <v>9399</v>
      </c>
      <c r="P1710">
        <v>3789083</v>
      </c>
      <c r="Q1710" t="s">
        <v>9399</v>
      </c>
      <c r="R1710" t="s">
        <v>1301</v>
      </c>
      <c r="S1710" t="s">
        <v>1302</v>
      </c>
      <c r="T1710" t="s">
        <v>44</v>
      </c>
      <c r="U1710" t="s">
        <v>45</v>
      </c>
      <c r="AG1710" t="s">
        <v>48</v>
      </c>
    </row>
    <row r="1711" spans="1:33" x14ac:dyDescent="0.3">
      <c r="A1711">
        <v>33810</v>
      </c>
      <c r="B1711" t="s">
        <v>9400</v>
      </c>
      <c r="C1711" t="str">
        <f>"1100095976309"</f>
        <v>1100095976309</v>
      </c>
      <c r="D1711" t="str">
        <f>"160330DF1"</f>
        <v>160330DF1</v>
      </c>
      <c r="E1711" s="1">
        <v>41164</v>
      </c>
      <c r="F1711" t="s">
        <v>9401</v>
      </c>
      <c r="G1711" t="e">
        <f>INDEX(#REF!,MATCH(P1711,#REF!,0),1)</f>
        <v>#REF!</v>
      </c>
      <c r="H1711" t="s">
        <v>9402</v>
      </c>
      <c r="J1711" t="s">
        <v>1108</v>
      </c>
      <c r="K1711" t="s">
        <v>1109</v>
      </c>
      <c r="L1711" t="str">
        <f>"06511"</f>
        <v>06511</v>
      </c>
      <c r="M1711" t="s">
        <v>9403</v>
      </c>
      <c r="N1711">
        <v>286</v>
      </c>
      <c r="O1711" t="s">
        <v>1106</v>
      </c>
      <c r="P1711">
        <v>950</v>
      </c>
      <c r="Q1711" t="s">
        <v>3105</v>
      </c>
      <c r="R1711" t="s">
        <v>56</v>
      </c>
      <c r="S1711" t="s">
        <v>57</v>
      </c>
      <c r="T1711" t="s">
        <v>44</v>
      </c>
      <c r="U1711" t="s">
        <v>45</v>
      </c>
      <c r="AA1711" t="s">
        <v>58</v>
      </c>
      <c r="AE1711" t="s">
        <v>60</v>
      </c>
      <c r="AG1711" t="s">
        <v>48</v>
      </c>
    </row>
    <row r="1712" spans="1:33" x14ac:dyDescent="0.3">
      <c r="A1712">
        <v>33819</v>
      </c>
      <c r="B1712" t="s">
        <v>9404</v>
      </c>
      <c r="C1712" t="str">
        <f>""</f>
        <v/>
      </c>
      <c r="D1712" t="str">
        <f>""</f>
        <v/>
      </c>
      <c r="E1712" s="1">
        <v>35462</v>
      </c>
      <c r="F1712" t="s">
        <v>9405</v>
      </c>
      <c r="G1712" t="e">
        <f>INDEX(#REF!,MATCH(P1712,#REF!,0),1)</f>
        <v>#REF!</v>
      </c>
      <c r="H1712" t="s">
        <v>9406</v>
      </c>
      <c r="J1712" t="s">
        <v>9407</v>
      </c>
      <c r="K1712" t="s">
        <v>2004</v>
      </c>
      <c r="L1712" t="str">
        <f>"02347"</f>
        <v>02347</v>
      </c>
      <c r="M1712" t="s">
        <v>9408</v>
      </c>
      <c r="N1712">
        <v>33819</v>
      </c>
      <c r="O1712" t="s">
        <v>9405</v>
      </c>
      <c r="P1712">
        <v>33819</v>
      </c>
      <c r="Q1712" t="s">
        <v>9405</v>
      </c>
      <c r="R1712" t="s">
        <v>6187</v>
      </c>
      <c r="S1712" t="s">
        <v>6188</v>
      </c>
      <c r="T1712" t="s">
        <v>2214</v>
      </c>
      <c r="U1712" t="s">
        <v>2214</v>
      </c>
      <c r="V1712" t="s">
        <v>2215</v>
      </c>
    </row>
    <row r="1713" spans="1:33" x14ac:dyDescent="0.3">
      <c r="A1713">
        <v>33820</v>
      </c>
      <c r="B1713" t="s">
        <v>9409</v>
      </c>
      <c r="C1713" t="str">
        <f>""</f>
        <v/>
      </c>
      <c r="D1713" t="str">
        <f>"25OQ4LA00"</f>
        <v>25OQ4LA00</v>
      </c>
      <c r="E1713" s="1">
        <v>42614</v>
      </c>
      <c r="F1713" t="s">
        <v>9410</v>
      </c>
      <c r="G1713" t="e">
        <f>INDEX(#REF!,MATCH(P1713,#REF!,0),1)</f>
        <v>#REF!</v>
      </c>
      <c r="H1713" t="s">
        <v>9411</v>
      </c>
      <c r="J1713" t="s">
        <v>9412</v>
      </c>
      <c r="K1713" t="s">
        <v>2004</v>
      </c>
      <c r="L1713" t="str">
        <f>"01106"</f>
        <v>01106</v>
      </c>
      <c r="M1713" t="s">
        <v>9413</v>
      </c>
      <c r="N1713">
        <v>2821699</v>
      </c>
      <c r="O1713" t="s">
        <v>9414</v>
      </c>
      <c r="P1713">
        <v>2821699</v>
      </c>
      <c r="Q1713" t="s">
        <v>9414</v>
      </c>
      <c r="R1713" t="s">
        <v>6187</v>
      </c>
      <c r="S1713" t="s">
        <v>6188</v>
      </c>
      <c r="T1713" t="s">
        <v>2214</v>
      </c>
      <c r="U1713" t="s">
        <v>2214</v>
      </c>
      <c r="V1713" t="s">
        <v>2215</v>
      </c>
    </row>
    <row r="1714" spans="1:33" x14ac:dyDescent="0.3">
      <c r="A1714">
        <v>33822</v>
      </c>
      <c r="B1714" t="s">
        <v>9415</v>
      </c>
      <c r="C1714" t="str">
        <f>"1100003737237"</f>
        <v>1100003737237</v>
      </c>
      <c r="D1714" t="str">
        <f>"J81NNCE00"</f>
        <v>J81NNCE00</v>
      </c>
      <c r="E1714" s="1">
        <v>35462</v>
      </c>
      <c r="F1714" t="s">
        <v>9416</v>
      </c>
      <c r="G1714" t="e">
        <f>INDEX(#REF!,MATCH(P1714,#REF!,0),1)</f>
        <v>#REF!</v>
      </c>
      <c r="H1714" t="s">
        <v>9417</v>
      </c>
      <c r="J1714" t="s">
        <v>726</v>
      </c>
      <c r="K1714" t="s">
        <v>727</v>
      </c>
      <c r="L1714">
        <v>68106</v>
      </c>
      <c r="M1714" t="s">
        <v>9418</v>
      </c>
      <c r="N1714">
        <v>2407580</v>
      </c>
      <c r="O1714" t="s">
        <v>8638</v>
      </c>
      <c r="P1714">
        <v>2410575</v>
      </c>
      <c r="Q1714" t="s">
        <v>8639</v>
      </c>
      <c r="R1714" t="s">
        <v>8545</v>
      </c>
      <c r="S1714" t="s">
        <v>8546</v>
      </c>
      <c r="T1714" t="s">
        <v>2277</v>
      </c>
      <c r="U1714" t="s">
        <v>5622</v>
      </c>
      <c r="V1714" t="s">
        <v>2215</v>
      </c>
      <c r="AF1714" t="s">
        <v>8640</v>
      </c>
    </row>
    <row r="1715" spans="1:33" x14ac:dyDescent="0.3">
      <c r="A1715">
        <v>33828</v>
      </c>
      <c r="B1715" t="s">
        <v>9419</v>
      </c>
      <c r="C1715" t="str">
        <f>"1100002121631"</f>
        <v>1100002121631</v>
      </c>
      <c r="D1715" t="str">
        <f>"160570J00"</f>
        <v>160570J00</v>
      </c>
      <c r="E1715" s="1">
        <v>44562</v>
      </c>
      <c r="F1715" t="s">
        <v>9420</v>
      </c>
      <c r="G1715" t="e">
        <f>INDEX(#REF!,MATCH(P1715,#REF!,0),1)</f>
        <v>#REF!</v>
      </c>
      <c r="H1715" t="s">
        <v>9421</v>
      </c>
      <c r="I1715" t="s">
        <v>9422</v>
      </c>
      <c r="J1715" t="s">
        <v>9423</v>
      </c>
      <c r="K1715" t="s">
        <v>1109</v>
      </c>
      <c r="L1715" t="str">
        <f>"06076"</f>
        <v>06076</v>
      </c>
      <c r="M1715" t="s">
        <v>9424</v>
      </c>
      <c r="N1715">
        <v>33828</v>
      </c>
      <c r="O1715" t="s">
        <v>9420</v>
      </c>
      <c r="P1715">
        <v>33828</v>
      </c>
      <c r="Q1715" t="s">
        <v>9420</v>
      </c>
      <c r="R1715" t="s">
        <v>1301</v>
      </c>
      <c r="S1715" t="s">
        <v>1302</v>
      </c>
      <c r="T1715" t="s">
        <v>117</v>
      </c>
      <c r="U1715" t="s">
        <v>2479</v>
      </c>
    </row>
    <row r="1716" spans="1:33" x14ac:dyDescent="0.3">
      <c r="A1716">
        <v>33829</v>
      </c>
      <c r="B1716" t="s">
        <v>9425</v>
      </c>
      <c r="C1716" t="str">
        <f>""</f>
        <v/>
      </c>
      <c r="D1716" t="str">
        <f>"99RKV8W00"</f>
        <v>99RKV8W00</v>
      </c>
      <c r="E1716" s="1">
        <v>41124</v>
      </c>
      <c r="F1716" t="s">
        <v>9426</v>
      </c>
      <c r="G1716" t="e">
        <f>INDEX(#REF!,MATCH(P1716,#REF!,0),1)</f>
        <v>#REF!</v>
      </c>
      <c r="H1716" t="s">
        <v>9427</v>
      </c>
      <c r="I1716" t="s">
        <v>9428</v>
      </c>
      <c r="J1716" t="s">
        <v>6119</v>
      </c>
      <c r="K1716" t="s">
        <v>2004</v>
      </c>
      <c r="L1716" t="str">
        <f>"02360-2196"</f>
        <v>02360-2196</v>
      </c>
      <c r="M1716" t="s">
        <v>9429</v>
      </c>
      <c r="N1716">
        <v>975908</v>
      </c>
      <c r="O1716" t="s">
        <v>9430</v>
      </c>
      <c r="P1716">
        <v>975908</v>
      </c>
      <c r="Q1716" t="s">
        <v>9430</v>
      </c>
      <c r="R1716" t="s">
        <v>9431</v>
      </c>
      <c r="S1716" t="s">
        <v>9432</v>
      </c>
      <c r="T1716" t="s">
        <v>117</v>
      </c>
      <c r="U1716" t="s">
        <v>6534</v>
      </c>
      <c r="V1716" t="s">
        <v>2215</v>
      </c>
    </row>
    <row r="1717" spans="1:33" x14ac:dyDescent="0.3">
      <c r="A1717">
        <v>33835</v>
      </c>
      <c r="B1717" t="s">
        <v>9433</v>
      </c>
      <c r="C1717" t="str">
        <f>"1100002618636"</f>
        <v>1100002618636</v>
      </c>
      <c r="D1717" t="str">
        <f>"4UIEAX100"</f>
        <v>4UIEAX100</v>
      </c>
      <c r="E1717" s="1">
        <v>43371</v>
      </c>
      <c r="F1717" t="s">
        <v>9434</v>
      </c>
      <c r="G1717" t="e">
        <f>INDEX(#REF!,MATCH(P1717,#REF!,0),1)</f>
        <v>#REF!</v>
      </c>
      <c r="H1717" t="s">
        <v>9435</v>
      </c>
      <c r="J1717" t="s">
        <v>2134</v>
      </c>
      <c r="K1717" t="s">
        <v>2004</v>
      </c>
      <c r="L1717" t="str">
        <f>"02215"</f>
        <v>02215</v>
      </c>
      <c r="M1717" t="s">
        <v>9436</v>
      </c>
      <c r="N1717">
        <v>33835</v>
      </c>
      <c r="O1717" t="s">
        <v>9434</v>
      </c>
      <c r="P1717">
        <v>33835</v>
      </c>
      <c r="Q1717" t="s">
        <v>9434</v>
      </c>
      <c r="R1717" t="s">
        <v>5064</v>
      </c>
      <c r="S1717" t="s">
        <v>5065</v>
      </c>
      <c r="T1717" t="s">
        <v>2277</v>
      </c>
      <c r="U1717" t="s">
        <v>2278</v>
      </c>
      <c r="V1717" t="s">
        <v>2215</v>
      </c>
      <c r="AD1717" t="s">
        <v>59</v>
      </c>
    </row>
    <row r="1718" spans="1:33" x14ac:dyDescent="0.3">
      <c r="A1718">
        <v>33843</v>
      </c>
      <c r="B1718" t="s">
        <v>9437</v>
      </c>
      <c r="C1718" t="str">
        <f>""</f>
        <v/>
      </c>
      <c r="D1718" t="str">
        <f>"H3T6RY800"</f>
        <v>H3T6RY800</v>
      </c>
      <c r="E1718" s="1">
        <v>44501</v>
      </c>
      <c r="F1718" t="s">
        <v>9438</v>
      </c>
      <c r="G1718" t="e">
        <f>INDEX(#REF!,MATCH(P1718,#REF!,0),1)</f>
        <v>#REF!</v>
      </c>
      <c r="H1718" t="s">
        <v>9439</v>
      </c>
      <c r="J1718" t="s">
        <v>9440</v>
      </c>
      <c r="K1718" t="s">
        <v>53</v>
      </c>
      <c r="L1718" t="str">
        <f>"03246-3235"</f>
        <v>03246-3235</v>
      </c>
      <c r="M1718" t="s">
        <v>9441</v>
      </c>
      <c r="N1718">
        <v>2507</v>
      </c>
      <c r="O1718" t="s">
        <v>5506</v>
      </c>
      <c r="P1718">
        <v>2507</v>
      </c>
      <c r="Q1718" t="s">
        <v>5506</v>
      </c>
      <c r="R1718" t="s">
        <v>1301</v>
      </c>
      <c r="S1718" t="s">
        <v>1302</v>
      </c>
      <c r="T1718" t="s">
        <v>44</v>
      </c>
      <c r="U1718" t="s">
        <v>45</v>
      </c>
    </row>
    <row r="1719" spans="1:33" x14ac:dyDescent="0.3">
      <c r="A1719">
        <v>33855</v>
      </c>
      <c r="B1719" t="s">
        <v>9442</v>
      </c>
      <c r="C1719" t="str">
        <f>""</f>
        <v/>
      </c>
      <c r="D1719" t="str">
        <f>"120230800"</f>
        <v>120230800</v>
      </c>
      <c r="E1719" s="1">
        <v>44409</v>
      </c>
      <c r="F1719" t="s">
        <v>9443</v>
      </c>
      <c r="G1719" t="e">
        <f>INDEX(#REF!,MATCH(P1719,#REF!,0),1)</f>
        <v>#REF!</v>
      </c>
      <c r="H1719" t="s">
        <v>9444</v>
      </c>
      <c r="J1719" t="s">
        <v>9445</v>
      </c>
      <c r="K1719" t="s">
        <v>53</v>
      </c>
      <c r="L1719" t="str">
        <f>"03561-3442"</f>
        <v>03561-3442</v>
      </c>
      <c r="M1719" t="s">
        <v>9446</v>
      </c>
      <c r="N1719">
        <v>3789026</v>
      </c>
      <c r="O1719" t="s">
        <v>9447</v>
      </c>
      <c r="P1719">
        <v>3789026</v>
      </c>
      <c r="Q1719" t="s">
        <v>9447</v>
      </c>
      <c r="R1719" t="s">
        <v>1301</v>
      </c>
      <c r="S1719" t="s">
        <v>1302</v>
      </c>
      <c r="T1719" t="s">
        <v>44</v>
      </c>
      <c r="U1719" t="s">
        <v>45</v>
      </c>
    </row>
    <row r="1720" spans="1:33" x14ac:dyDescent="0.3">
      <c r="A1720">
        <v>33859</v>
      </c>
      <c r="B1720" t="s">
        <v>9448</v>
      </c>
      <c r="C1720" t="str">
        <f>""</f>
        <v/>
      </c>
      <c r="D1720" t="str">
        <f>"B9E7JD100"</f>
        <v>B9E7JD100</v>
      </c>
      <c r="E1720" s="1">
        <v>40254</v>
      </c>
      <c r="F1720" t="s">
        <v>9449</v>
      </c>
      <c r="G1720" t="e">
        <f>INDEX(#REF!,MATCH(P1720,#REF!,0),1)</f>
        <v>#REF!</v>
      </c>
      <c r="H1720" t="s">
        <v>9450</v>
      </c>
      <c r="J1720" t="s">
        <v>6809</v>
      </c>
      <c r="K1720" t="s">
        <v>2004</v>
      </c>
      <c r="L1720" t="str">
        <f>"01902"</f>
        <v>01902</v>
      </c>
      <c r="M1720" t="s">
        <v>9451</v>
      </c>
      <c r="N1720">
        <v>874912</v>
      </c>
      <c r="O1720" t="s">
        <v>9452</v>
      </c>
      <c r="P1720">
        <v>874912</v>
      </c>
      <c r="Q1720" t="s">
        <v>9452</v>
      </c>
      <c r="R1720" t="s">
        <v>7240</v>
      </c>
      <c r="S1720" t="s">
        <v>7241</v>
      </c>
      <c r="T1720" t="s">
        <v>2214</v>
      </c>
      <c r="U1720" t="s">
        <v>2214</v>
      </c>
      <c r="V1720" t="s">
        <v>2215</v>
      </c>
    </row>
    <row r="1721" spans="1:33" x14ac:dyDescent="0.3">
      <c r="A1721">
        <v>33861</v>
      </c>
      <c r="B1721" t="s">
        <v>9453</v>
      </c>
      <c r="C1721" t="str">
        <f>""</f>
        <v/>
      </c>
      <c r="D1721" t="str">
        <f>""</f>
        <v/>
      </c>
      <c r="E1721" s="1">
        <v>35462</v>
      </c>
      <c r="F1721" t="s">
        <v>9454</v>
      </c>
      <c r="G1721" t="e">
        <f>INDEX(#REF!,MATCH(P1721,#REF!,0),1)</f>
        <v>#REF!</v>
      </c>
      <c r="H1721" t="s">
        <v>9455</v>
      </c>
      <c r="J1721" t="s">
        <v>9456</v>
      </c>
      <c r="K1721" t="s">
        <v>2004</v>
      </c>
      <c r="L1721" t="str">
        <f>"01906"</f>
        <v>01906</v>
      </c>
      <c r="M1721" t="s">
        <v>9457</v>
      </c>
      <c r="N1721">
        <v>51302</v>
      </c>
      <c r="O1721" t="s">
        <v>9267</v>
      </c>
      <c r="P1721">
        <v>51302</v>
      </c>
      <c r="Q1721" t="s">
        <v>9267</v>
      </c>
      <c r="R1721" t="s">
        <v>6187</v>
      </c>
      <c r="S1721" t="s">
        <v>6188</v>
      </c>
      <c r="T1721" t="s">
        <v>2214</v>
      </c>
      <c r="U1721" t="s">
        <v>2214</v>
      </c>
      <c r="V1721" t="s">
        <v>2215</v>
      </c>
    </row>
    <row r="1722" spans="1:33" x14ac:dyDescent="0.3">
      <c r="A1722">
        <v>33864</v>
      </c>
      <c r="B1722" t="s">
        <v>9458</v>
      </c>
      <c r="C1722" t="str">
        <f>""</f>
        <v/>
      </c>
      <c r="D1722" t="str">
        <f>"25K2CX200"</f>
        <v>25K2CX200</v>
      </c>
      <c r="E1722" s="1">
        <v>35462</v>
      </c>
      <c r="F1722" t="s">
        <v>9459</v>
      </c>
      <c r="G1722" t="e">
        <f>INDEX(#REF!,MATCH(P1722,#REF!,0),1)</f>
        <v>#REF!</v>
      </c>
      <c r="H1722" t="s">
        <v>9460</v>
      </c>
      <c r="J1722" t="s">
        <v>9461</v>
      </c>
      <c r="K1722" t="s">
        <v>2004</v>
      </c>
      <c r="L1722" t="str">
        <f>"02760"</f>
        <v>02760</v>
      </c>
      <c r="M1722" t="s">
        <v>9462</v>
      </c>
      <c r="N1722">
        <v>79386</v>
      </c>
      <c r="O1722" t="s">
        <v>9261</v>
      </c>
      <c r="P1722">
        <v>79386</v>
      </c>
      <c r="Q1722" t="s">
        <v>9261</v>
      </c>
      <c r="R1722" t="s">
        <v>6187</v>
      </c>
      <c r="S1722" t="s">
        <v>6188</v>
      </c>
      <c r="T1722" t="s">
        <v>2214</v>
      </c>
      <c r="U1722" t="s">
        <v>2214</v>
      </c>
      <c r="V1722" t="s">
        <v>2215</v>
      </c>
      <c r="AD1722" t="s">
        <v>59</v>
      </c>
    </row>
    <row r="1723" spans="1:33" x14ac:dyDescent="0.3">
      <c r="A1723">
        <v>33872</v>
      </c>
      <c r="B1723" t="s">
        <v>9463</v>
      </c>
      <c r="C1723" t="str">
        <f>""</f>
        <v/>
      </c>
      <c r="D1723" t="str">
        <f>"G63W4PE00"</f>
        <v>G63W4PE00</v>
      </c>
      <c r="E1723" s="1">
        <v>38574</v>
      </c>
      <c r="F1723" t="s">
        <v>9464</v>
      </c>
      <c r="G1723" t="e">
        <f>INDEX(#REF!,MATCH(P1723,#REF!,0),1)</f>
        <v>#REF!</v>
      </c>
      <c r="H1723" t="s">
        <v>9465</v>
      </c>
      <c r="J1723" t="s">
        <v>9466</v>
      </c>
      <c r="K1723" t="s">
        <v>1109</v>
      </c>
      <c r="L1723" t="str">
        <f>"06268"</f>
        <v>06268</v>
      </c>
      <c r="M1723" t="s">
        <v>9467</v>
      </c>
      <c r="N1723">
        <v>33872</v>
      </c>
      <c r="O1723" t="s">
        <v>9464</v>
      </c>
      <c r="P1723">
        <v>33872</v>
      </c>
      <c r="Q1723" t="s">
        <v>9464</v>
      </c>
      <c r="R1723" t="s">
        <v>5064</v>
      </c>
      <c r="S1723" t="s">
        <v>5065</v>
      </c>
      <c r="T1723" t="s">
        <v>2214</v>
      </c>
      <c r="U1723" t="s">
        <v>2214</v>
      </c>
      <c r="V1723" t="s">
        <v>2215</v>
      </c>
    </row>
    <row r="1724" spans="1:33" x14ac:dyDescent="0.3">
      <c r="A1724">
        <v>33874</v>
      </c>
      <c r="B1724" t="s">
        <v>9468</v>
      </c>
      <c r="C1724" t="str">
        <f>""</f>
        <v/>
      </c>
      <c r="D1724" t="str">
        <f>"25MT5OF00"</f>
        <v>25MT5OF00</v>
      </c>
      <c r="E1724" s="1">
        <v>35462</v>
      </c>
      <c r="F1724" t="s">
        <v>9469</v>
      </c>
      <c r="G1724" t="e">
        <f>INDEX(#REF!,MATCH(P1724,#REF!,0),1)</f>
        <v>#REF!</v>
      </c>
      <c r="H1724" t="s">
        <v>9470</v>
      </c>
      <c r="J1724" t="s">
        <v>9471</v>
      </c>
      <c r="K1724" t="s">
        <v>2004</v>
      </c>
      <c r="L1724" t="str">
        <f>"01913"</f>
        <v>01913</v>
      </c>
      <c r="M1724" t="s">
        <v>9472</v>
      </c>
      <c r="N1724">
        <v>51302</v>
      </c>
      <c r="O1724" t="s">
        <v>9267</v>
      </c>
      <c r="P1724">
        <v>51302</v>
      </c>
      <c r="Q1724" t="s">
        <v>9267</v>
      </c>
      <c r="R1724" t="s">
        <v>6187</v>
      </c>
      <c r="S1724" t="s">
        <v>6188</v>
      </c>
      <c r="T1724" t="s">
        <v>2214</v>
      </c>
      <c r="U1724" t="s">
        <v>2214</v>
      </c>
      <c r="V1724" t="s">
        <v>2215</v>
      </c>
    </row>
    <row r="1725" spans="1:33" x14ac:dyDescent="0.3">
      <c r="A1725">
        <v>33900</v>
      </c>
      <c r="B1725" t="s">
        <v>9473</v>
      </c>
      <c r="C1725" t="str">
        <f>""</f>
        <v/>
      </c>
      <c r="D1725" t="str">
        <f>"T48CJPP00"</f>
        <v>T48CJPP00</v>
      </c>
      <c r="E1725" s="1">
        <v>42614</v>
      </c>
      <c r="F1725" t="s">
        <v>9474</v>
      </c>
      <c r="G1725" t="e">
        <f>INDEX(#REF!,MATCH(P1725,#REF!,0),1)</f>
        <v>#REF!</v>
      </c>
      <c r="H1725" t="s">
        <v>9475</v>
      </c>
      <c r="J1725" t="s">
        <v>1248</v>
      </c>
      <c r="K1725" t="s">
        <v>2004</v>
      </c>
      <c r="L1725" t="str">
        <f>"01104"</f>
        <v>01104</v>
      </c>
      <c r="M1725" t="s">
        <v>9476</v>
      </c>
      <c r="N1725">
        <v>2814847</v>
      </c>
      <c r="O1725" t="s">
        <v>9477</v>
      </c>
      <c r="P1725">
        <v>2814847</v>
      </c>
      <c r="Q1725" t="s">
        <v>9477</v>
      </c>
      <c r="R1725" t="s">
        <v>5064</v>
      </c>
      <c r="S1725" t="s">
        <v>5065</v>
      </c>
      <c r="T1725" t="s">
        <v>2277</v>
      </c>
      <c r="U1725" t="s">
        <v>2278</v>
      </c>
      <c r="V1725" t="s">
        <v>2215</v>
      </c>
    </row>
    <row r="1726" spans="1:33" x14ac:dyDescent="0.3">
      <c r="A1726">
        <v>33903</v>
      </c>
      <c r="B1726" t="s">
        <v>9478</v>
      </c>
      <c r="C1726" t="str">
        <f>""</f>
        <v/>
      </c>
      <c r="D1726" t="str">
        <f>""</f>
        <v/>
      </c>
      <c r="E1726" s="1">
        <v>40680</v>
      </c>
      <c r="F1726" t="s">
        <v>9479</v>
      </c>
      <c r="G1726" t="e">
        <f>INDEX(#REF!,MATCH(P1726,#REF!,0),1)</f>
        <v>#REF!</v>
      </c>
      <c r="H1726" t="s">
        <v>9480</v>
      </c>
      <c r="J1726" t="s">
        <v>3760</v>
      </c>
      <c r="K1726" t="s">
        <v>2507</v>
      </c>
      <c r="L1726" t="str">
        <f>"02809-3903"</f>
        <v>02809-3903</v>
      </c>
      <c r="M1726" t="s">
        <v>9481</v>
      </c>
      <c r="N1726">
        <v>6136272</v>
      </c>
      <c r="O1726" t="s">
        <v>9482</v>
      </c>
      <c r="P1726">
        <v>6136272</v>
      </c>
      <c r="Q1726" t="s">
        <v>9482</v>
      </c>
      <c r="R1726" t="s">
        <v>7384</v>
      </c>
      <c r="S1726" t="s">
        <v>7385</v>
      </c>
      <c r="T1726" t="s">
        <v>2214</v>
      </c>
      <c r="U1726" t="s">
        <v>2214</v>
      </c>
      <c r="V1726" t="s">
        <v>2215</v>
      </c>
      <c r="AF1726" t="s">
        <v>7552</v>
      </c>
    </row>
    <row r="1727" spans="1:33" x14ac:dyDescent="0.3">
      <c r="A1727">
        <v>33907</v>
      </c>
      <c r="B1727" t="s">
        <v>9483</v>
      </c>
      <c r="C1727" t="str">
        <f>""</f>
        <v/>
      </c>
      <c r="D1727" t="str">
        <f>"G062JRY00"</f>
        <v>G062JRY00</v>
      </c>
      <c r="E1727" s="1">
        <v>42614</v>
      </c>
      <c r="F1727" t="s">
        <v>9484</v>
      </c>
      <c r="G1727" t="e">
        <f>INDEX(#REF!,MATCH(P1727,#REF!,0),1)</f>
        <v>#REF!</v>
      </c>
      <c r="H1727" t="s">
        <v>9485</v>
      </c>
      <c r="J1727" t="s">
        <v>9343</v>
      </c>
      <c r="K1727" t="s">
        <v>2004</v>
      </c>
      <c r="L1727" t="str">
        <f>"01830"</f>
        <v>01830</v>
      </c>
      <c r="M1727" t="s">
        <v>9486</v>
      </c>
      <c r="N1727">
        <v>2822045</v>
      </c>
      <c r="O1727" t="s">
        <v>9487</v>
      </c>
      <c r="P1727">
        <v>2822045</v>
      </c>
      <c r="Q1727" t="s">
        <v>9487</v>
      </c>
      <c r="R1727" t="s">
        <v>6187</v>
      </c>
      <c r="S1727" t="s">
        <v>6188</v>
      </c>
      <c r="T1727" t="s">
        <v>2214</v>
      </c>
      <c r="U1727" t="s">
        <v>2214</v>
      </c>
      <c r="V1727" t="s">
        <v>2215</v>
      </c>
    </row>
    <row r="1728" spans="1:33" x14ac:dyDescent="0.3">
      <c r="A1728">
        <v>33912</v>
      </c>
      <c r="B1728" t="s">
        <v>9488</v>
      </c>
      <c r="C1728" t="str">
        <f>""</f>
        <v/>
      </c>
      <c r="D1728" t="str">
        <f>"141060C00"</f>
        <v>141060C00</v>
      </c>
      <c r="E1728" s="1">
        <v>42583</v>
      </c>
      <c r="F1728" t="s">
        <v>9489</v>
      </c>
      <c r="G1728" t="e">
        <f>INDEX(#REF!,MATCH(P1728,#REF!,0),1)</f>
        <v>#REF!</v>
      </c>
      <c r="H1728" t="s">
        <v>9490</v>
      </c>
      <c r="J1728" t="s">
        <v>9155</v>
      </c>
      <c r="K1728" t="s">
        <v>2004</v>
      </c>
      <c r="L1728" t="str">
        <f>"01757-3003"</f>
        <v>01757-3003</v>
      </c>
      <c r="M1728" t="s">
        <v>9491</v>
      </c>
      <c r="N1728">
        <v>40134</v>
      </c>
      <c r="O1728" t="s">
        <v>2185</v>
      </c>
      <c r="P1728">
        <v>40134</v>
      </c>
      <c r="Q1728" t="s">
        <v>2185</v>
      </c>
      <c r="R1728" t="s">
        <v>277</v>
      </c>
      <c r="S1728" t="s">
        <v>278</v>
      </c>
      <c r="T1728" t="s">
        <v>44</v>
      </c>
      <c r="U1728" t="s">
        <v>45</v>
      </c>
      <c r="AA1728" t="s">
        <v>58</v>
      </c>
      <c r="AE1728" t="s">
        <v>60</v>
      </c>
      <c r="AG1728" t="s">
        <v>48</v>
      </c>
    </row>
    <row r="1729" spans="1:33" x14ac:dyDescent="0.3">
      <c r="A1729">
        <v>33913</v>
      </c>
      <c r="B1729" t="s">
        <v>9492</v>
      </c>
      <c r="C1729" t="str">
        <f>""</f>
        <v/>
      </c>
      <c r="D1729" t="str">
        <f>""</f>
        <v/>
      </c>
      <c r="E1729" s="1">
        <v>42614</v>
      </c>
      <c r="F1729" t="s">
        <v>9493</v>
      </c>
      <c r="G1729" t="e">
        <f>INDEX(#REF!,MATCH(P1729,#REF!,0),1)</f>
        <v>#REF!</v>
      </c>
      <c r="H1729" t="s">
        <v>9494</v>
      </c>
      <c r="J1729" t="s">
        <v>9343</v>
      </c>
      <c r="K1729" t="s">
        <v>2004</v>
      </c>
      <c r="L1729" t="str">
        <f>"01830"</f>
        <v>01830</v>
      </c>
      <c r="M1729" t="s">
        <v>9495</v>
      </c>
      <c r="N1729">
        <v>2822045</v>
      </c>
      <c r="O1729" t="s">
        <v>9487</v>
      </c>
      <c r="P1729">
        <v>2822045</v>
      </c>
      <c r="Q1729" t="s">
        <v>9487</v>
      </c>
      <c r="R1729" t="s">
        <v>6187</v>
      </c>
      <c r="S1729" t="s">
        <v>6188</v>
      </c>
      <c r="T1729" t="s">
        <v>2214</v>
      </c>
      <c r="U1729" t="s">
        <v>2214</v>
      </c>
      <c r="V1729" t="s">
        <v>2215</v>
      </c>
    </row>
    <row r="1730" spans="1:33" x14ac:dyDescent="0.3">
      <c r="A1730">
        <v>33920</v>
      </c>
      <c r="B1730" t="s">
        <v>9496</v>
      </c>
      <c r="C1730" t="str">
        <f>"1100097790231"</f>
        <v>1100097790231</v>
      </c>
      <c r="D1730" t="str">
        <f>"141580J00"</f>
        <v>141580J00</v>
      </c>
      <c r="E1730" s="1">
        <v>42583</v>
      </c>
      <c r="F1730" t="s">
        <v>9497</v>
      </c>
      <c r="G1730" t="e">
        <f>INDEX(#REF!,MATCH(P1730,#REF!,0),1)</f>
        <v>#REF!</v>
      </c>
      <c r="H1730" t="s">
        <v>9498</v>
      </c>
      <c r="J1730" t="s">
        <v>9499</v>
      </c>
      <c r="K1730" t="s">
        <v>2004</v>
      </c>
      <c r="L1730" t="str">
        <f>"02780-2499"</f>
        <v>02780-2499</v>
      </c>
      <c r="M1730" t="s">
        <v>9500</v>
      </c>
      <c r="N1730">
        <v>30853</v>
      </c>
      <c r="O1730" t="s">
        <v>2509</v>
      </c>
      <c r="P1730">
        <v>30853</v>
      </c>
      <c r="Q1730" t="s">
        <v>2509</v>
      </c>
      <c r="R1730" t="s">
        <v>658</v>
      </c>
      <c r="S1730" t="s">
        <v>659</v>
      </c>
      <c r="T1730" t="s">
        <v>44</v>
      </c>
      <c r="U1730" t="s">
        <v>45</v>
      </c>
      <c r="AA1730" t="s">
        <v>119</v>
      </c>
      <c r="AE1730" t="s">
        <v>60</v>
      </c>
      <c r="AG1730" t="s">
        <v>48</v>
      </c>
    </row>
    <row r="1731" spans="1:33" x14ac:dyDescent="0.3">
      <c r="A1731">
        <v>33927</v>
      </c>
      <c r="B1731" t="s">
        <v>9501</v>
      </c>
      <c r="C1731" t="str">
        <f>"1100003807299"</f>
        <v>1100003807299</v>
      </c>
      <c r="D1731" t="str">
        <f>"9AIPTSB00"</f>
        <v>9AIPTSB00</v>
      </c>
      <c r="E1731" s="1">
        <v>42583</v>
      </c>
      <c r="F1731" t="s">
        <v>9502</v>
      </c>
      <c r="G1731" t="e">
        <f>INDEX(#REF!,MATCH(P1731,#REF!,0),1)</f>
        <v>#REF!</v>
      </c>
      <c r="H1731" t="s">
        <v>9503</v>
      </c>
      <c r="J1731" t="s">
        <v>654</v>
      </c>
      <c r="K1731" t="s">
        <v>53</v>
      </c>
      <c r="L1731" t="str">
        <f>"03063"</f>
        <v>03063</v>
      </c>
      <c r="M1731" t="s">
        <v>9504</v>
      </c>
      <c r="N1731">
        <v>33927</v>
      </c>
      <c r="O1731" t="s">
        <v>9502</v>
      </c>
      <c r="P1731">
        <v>33927</v>
      </c>
      <c r="Q1731" t="s">
        <v>9502</v>
      </c>
      <c r="R1731" t="s">
        <v>245</v>
      </c>
      <c r="S1731" t="s">
        <v>246</v>
      </c>
      <c r="T1731" t="s">
        <v>44</v>
      </c>
      <c r="U1731" t="s">
        <v>6635</v>
      </c>
    </row>
    <row r="1732" spans="1:33" x14ac:dyDescent="0.3">
      <c r="A1732">
        <v>33938</v>
      </c>
      <c r="B1732" t="s">
        <v>9505</v>
      </c>
      <c r="C1732" t="str">
        <f>"1100003901652"</f>
        <v>1100003901652</v>
      </c>
      <c r="D1732" t="str">
        <f>"1203107FC"</f>
        <v>1203107FC</v>
      </c>
      <c r="E1732" s="1">
        <v>36039</v>
      </c>
      <c r="F1732" t="s">
        <v>9506</v>
      </c>
      <c r="G1732" t="e">
        <f>INDEX(#REF!,MATCH(P1732,#REF!,0),1)</f>
        <v>#REF!</v>
      </c>
      <c r="H1732" t="s">
        <v>9507</v>
      </c>
      <c r="J1732" t="s">
        <v>734</v>
      </c>
      <c r="K1732" t="s">
        <v>53</v>
      </c>
      <c r="L1732" t="str">
        <f>"03257-5736"</f>
        <v>03257-5736</v>
      </c>
      <c r="M1732" t="s">
        <v>9508</v>
      </c>
      <c r="N1732">
        <v>155</v>
      </c>
      <c r="O1732" t="s">
        <v>55</v>
      </c>
      <c r="P1732">
        <v>155</v>
      </c>
      <c r="Q1732" t="s">
        <v>55</v>
      </c>
      <c r="R1732" t="s">
        <v>56</v>
      </c>
      <c r="S1732" t="s">
        <v>57</v>
      </c>
      <c r="T1732" t="s">
        <v>44</v>
      </c>
      <c r="U1732" t="s">
        <v>45</v>
      </c>
      <c r="AA1732" t="s">
        <v>58</v>
      </c>
      <c r="AE1732" t="s">
        <v>60</v>
      </c>
    </row>
    <row r="1733" spans="1:33" x14ac:dyDescent="0.3">
      <c r="A1733">
        <v>33939</v>
      </c>
      <c r="B1733" t="s">
        <v>9509</v>
      </c>
      <c r="C1733" t="str">
        <f>"1100002374815"</f>
        <v>1100002374815</v>
      </c>
      <c r="D1733" t="str">
        <f>"141750I00"</f>
        <v>141750I00</v>
      </c>
      <c r="E1733" s="1">
        <v>42583</v>
      </c>
      <c r="F1733" t="s">
        <v>9510</v>
      </c>
      <c r="G1733" t="e">
        <f>INDEX(#REF!,MATCH(P1733,#REF!,0),1)</f>
        <v>#REF!</v>
      </c>
      <c r="H1733" t="s">
        <v>9511</v>
      </c>
      <c r="J1733" t="s">
        <v>9383</v>
      </c>
      <c r="K1733" t="s">
        <v>2004</v>
      </c>
      <c r="L1733" t="str">
        <f>"01085-1634"</f>
        <v>01085-1634</v>
      </c>
      <c r="M1733" t="s">
        <v>9512</v>
      </c>
      <c r="N1733">
        <v>33556</v>
      </c>
      <c r="O1733" t="s">
        <v>2934</v>
      </c>
      <c r="P1733">
        <v>33556</v>
      </c>
      <c r="Q1733" t="s">
        <v>2934</v>
      </c>
      <c r="R1733" t="s">
        <v>1301</v>
      </c>
      <c r="S1733" t="s">
        <v>1302</v>
      </c>
      <c r="T1733" t="s">
        <v>44</v>
      </c>
      <c r="U1733" t="s">
        <v>45</v>
      </c>
      <c r="AG1733" t="s">
        <v>48</v>
      </c>
    </row>
    <row r="1734" spans="1:33" x14ac:dyDescent="0.3">
      <c r="A1734">
        <v>33941</v>
      </c>
      <c r="B1734" t="s">
        <v>9513</v>
      </c>
      <c r="C1734" t="str">
        <f>""</f>
        <v/>
      </c>
      <c r="D1734" t="str">
        <f>"255722N00"</f>
        <v>255722N00</v>
      </c>
      <c r="E1734" s="1">
        <v>42614</v>
      </c>
      <c r="F1734" t="s">
        <v>9514</v>
      </c>
      <c r="G1734" t="e">
        <f>INDEX(#REF!,MATCH(P1734,#REF!,0),1)</f>
        <v>#REF!</v>
      </c>
      <c r="H1734" t="s">
        <v>9515</v>
      </c>
      <c r="J1734" t="s">
        <v>9516</v>
      </c>
      <c r="K1734" t="s">
        <v>2004</v>
      </c>
      <c r="L1734" t="str">
        <f>"01605"</f>
        <v>01605</v>
      </c>
      <c r="M1734" t="s">
        <v>9517</v>
      </c>
      <c r="N1734">
        <v>2865524</v>
      </c>
      <c r="O1734" t="s">
        <v>9518</v>
      </c>
      <c r="P1734">
        <v>2865524</v>
      </c>
      <c r="Q1734" t="s">
        <v>9518</v>
      </c>
      <c r="R1734" t="s">
        <v>6187</v>
      </c>
      <c r="S1734" t="s">
        <v>6188</v>
      </c>
      <c r="T1734" t="s">
        <v>2214</v>
      </c>
      <c r="U1734" t="s">
        <v>2214</v>
      </c>
      <c r="V1734" t="s">
        <v>2215</v>
      </c>
    </row>
    <row r="1735" spans="1:33" x14ac:dyDescent="0.3">
      <c r="A1735">
        <v>33948</v>
      </c>
      <c r="B1735" t="s">
        <v>9519</v>
      </c>
      <c r="C1735" t="str">
        <f>"1100004537188"</f>
        <v>1100004537188</v>
      </c>
      <c r="D1735" t="str">
        <f>"E8GBWEN00"</f>
        <v>E8GBWEN00</v>
      </c>
      <c r="E1735" s="1">
        <v>39759</v>
      </c>
      <c r="F1735" t="s">
        <v>9520</v>
      </c>
      <c r="G1735" t="e">
        <f>INDEX(#REF!,MATCH(P1735,#REF!,0),1)</f>
        <v>#REF!</v>
      </c>
      <c r="H1735" t="s">
        <v>9521</v>
      </c>
      <c r="J1735" t="s">
        <v>9522</v>
      </c>
      <c r="K1735" t="s">
        <v>727</v>
      </c>
      <c r="L1735">
        <v>69001</v>
      </c>
      <c r="M1735" t="s">
        <v>9523</v>
      </c>
      <c r="N1735">
        <v>26249</v>
      </c>
      <c r="O1735" t="s">
        <v>8542</v>
      </c>
      <c r="P1735">
        <v>26249</v>
      </c>
      <c r="Q1735" t="s">
        <v>8542</v>
      </c>
      <c r="R1735" t="s">
        <v>9524</v>
      </c>
      <c r="S1735" t="s">
        <v>9525</v>
      </c>
      <c r="T1735" t="s">
        <v>2277</v>
      </c>
      <c r="U1735" t="s">
        <v>9526</v>
      </c>
      <c r="V1735" t="s">
        <v>2215</v>
      </c>
    </row>
    <row r="1736" spans="1:33" x14ac:dyDescent="0.3">
      <c r="A1736">
        <v>33950</v>
      </c>
      <c r="B1736" t="s">
        <v>9527</v>
      </c>
      <c r="C1736" t="str">
        <f>"1100005424333"</f>
        <v>1100005424333</v>
      </c>
      <c r="D1736" t="str">
        <f>"GDQJYTT00"</f>
        <v>GDQJYTT00</v>
      </c>
      <c r="E1736" s="1">
        <v>39759</v>
      </c>
      <c r="F1736" t="s">
        <v>9520</v>
      </c>
      <c r="G1736" t="e">
        <f>INDEX(#REF!,MATCH(P1736,#REF!,0),1)</f>
        <v>#REF!</v>
      </c>
      <c r="H1736" t="s">
        <v>9528</v>
      </c>
      <c r="J1736" t="s">
        <v>9529</v>
      </c>
      <c r="K1736" t="s">
        <v>727</v>
      </c>
      <c r="L1736">
        <v>68949</v>
      </c>
      <c r="M1736" t="s">
        <v>9523</v>
      </c>
      <c r="N1736">
        <v>26249</v>
      </c>
      <c r="O1736" t="s">
        <v>8542</v>
      </c>
      <c r="P1736">
        <v>26249</v>
      </c>
      <c r="Q1736" t="s">
        <v>8542</v>
      </c>
      <c r="R1736" t="s">
        <v>9524</v>
      </c>
      <c r="S1736" t="s">
        <v>9525</v>
      </c>
      <c r="T1736" t="s">
        <v>2277</v>
      </c>
      <c r="U1736" t="s">
        <v>9526</v>
      </c>
      <c r="V1736" t="s">
        <v>2215</v>
      </c>
    </row>
    <row r="1737" spans="1:33" x14ac:dyDescent="0.3">
      <c r="A1737">
        <v>33951</v>
      </c>
      <c r="B1737" t="s">
        <v>9530</v>
      </c>
      <c r="C1737" t="str">
        <f>"1100003723476"</f>
        <v>1100003723476</v>
      </c>
      <c r="D1737" t="str">
        <f>"3D4E18700"</f>
        <v>3D4E18700</v>
      </c>
      <c r="E1737" s="1">
        <v>35462</v>
      </c>
      <c r="F1737" t="s">
        <v>9520</v>
      </c>
      <c r="G1737" t="e">
        <f>INDEX(#REF!,MATCH(P1737,#REF!,0),1)</f>
        <v>#REF!</v>
      </c>
      <c r="H1737" t="s">
        <v>9531</v>
      </c>
      <c r="J1737" t="s">
        <v>1630</v>
      </c>
      <c r="K1737" t="s">
        <v>727</v>
      </c>
      <c r="L1737">
        <v>68901</v>
      </c>
      <c r="M1737" t="s">
        <v>9523</v>
      </c>
      <c r="N1737">
        <v>26249</v>
      </c>
      <c r="O1737" t="s">
        <v>8542</v>
      </c>
      <c r="P1737">
        <v>26249</v>
      </c>
      <c r="Q1737" t="s">
        <v>8542</v>
      </c>
      <c r="R1737" t="s">
        <v>8545</v>
      </c>
      <c r="S1737" t="s">
        <v>8546</v>
      </c>
      <c r="T1737" t="s">
        <v>2277</v>
      </c>
      <c r="U1737" t="s">
        <v>9526</v>
      </c>
      <c r="V1737" t="s">
        <v>2215</v>
      </c>
    </row>
    <row r="1738" spans="1:33" x14ac:dyDescent="0.3">
      <c r="A1738">
        <v>33953</v>
      </c>
      <c r="B1738" t="s">
        <v>9532</v>
      </c>
      <c r="C1738" t="str">
        <f>"1100002825386"</f>
        <v>1100002825386</v>
      </c>
      <c r="D1738" t="str">
        <f>"6GXCKM100"</f>
        <v>6GXCKM100</v>
      </c>
      <c r="E1738" s="1">
        <v>45688</v>
      </c>
      <c r="F1738" t="s">
        <v>9533</v>
      </c>
      <c r="G1738" t="e">
        <f>INDEX(#REF!,MATCH(P1738,#REF!,0),1)</f>
        <v>#REF!</v>
      </c>
      <c r="H1738" t="s">
        <v>9534</v>
      </c>
      <c r="J1738" t="s">
        <v>9535</v>
      </c>
      <c r="K1738" t="s">
        <v>2004</v>
      </c>
      <c r="L1738" t="str">
        <f>"01701"</f>
        <v>01701</v>
      </c>
      <c r="M1738" t="s">
        <v>9536</v>
      </c>
      <c r="N1738">
        <v>4155233</v>
      </c>
      <c r="O1738" t="s">
        <v>9017</v>
      </c>
      <c r="P1738">
        <v>4155233</v>
      </c>
      <c r="Q1738" t="s">
        <v>9017</v>
      </c>
      <c r="R1738" t="s">
        <v>5064</v>
      </c>
      <c r="S1738" t="s">
        <v>5065</v>
      </c>
      <c r="T1738" t="s">
        <v>2214</v>
      </c>
      <c r="U1738" t="s">
        <v>2214</v>
      </c>
      <c r="V1738" t="s">
        <v>2215</v>
      </c>
    </row>
    <row r="1739" spans="1:33" x14ac:dyDescent="0.3">
      <c r="A1739">
        <v>33963</v>
      </c>
      <c r="B1739" t="s">
        <v>9537</v>
      </c>
      <c r="C1739" t="str">
        <f>""</f>
        <v/>
      </c>
      <c r="D1739" t="str">
        <f>"25KBL6T00"</f>
        <v>25KBL6T00</v>
      </c>
      <c r="E1739" s="1">
        <v>35462</v>
      </c>
      <c r="F1739" t="s">
        <v>9538</v>
      </c>
      <c r="G1739" t="e">
        <f>INDEX(#REF!,MATCH(P1739,#REF!,0),1)</f>
        <v>#REF!</v>
      </c>
      <c r="H1739" t="s">
        <v>9539</v>
      </c>
      <c r="J1739" t="s">
        <v>9540</v>
      </c>
      <c r="K1739" t="s">
        <v>2004</v>
      </c>
      <c r="L1739" t="str">
        <f>"02719"</f>
        <v>02719</v>
      </c>
      <c r="M1739" t="s">
        <v>9541</v>
      </c>
      <c r="N1739">
        <v>79386</v>
      </c>
      <c r="O1739" t="s">
        <v>9261</v>
      </c>
      <c r="P1739">
        <v>79386</v>
      </c>
      <c r="Q1739" t="s">
        <v>9261</v>
      </c>
      <c r="R1739" t="s">
        <v>6187</v>
      </c>
      <c r="S1739" t="s">
        <v>6188</v>
      </c>
      <c r="T1739" t="s">
        <v>2214</v>
      </c>
      <c r="U1739" t="s">
        <v>2214</v>
      </c>
      <c r="V1739" t="s">
        <v>2215</v>
      </c>
      <c r="AD1739" t="s">
        <v>59</v>
      </c>
    </row>
    <row r="1740" spans="1:33" x14ac:dyDescent="0.3">
      <c r="A1740">
        <v>33964</v>
      </c>
      <c r="B1740" t="s">
        <v>9542</v>
      </c>
      <c r="C1740" t="str">
        <f>"1100005854239"</f>
        <v>1100005854239</v>
      </c>
      <c r="D1740" t="str">
        <f>"KCBE8TM00"</f>
        <v>KCBE8TM00</v>
      </c>
      <c r="E1740" s="1">
        <v>35796</v>
      </c>
      <c r="F1740" t="s">
        <v>9543</v>
      </c>
      <c r="G1740" t="e">
        <f>INDEX(#REF!,MATCH(P1740,#REF!,0),1)</f>
        <v>#REF!</v>
      </c>
      <c r="H1740" t="s">
        <v>9544</v>
      </c>
      <c r="J1740" t="s">
        <v>9545</v>
      </c>
      <c r="K1740" t="s">
        <v>225</v>
      </c>
      <c r="L1740">
        <v>80111</v>
      </c>
      <c r="M1740" t="s">
        <v>9546</v>
      </c>
      <c r="N1740">
        <v>33964</v>
      </c>
      <c r="O1740" t="s">
        <v>9543</v>
      </c>
      <c r="P1740">
        <v>33964</v>
      </c>
      <c r="Q1740" t="s">
        <v>9543</v>
      </c>
      <c r="R1740" t="s">
        <v>4689</v>
      </c>
      <c r="S1740" t="s">
        <v>4690</v>
      </c>
      <c r="T1740" t="s">
        <v>2277</v>
      </c>
      <c r="U1740" t="s">
        <v>5622</v>
      </c>
      <c r="V1740" t="s">
        <v>2215</v>
      </c>
    </row>
    <row r="1741" spans="1:33" x14ac:dyDescent="0.3">
      <c r="A1741">
        <v>33967</v>
      </c>
      <c r="B1741" t="s">
        <v>9547</v>
      </c>
      <c r="C1741" t="str">
        <f>""</f>
        <v/>
      </c>
      <c r="D1741" t="str">
        <f>"11M0SL100"</f>
        <v>11M0SL100</v>
      </c>
      <c r="E1741" s="1">
        <v>35462</v>
      </c>
      <c r="F1741" t="s">
        <v>9548</v>
      </c>
      <c r="G1741" t="e">
        <f>INDEX(#REF!,MATCH(P1741,#REF!,0),1)</f>
        <v>#REF!</v>
      </c>
      <c r="H1741" t="s">
        <v>9549</v>
      </c>
      <c r="J1741" t="s">
        <v>8122</v>
      </c>
      <c r="K1741" t="s">
        <v>1504</v>
      </c>
      <c r="L1741" t="str">
        <f>"04102"</f>
        <v>04102</v>
      </c>
      <c r="M1741" t="s">
        <v>9550</v>
      </c>
      <c r="N1741">
        <v>2623570</v>
      </c>
      <c r="O1741" t="s">
        <v>8592</v>
      </c>
      <c r="P1741">
        <v>3794398</v>
      </c>
      <c r="Q1741" t="s">
        <v>9551</v>
      </c>
      <c r="R1741" t="s">
        <v>7384</v>
      </c>
      <c r="S1741" t="s">
        <v>7385</v>
      </c>
      <c r="T1741" t="s">
        <v>117</v>
      </c>
      <c r="U1741" t="s">
        <v>2479</v>
      </c>
      <c r="V1741" t="s">
        <v>2215</v>
      </c>
      <c r="AA1741" t="s">
        <v>328</v>
      </c>
      <c r="AD1741" t="s">
        <v>59</v>
      </c>
      <c r="AF1741" t="s">
        <v>8592</v>
      </c>
    </row>
    <row r="1742" spans="1:33" x14ac:dyDescent="0.3">
      <c r="A1742">
        <v>33971</v>
      </c>
      <c r="B1742" t="s">
        <v>9552</v>
      </c>
      <c r="C1742" t="str">
        <f>"1100003327148"</f>
        <v>1100003327148</v>
      </c>
      <c r="D1742" t="str">
        <f>""</f>
        <v/>
      </c>
      <c r="E1742" s="1">
        <v>35462</v>
      </c>
      <c r="F1742" t="s">
        <v>9553</v>
      </c>
      <c r="G1742" t="e">
        <f>INDEX(#REF!,MATCH(P1742,#REF!,0),1)</f>
        <v>#REF!</v>
      </c>
      <c r="H1742" t="s">
        <v>9554</v>
      </c>
      <c r="J1742" t="s">
        <v>1114</v>
      </c>
      <c r="K1742" t="s">
        <v>2004</v>
      </c>
      <c r="L1742" t="str">
        <f>"02476"</f>
        <v>02476</v>
      </c>
      <c r="M1742" t="s">
        <v>9555</v>
      </c>
      <c r="N1742">
        <v>33971</v>
      </c>
      <c r="O1742" t="s">
        <v>9553</v>
      </c>
      <c r="P1742">
        <v>33971</v>
      </c>
      <c r="Q1742" t="s">
        <v>9553</v>
      </c>
      <c r="R1742" t="s">
        <v>6187</v>
      </c>
      <c r="S1742" t="s">
        <v>6188</v>
      </c>
      <c r="T1742" t="s">
        <v>2214</v>
      </c>
      <c r="U1742" t="s">
        <v>2214</v>
      </c>
      <c r="V1742" t="s">
        <v>2215</v>
      </c>
    </row>
    <row r="1743" spans="1:33" x14ac:dyDescent="0.3">
      <c r="A1743">
        <v>33975</v>
      </c>
      <c r="B1743" t="s">
        <v>9556</v>
      </c>
      <c r="C1743" t="str">
        <f>"1100004766366"</f>
        <v>1100004766366</v>
      </c>
      <c r="D1743" t="str">
        <f>"141270F00"</f>
        <v>141270F00</v>
      </c>
      <c r="E1743" s="1">
        <v>42583</v>
      </c>
      <c r="F1743" t="s">
        <v>9557</v>
      </c>
      <c r="G1743" t="e">
        <f>INDEX(#REF!,MATCH(P1743,#REF!,0),1)</f>
        <v>#REF!</v>
      </c>
      <c r="H1743" t="s">
        <v>9558</v>
      </c>
      <c r="J1743" t="s">
        <v>9559</v>
      </c>
      <c r="K1743" t="s">
        <v>2004</v>
      </c>
      <c r="L1743" t="str">
        <f>"02359"</f>
        <v>02359</v>
      </c>
      <c r="M1743" t="s">
        <v>9560</v>
      </c>
      <c r="N1743">
        <v>32536</v>
      </c>
      <c r="O1743" t="s">
        <v>8630</v>
      </c>
      <c r="P1743">
        <v>32536</v>
      </c>
      <c r="Q1743" t="s">
        <v>8630</v>
      </c>
      <c r="R1743" t="s">
        <v>1301</v>
      </c>
      <c r="S1743" t="s">
        <v>1302</v>
      </c>
      <c r="T1743" t="s">
        <v>44</v>
      </c>
      <c r="U1743" t="s">
        <v>1823</v>
      </c>
    </row>
    <row r="1744" spans="1:33" x14ac:dyDescent="0.3">
      <c r="A1744">
        <v>33976</v>
      </c>
      <c r="B1744" t="s">
        <v>9561</v>
      </c>
      <c r="C1744" t="str">
        <f>""</f>
        <v/>
      </c>
      <c r="D1744" t="str">
        <f>"48V9MVX00"</f>
        <v>48V9MVX00</v>
      </c>
      <c r="E1744" s="1">
        <v>42614</v>
      </c>
      <c r="F1744" t="s">
        <v>576</v>
      </c>
      <c r="G1744" t="e">
        <f>INDEX(#REF!,MATCH(P1744,#REF!,0),1)</f>
        <v>#REF!</v>
      </c>
      <c r="H1744" t="s">
        <v>9562</v>
      </c>
      <c r="J1744" t="s">
        <v>9343</v>
      </c>
      <c r="K1744" t="s">
        <v>2004</v>
      </c>
      <c r="L1744" t="str">
        <f>"01832"</f>
        <v>01832</v>
      </c>
      <c r="M1744" t="s">
        <v>9563</v>
      </c>
      <c r="N1744">
        <v>2822045</v>
      </c>
      <c r="O1744" t="s">
        <v>9487</v>
      </c>
      <c r="P1744">
        <v>2822045</v>
      </c>
      <c r="Q1744" t="s">
        <v>9487</v>
      </c>
      <c r="R1744" t="s">
        <v>6187</v>
      </c>
      <c r="S1744" t="s">
        <v>6188</v>
      </c>
      <c r="T1744" t="s">
        <v>2214</v>
      </c>
      <c r="U1744" t="s">
        <v>2214</v>
      </c>
      <c r="V1744" t="s">
        <v>2215</v>
      </c>
    </row>
    <row r="1745" spans="1:32" x14ac:dyDescent="0.3">
      <c r="A1745">
        <v>33981</v>
      </c>
      <c r="B1745" t="s">
        <v>9564</v>
      </c>
      <c r="C1745" t="str">
        <f>""</f>
        <v/>
      </c>
      <c r="D1745" t="str">
        <f>"XQGMQHW00"</f>
        <v>XQGMQHW00</v>
      </c>
      <c r="E1745" s="1">
        <v>35462</v>
      </c>
      <c r="F1745" t="s">
        <v>9565</v>
      </c>
      <c r="G1745" t="e">
        <f>INDEX(#REF!,MATCH(P1745,#REF!,0),1)</f>
        <v>#REF!</v>
      </c>
      <c r="H1745" t="s">
        <v>9566</v>
      </c>
      <c r="J1745" t="s">
        <v>9567</v>
      </c>
      <c r="K1745" t="s">
        <v>1109</v>
      </c>
      <c r="L1745" t="str">
        <f>"06355"</f>
        <v>06355</v>
      </c>
      <c r="M1745" t="s">
        <v>9568</v>
      </c>
      <c r="N1745">
        <v>79737</v>
      </c>
      <c r="O1745" t="s">
        <v>9252</v>
      </c>
      <c r="P1745">
        <v>79737</v>
      </c>
      <c r="Q1745" t="s">
        <v>9252</v>
      </c>
      <c r="R1745" t="s">
        <v>5064</v>
      </c>
      <c r="S1745" t="s">
        <v>5065</v>
      </c>
      <c r="T1745" t="s">
        <v>2214</v>
      </c>
      <c r="U1745" t="s">
        <v>2214</v>
      </c>
      <c r="V1745" t="s">
        <v>2215</v>
      </c>
    </row>
    <row r="1746" spans="1:32" x14ac:dyDescent="0.3">
      <c r="A1746">
        <v>33985</v>
      </c>
      <c r="B1746" t="s">
        <v>9569</v>
      </c>
      <c r="C1746" t="str">
        <f>""</f>
        <v/>
      </c>
      <c r="D1746" t="str">
        <f>""</f>
        <v/>
      </c>
      <c r="E1746" s="1">
        <v>42614</v>
      </c>
      <c r="F1746" t="s">
        <v>9570</v>
      </c>
      <c r="G1746" t="e">
        <f>INDEX(#REF!,MATCH(P1746,#REF!,0),1)</f>
        <v>#REF!</v>
      </c>
      <c r="H1746" t="s">
        <v>9571</v>
      </c>
      <c r="J1746" t="s">
        <v>9572</v>
      </c>
      <c r="K1746" t="s">
        <v>2004</v>
      </c>
      <c r="L1746" t="str">
        <f>"02093"</f>
        <v>02093</v>
      </c>
      <c r="M1746" t="s">
        <v>9573</v>
      </c>
      <c r="N1746">
        <v>2821705</v>
      </c>
      <c r="O1746" t="s">
        <v>9574</v>
      </c>
      <c r="P1746">
        <v>2821705</v>
      </c>
      <c r="Q1746" t="s">
        <v>9574</v>
      </c>
      <c r="R1746" t="s">
        <v>5064</v>
      </c>
      <c r="S1746" t="s">
        <v>5065</v>
      </c>
      <c r="T1746" t="s">
        <v>2214</v>
      </c>
      <c r="U1746" t="s">
        <v>2214</v>
      </c>
      <c r="V1746" t="s">
        <v>2215</v>
      </c>
    </row>
    <row r="1747" spans="1:32" x14ac:dyDescent="0.3">
      <c r="A1747">
        <v>33992</v>
      </c>
      <c r="B1747" t="s">
        <v>9575</v>
      </c>
      <c r="C1747" t="str">
        <f>""</f>
        <v/>
      </c>
      <c r="D1747" t="str">
        <f>""</f>
        <v/>
      </c>
      <c r="E1747" s="1">
        <v>42583</v>
      </c>
      <c r="F1747" t="s">
        <v>9576</v>
      </c>
      <c r="G1747" t="e">
        <f>INDEX(#REF!,MATCH(P1747,#REF!,0),1)</f>
        <v>#REF!</v>
      </c>
      <c r="H1747" t="s">
        <v>9577</v>
      </c>
      <c r="J1747" t="s">
        <v>9210</v>
      </c>
      <c r="K1747" t="s">
        <v>2004</v>
      </c>
      <c r="L1747" t="str">
        <f>"01950"</f>
        <v>01950</v>
      </c>
      <c r="M1747" t="s">
        <v>9578</v>
      </c>
      <c r="N1747">
        <v>44356</v>
      </c>
      <c r="O1747" t="s">
        <v>9579</v>
      </c>
      <c r="P1747">
        <v>44356</v>
      </c>
      <c r="Q1747" t="s">
        <v>9579</v>
      </c>
      <c r="R1747" t="s">
        <v>1301</v>
      </c>
      <c r="S1747" t="s">
        <v>1302</v>
      </c>
      <c r="T1747" t="s">
        <v>2214</v>
      </c>
      <c r="U1747" t="s">
        <v>2214</v>
      </c>
    </row>
    <row r="1748" spans="1:32" x14ac:dyDescent="0.3">
      <c r="A1748">
        <v>34005</v>
      </c>
      <c r="B1748" t="s">
        <v>9580</v>
      </c>
      <c r="C1748" t="str">
        <f>"1100004702821"</f>
        <v>1100004702821</v>
      </c>
      <c r="D1748" t="str">
        <f>"BUTFZ6I00"</f>
        <v>BUTFZ6I00</v>
      </c>
      <c r="E1748" s="1">
        <v>35796</v>
      </c>
      <c r="F1748" t="s">
        <v>9581</v>
      </c>
      <c r="G1748" t="e">
        <f>INDEX(#REF!,MATCH(P1748,#REF!,0),1)</f>
        <v>#REF!</v>
      </c>
      <c r="H1748" t="s">
        <v>9582</v>
      </c>
      <c r="I1748" t="s">
        <v>9583</v>
      </c>
      <c r="J1748" t="s">
        <v>9584</v>
      </c>
      <c r="K1748" t="s">
        <v>533</v>
      </c>
      <c r="L1748" t="s">
        <v>9585</v>
      </c>
      <c r="M1748" t="s">
        <v>9586</v>
      </c>
      <c r="N1748">
        <v>34005</v>
      </c>
      <c r="O1748" t="s">
        <v>9581</v>
      </c>
      <c r="P1748">
        <v>34005</v>
      </c>
      <c r="Q1748" t="s">
        <v>9581</v>
      </c>
      <c r="R1748" t="s">
        <v>4689</v>
      </c>
      <c r="S1748" t="s">
        <v>4690</v>
      </c>
      <c r="T1748" t="s">
        <v>2277</v>
      </c>
      <c r="U1748" t="s">
        <v>5622</v>
      </c>
      <c r="V1748" t="s">
        <v>2215</v>
      </c>
    </row>
    <row r="1749" spans="1:32" x14ac:dyDescent="0.3">
      <c r="A1749">
        <v>34008</v>
      </c>
      <c r="B1749" t="s">
        <v>9587</v>
      </c>
      <c r="C1749" t="str">
        <f>"1100003687860"</f>
        <v>1100003687860</v>
      </c>
      <c r="D1749" t="str">
        <f>"43565G300"</f>
        <v>43565G300</v>
      </c>
      <c r="E1749" s="1">
        <v>38891</v>
      </c>
      <c r="F1749" t="s">
        <v>9588</v>
      </c>
      <c r="G1749" t="e">
        <f>INDEX(#REF!,MATCH(P1749,#REF!,0),1)</f>
        <v>#REF!</v>
      </c>
      <c r="H1749" t="s">
        <v>9589</v>
      </c>
      <c r="J1749" t="s">
        <v>1991</v>
      </c>
      <c r="K1749" t="s">
        <v>1109</v>
      </c>
      <c r="L1749" t="str">
        <f>"06457"</f>
        <v>06457</v>
      </c>
      <c r="M1749" t="s">
        <v>9590</v>
      </c>
      <c r="N1749">
        <v>34008</v>
      </c>
      <c r="O1749" t="s">
        <v>9588</v>
      </c>
      <c r="P1749">
        <v>34008</v>
      </c>
      <c r="Q1749" t="s">
        <v>9588</v>
      </c>
      <c r="R1749" t="s">
        <v>6187</v>
      </c>
      <c r="S1749" t="s">
        <v>6188</v>
      </c>
      <c r="T1749" t="s">
        <v>2277</v>
      </c>
      <c r="U1749" t="s">
        <v>2278</v>
      </c>
      <c r="V1749" t="s">
        <v>2215</v>
      </c>
    </row>
    <row r="1750" spans="1:32" x14ac:dyDescent="0.3">
      <c r="A1750">
        <v>34013</v>
      </c>
      <c r="B1750" t="s">
        <v>9591</v>
      </c>
      <c r="C1750" t="str">
        <f>""</f>
        <v/>
      </c>
      <c r="D1750" t="str">
        <f>"QPB0JR000"</f>
        <v>QPB0JR000</v>
      </c>
      <c r="E1750" s="1">
        <v>42669</v>
      </c>
      <c r="F1750" t="s">
        <v>9592</v>
      </c>
      <c r="G1750" t="e">
        <f>INDEX(#REF!,MATCH(P1750,#REF!,0),1)</f>
        <v>#REF!</v>
      </c>
      <c r="H1750" t="s">
        <v>9593</v>
      </c>
      <c r="J1750" t="s">
        <v>1465</v>
      </c>
      <c r="K1750" t="s">
        <v>2507</v>
      </c>
      <c r="L1750" t="str">
        <f>"02904"</f>
        <v>02904</v>
      </c>
      <c r="M1750" t="s">
        <v>9594</v>
      </c>
      <c r="N1750">
        <v>2641907</v>
      </c>
      <c r="O1750" t="s">
        <v>9595</v>
      </c>
      <c r="P1750">
        <v>2641907</v>
      </c>
      <c r="Q1750" t="s">
        <v>9595</v>
      </c>
      <c r="R1750" t="s">
        <v>5721</v>
      </c>
      <c r="S1750" t="s">
        <v>5722</v>
      </c>
      <c r="T1750" t="s">
        <v>2277</v>
      </c>
      <c r="U1750" t="s">
        <v>2278</v>
      </c>
      <c r="V1750" t="s">
        <v>2215</v>
      </c>
      <c r="AF1750" t="s">
        <v>9596</v>
      </c>
    </row>
    <row r="1751" spans="1:32" x14ac:dyDescent="0.3">
      <c r="A1751">
        <v>34023</v>
      </c>
      <c r="B1751" t="s">
        <v>9597</v>
      </c>
      <c r="C1751" t="str">
        <f>"1100009066690"</f>
        <v>1100009066690</v>
      </c>
      <c r="D1751" t="str">
        <f>""</f>
        <v/>
      </c>
      <c r="E1751" s="1">
        <v>41555</v>
      </c>
      <c r="F1751" t="s">
        <v>9598</v>
      </c>
      <c r="G1751" t="e">
        <f>INDEX(#REF!,MATCH(P1751,#REF!,0),1)</f>
        <v>#REF!</v>
      </c>
      <c r="H1751" t="s">
        <v>9599</v>
      </c>
      <c r="J1751" t="s">
        <v>9600</v>
      </c>
      <c r="K1751" t="s">
        <v>2507</v>
      </c>
      <c r="L1751" t="str">
        <f>"02816"</f>
        <v>02816</v>
      </c>
      <c r="M1751" t="s">
        <v>9601</v>
      </c>
      <c r="N1751">
        <v>1109765</v>
      </c>
      <c r="O1751" t="s">
        <v>9363</v>
      </c>
      <c r="P1751">
        <v>1109765</v>
      </c>
      <c r="Q1751" t="s">
        <v>9363</v>
      </c>
      <c r="R1751" t="s">
        <v>6187</v>
      </c>
      <c r="S1751" t="s">
        <v>6188</v>
      </c>
      <c r="T1751" t="s">
        <v>2214</v>
      </c>
      <c r="U1751" t="s">
        <v>2214</v>
      </c>
      <c r="V1751" t="s">
        <v>2215</v>
      </c>
    </row>
    <row r="1752" spans="1:32" x14ac:dyDescent="0.3">
      <c r="A1752">
        <v>34026</v>
      </c>
      <c r="B1752" t="s">
        <v>9602</v>
      </c>
      <c r="C1752" t="str">
        <f>""</f>
        <v/>
      </c>
      <c r="D1752" t="str">
        <f>""</f>
        <v/>
      </c>
      <c r="E1752" s="1">
        <v>42583</v>
      </c>
      <c r="F1752" t="s">
        <v>9603</v>
      </c>
      <c r="G1752" t="e">
        <f>INDEX(#REF!,MATCH(P1752,#REF!,0),1)</f>
        <v>#REF!</v>
      </c>
      <c r="H1752" t="s">
        <v>9604</v>
      </c>
      <c r="J1752" t="s">
        <v>9605</v>
      </c>
      <c r="K1752" t="s">
        <v>2004</v>
      </c>
      <c r="L1752" t="str">
        <f>"02151"</f>
        <v>02151</v>
      </c>
      <c r="M1752" t="s">
        <v>9606</v>
      </c>
      <c r="N1752">
        <v>33773</v>
      </c>
      <c r="O1752" t="s">
        <v>9355</v>
      </c>
      <c r="P1752">
        <v>33773</v>
      </c>
      <c r="Q1752" t="s">
        <v>9355</v>
      </c>
      <c r="R1752" t="s">
        <v>245</v>
      </c>
      <c r="S1752" t="s">
        <v>246</v>
      </c>
      <c r="T1752" t="s">
        <v>2214</v>
      </c>
      <c r="U1752" t="s">
        <v>2214</v>
      </c>
    </row>
    <row r="1753" spans="1:32" x14ac:dyDescent="0.3">
      <c r="A1753">
        <v>34032</v>
      </c>
      <c r="B1753" t="s">
        <v>9607</v>
      </c>
      <c r="C1753" t="str">
        <f>""</f>
        <v/>
      </c>
      <c r="D1753" t="str">
        <f>"239ZYU500"</f>
        <v>239ZYU500</v>
      </c>
      <c r="E1753" s="1">
        <v>42614</v>
      </c>
      <c r="F1753" t="s">
        <v>9608</v>
      </c>
      <c r="G1753" t="e">
        <f>INDEX(#REF!,MATCH(P1753,#REF!,0),1)</f>
        <v>#REF!</v>
      </c>
      <c r="H1753" t="s">
        <v>9609</v>
      </c>
      <c r="J1753" t="s">
        <v>9610</v>
      </c>
      <c r="K1753" t="s">
        <v>1504</v>
      </c>
      <c r="L1753" t="str">
        <f>"04276-3636"</f>
        <v>04276-3636</v>
      </c>
      <c r="M1753" t="s">
        <v>9611</v>
      </c>
      <c r="N1753">
        <v>34032</v>
      </c>
      <c r="O1753" t="s">
        <v>9608</v>
      </c>
      <c r="P1753">
        <v>34032</v>
      </c>
      <c r="Q1753" t="s">
        <v>9608</v>
      </c>
      <c r="R1753" t="s">
        <v>4609</v>
      </c>
      <c r="S1753" t="s">
        <v>4610</v>
      </c>
      <c r="T1753" t="s">
        <v>2214</v>
      </c>
      <c r="U1753" t="s">
        <v>2552</v>
      </c>
      <c r="V1753" t="s">
        <v>2215</v>
      </c>
      <c r="AF1753" t="s">
        <v>9612</v>
      </c>
    </row>
    <row r="1754" spans="1:32" x14ac:dyDescent="0.3">
      <c r="A1754">
        <v>34037</v>
      </c>
      <c r="B1754" t="s">
        <v>9613</v>
      </c>
      <c r="C1754" t="str">
        <f>""</f>
        <v/>
      </c>
      <c r="D1754" t="str">
        <f>"25IHPC700"</f>
        <v>25IHPC700</v>
      </c>
      <c r="E1754" s="1">
        <v>41534</v>
      </c>
      <c r="F1754" t="s">
        <v>9614</v>
      </c>
      <c r="G1754" t="e">
        <f>INDEX(#REF!,MATCH(P1754,#REF!,0),1)</f>
        <v>#REF!</v>
      </c>
      <c r="H1754" t="s">
        <v>9615</v>
      </c>
      <c r="J1754" t="s">
        <v>9616</v>
      </c>
      <c r="K1754" t="s">
        <v>2004</v>
      </c>
      <c r="L1754" t="str">
        <f>"02556"</f>
        <v>02556</v>
      </c>
      <c r="M1754" t="s">
        <v>9617</v>
      </c>
      <c r="N1754">
        <v>3417466</v>
      </c>
      <c r="O1754" t="s">
        <v>9618</v>
      </c>
      <c r="P1754">
        <v>3417466</v>
      </c>
      <c r="Q1754" t="s">
        <v>9618</v>
      </c>
      <c r="R1754" t="s">
        <v>6187</v>
      </c>
      <c r="S1754" t="s">
        <v>6188</v>
      </c>
      <c r="T1754" t="s">
        <v>2214</v>
      </c>
      <c r="U1754" t="s">
        <v>2214</v>
      </c>
      <c r="V1754" t="s">
        <v>2215</v>
      </c>
    </row>
    <row r="1755" spans="1:32" x14ac:dyDescent="0.3">
      <c r="A1755">
        <v>34039</v>
      </c>
      <c r="B1755" t="s">
        <v>9619</v>
      </c>
      <c r="C1755" t="str">
        <f>""</f>
        <v/>
      </c>
      <c r="D1755" t="str">
        <f>""</f>
        <v/>
      </c>
      <c r="E1755" s="1">
        <v>35462</v>
      </c>
      <c r="F1755" t="s">
        <v>9620</v>
      </c>
      <c r="G1755" t="e">
        <f>INDEX(#REF!,MATCH(P1755,#REF!,0),1)</f>
        <v>#REF!</v>
      </c>
      <c r="H1755" t="s">
        <v>9621</v>
      </c>
      <c r="J1755" t="s">
        <v>3858</v>
      </c>
      <c r="K1755" t="s">
        <v>2004</v>
      </c>
      <c r="L1755" t="str">
        <f>"02740"</f>
        <v>02740</v>
      </c>
      <c r="M1755" t="s">
        <v>9622</v>
      </c>
      <c r="N1755">
        <v>79386</v>
      </c>
      <c r="O1755" t="s">
        <v>9261</v>
      </c>
      <c r="P1755">
        <v>79386</v>
      </c>
      <c r="Q1755" t="s">
        <v>9261</v>
      </c>
      <c r="R1755" t="s">
        <v>6187</v>
      </c>
      <c r="S1755" t="s">
        <v>6188</v>
      </c>
      <c r="T1755" t="s">
        <v>2214</v>
      </c>
      <c r="U1755" t="s">
        <v>2214</v>
      </c>
      <c r="V1755" t="s">
        <v>2215</v>
      </c>
      <c r="AD1755" t="s">
        <v>59</v>
      </c>
    </row>
    <row r="1756" spans="1:32" x14ac:dyDescent="0.3">
      <c r="A1756">
        <v>34041</v>
      </c>
      <c r="B1756" t="s">
        <v>9623</v>
      </c>
      <c r="C1756" t="str">
        <f>""</f>
        <v/>
      </c>
      <c r="D1756" t="str">
        <f>""</f>
        <v/>
      </c>
      <c r="E1756" s="1">
        <v>40680</v>
      </c>
      <c r="F1756" t="s">
        <v>9624</v>
      </c>
      <c r="G1756" t="e">
        <f>INDEX(#REF!,MATCH(P1756,#REF!,0),1)</f>
        <v>#REF!</v>
      </c>
      <c r="H1756" t="s">
        <v>9625</v>
      </c>
      <c r="J1756" t="s">
        <v>9626</v>
      </c>
      <c r="K1756" t="s">
        <v>2507</v>
      </c>
      <c r="L1756" t="str">
        <f>"02818"</f>
        <v>02818</v>
      </c>
      <c r="M1756" t="s">
        <v>9627</v>
      </c>
      <c r="N1756">
        <v>913983</v>
      </c>
      <c r="O1756" t="s">
        <v>9628</v>
      </c>
      <c r="P1756">
        <v>913983</v>
      </c>
      <c r="Q1756" t="s">
        <v>9628</v>
      </c>
      <c r="R1756" t="s">
        <v>5064</v>
      </c>
      <c r="S1756" t="s">
        <v>5065</v>
      </c>
      <c r="T1756" t="s">
        <v>2214</v>
      </c>
      <c r="U1756" t="s">
        <v>2214</v>
      </c>
      <c r="V1756" t="s">
        <v>2215</v>
      </c>
    </row>
    <row r="1757" spans="1:32" x14ac:dyDescent="0.3">
      <c r="A1757">
        <v>34043</v>
      </c>
      <c r="B1757" t="s">
        <v>9629</v>
      </c>
      <c r="C1757" t="str">
        <f>"1100005065079"</f>
        <v>1100005065079</v>
      </c>
      <c r="D1757" t="str">
        <f>""</f>
        <v/>
      </c>
      <c r="E1757" s="1">
        <v>42583</v>
      </c>
      <c r="F1757" t="s">
        <v>9630</v>
      </c>
      <c r="G1757" t="e">
        <f>INDEX(#REF!,MATCH(P1757,#REF!,0),1)</f>
        <v>#REF!</v>
      </c>
      <c r="H1757" t="s">
        <v>9631</v>
      </c>
      <c r="J1757" t="s">
        <v>6192</v>
      </c>
      <c r="K1757" t="s">
        <v>2004</v>
      </c>
      <c r="L1757" t="str">
        <f>"02122"</f>
        <v>02122</v>
      </c>
      <c r="M1757" t="s">
        <v>9632</v>
      </c>
      <c r="N1757">
        <v>2623351</v>
      </c>
      <c r="O1757" t="s">
        <v>2006</v>
      </c>
      <c r="P1757">
        <v>2623351</v>
      </c>
      <c r="Q1757" t="s">
        <v>2006</v>
      </c>
      <c r="R1757" t="s">
        <v>245</v>
      </c>
      <c r="S1757" t="s">
        <v>246</v>
      </c>
      <c r="T1757" t="s">
        <v>2214</v>
      </c>
      <c r="U1757" t="s">
        <v>2214</v>
      </c>
    </row>
    <row r="1758" spans="1:32" x14ac:dyDescent="0.3">
      <c r="A1758">
        <v>34044</v>
      </c>
      <c r="B1758" t="s">
        <v>9633</v>
      </c>
      <c r="C1758" t="str">
        <f>"1100004939920"</f>
        <v>1100004939920</v>
      </c>
      <c r="D1758" t="str">
        <f>"120300600"</f>
        <v>120300600</v>
      </c>
      <c r="E1758" s="1">
        <v>42583</v>
      </c>
      <c r="F1758" t="s">
        <v>2205</v>
      </c>
      <c r="G1758" t="e">
        <f>INDEX(#REF!,MATCH(P1758,#REF!,0),1)</f>
        <v>#REF!</v>
      </c>
      <c r="H1758" t="s">
        <v>9634</v>
      </c>
      <c r="J1758" t="s">
        <v>654</v>
      </c>
      <c r="K1758" t="s">
        <v>53</v>
      </c>
      <c r="L1758" t="str">
        <f>"03061"</f>
        <v>03061</v>
      </c>
      <c r="M1758" t="s">
        <v>9635</v>
      </c>
      <c r="N1758">
        <v>34044</v>
      </c>
      <c r="O1758" t="s">
        <v>2205</v>
      </c>
      <c r="P1758">
        <v>34044</v>
      </c>
      <c r="Q1758" t="s">
        <v>2205</v>
      </c>
      <c r="R1758" t="s">
        <v>1301</v>
      </c>
      <c r="S1758" t="s">
        <v>1302</v>
      </c>
      <c r="T1758" t="s">
        <v>44</v>
      </c>
      <c r="U1758" t="s">
        <v>45</v>
      </c>
    </row>
    <row r="1759" spans="1:32" x14ac:dyDescent="0.3">
      <c r="A1759">
        <v>34045</v>
      </c>
      <c r="B1759" t="s">
        <v>9636</v>
      </c>
      <c r="C1759" t="str">
        <f>""</f>
        <v/>
      </c>
      <c r="D1759" t="str">
        <f>"150140B00"</f>
        <v>150140B00</v>
      </c>
      <c r="E1759" s="1">
        <v>42583</v>
      </c>
      <c r="F1759" t="s">
        <v>9637</v>
      </c>
      <c r="G1759" t="e">
        <f>INDEX(#REF!,MATCH(P1759,#REF!,0),1)</f>
        <v>#REF!</v>
      </c>
      <c r="H1759" t="s">
        <v>9638</v>
      </c>
      <c r="J1759" t="s">
        <v>1465</v>
      </c>
      <c r="K1759" t="s">
        <v>2507</v>
      </c>
      <c r="L1759" t="str">
        <f>"02907"</f>
        <v>02907</v>
      </c>
      <c r="M1759" t="s">
        <v>9639</v>
      </c>
      <c r="N1759">
        <v>2623550</v>
      </c>
      <c r="O1759" t="s">
        <v>1767</v>
      </c>
      <c r="P1759">
        <v>2623550</v>
      </c>
      <c r="Q1759" t="s">
        <v>1767</v>
      </c>
      <c r="R1759" t="s">
        <v>1549</v>
      </c>
      <c r="S1759" t="s">
        <v>1550</v>
      </c>
      <c r="T1759" t="s">
        <v>44</v>
      </c>
      <c r="U1759" t="s">
        <v>3640</v>
      </c>
      <c r="AE1759" t="s">
        <v>564</v>
      </c>
    </row>
    <row r="1760" spans="1:32" x14ac:dyDescent="0.3">
      <c r="A1760">
        <v>34047</v>
      </c>
      <c r="B1760" t="s">
        <v>9640</v>
      </c>
      <c r="C1760" t="str">
        <f>""</f>
        <v/>
      </c>
      <c r="D1760" t="str">
        <f>"238SQNI00"</f>
        <v>238SQNI00</v>
      </c>
      <c r="E1760" s="1">
        <v>35462</v>
      </c>
      <c r="F1760" t="s">
        <v>9641</v>
      </c>
      <c r="G1760" t="e">
        <f>INDEX(#REF!,MATCH(P1760,#REF!,0),1)</f>
        <v>#REF!</v>
      </c>
      <c r="H1760" t="s">
        <v>9642</v>
      </c>
      <c r="J1760" t="s">
        <v>8122</v>
      </c>
      <c r="K1760" t="s">
        <v>1504</v>
      </c>
      <c r="L1760" t="str">
        <f>"04103"</f>
        <v>04103</v>
      </c>
      <c r="M1760" t="s">
        <v>9643</v>
      </c>
      <c r="N1760">
        <v>34047</v>
      </c>
      <c r="O1760" t="s">
        <v>9641</v>
      </c>
      <c r="P1760">
        <v>34047</v>
      </c>
      <c r="Q1760" t="s">
        <v>9641</v>
      </c>
      <c r="R1760" t="s">
        <v>5064</v>
      </c>
      <c r="S1760" t="s">
        <v>5065</v>
      </c>
      <c r="T1760" t="s">
        <v>2214</v>
      </c>
      <c r="U1760" t="s">
        <v>2214</v>
      </c>
      <c r="V1760" t="s">
        <v>2215</v>
      </c>
    </row>
    <row r="1761" spans="1:33" x14ac:dyDescent="0.3">
      <c r="A1761">
        <v>34049</v>
      </c>
      <c r="B1761" t="s">
        <v>9644</v>
      </c>
      <c r="C1761" t="str">
        <f>""</f>
        <v/>
      </c>
      <c r="D1761" t="str">
        <f>"ZFDDUSQ00"</f>
        <v>ZFDDUSQ00</v>
      </c>
      <c r="E1761" s="1">
        <v>38596</v>
      </c>
      <c r="F1761" t="s">
        <v>9645</v>
      </c>
      <c r="G1761" t="e">
        <f>INDEX(#REF!,MATCH(P1761,#REF!,0),1)</f>
        <v>#REF!</v>
      </c>
      <c r="H1761" t="s">
        <v>9646</v>
      </c>
      <c r="J1761" t="s">
        <v>7910</v>
      </c>
      <c r="K1761" t="s">
        <v>2004</v>
      </c>
      <c r="L1761" t="str">
        <f>"01970-2702"</f>
        <v>01970-2702</v>
      </c>
      <c r="M1761" t="s">
        <v>9647</v>
      </c>
      <c r="N1761">
        <v>2598</v>
      </c>
      <c r="O1761" t="s">
        <v>2136</v>
      </c>
      <c r="P1761">
        <v>89276</v>
      </c>
      <c r="Q1761" t="s">
        <v>9379</v>
      </c>
      <c r="R1761" t="s">
        <v>1821</v>
      </c>
      <c r="S1761" t="s">
        <v>1822</v>
      </c>
      <c r="T1761" t="s">
        <v>2277</v>
      </c>
      <c r="U1761" t="s">
        <v>9035</v>
      </c>
      <c r="V1761" t="s">
        <v>2215</v>
      </c>
    </row>
    <row r="1762" spans="1:33" x14ac:dyDescent="0.3">
      <c r="A1762">
        <v>34050</v>
      </c>
      <c r="B1762" t="s">
        <v>9648</v>
      </c>
      <c r="C1762" t="str">
        <f>""</f>
        <v/>
      </c>
      <c r="D1762" t="str">
        <f>"14PY3OJ00"</f>
        <v>14PY3OJ00</v>
      </c>
      <c r="E1762" s="1">
        <v>35462</v>
      </c>
      <c r="F1762" t="s">
        <v>9649</v>
      </c>
      <c r="G1762" t="e">
        <f>INDEX(#REF!,MATCH(P1762,#REF!,0),1)</f>
        <v>#REF!</v>
      </c>
      <c r="H1762" t="s">
        <v>9650</v>
      </c>
      <c r="J1762" t="s">
        <v>2736</v>
      </c>
      <c r="K1762" t="s">
        <v>2004</v>
      </c>
      <c r="L1762" t="str">
        <f>"02720"</f>
        <v>02720</v>
      </c>
      <c r="M1762" t="s">
        <v>9651</v>
      </c>
      <c r="N1762">
        <v>34050</v>
      </c>
      <c r="O1762" t="s">
        <v>9649</v>
      </c>
      <c r="P1762">
        <v>34050</v>
      </c>
      <c r="Q1762" t="s">
        <v>9649</v>
      </c>
      <c r="R1762" t="s">
        <v>5064</v>
      </c>
      <c r="S1762" t="s">
        <v>5065</v>
      </c>
      <c r="T1762" t="s">
        <v>117</v>
      </c>
      <c r="U1762" t="s">
        <v>2479</v>
      </c>
      <c r="V1762" t="s">
        <v>2215</v>
      </c>
    </row>
    <row r="1763" spans="1:33" x14ac:dyDescent="0.3">
      <c r="A1763">
        <v>34054</v>
      </c>
      <c r="B1763" t="s">
        <v>9652</v>
      </c>
      <c r="C1763" t="str">
        <f>"1100003801570"</f>
        <v>1100003801570</v>
      </c>
      <c r="D1763" t="str">
        <f>"24XQE8F00"</f>
        <v>24XQE8F00</v>
      </c>
      <c r="E1763" s="1">
        <v>40540</v>
      </c>
      <c r="F1763" t="s">
        <v>9653</v>
      </c>
      <c r="G1763" t="e">
        <f>INDEX(#REF!,MATCH(P1763,#REF!,0),1)</f>
        <v>#REF!</v>
      </c>
      <c r="H1763" t="s">
        <v>9654</v>
      </c>
      <c r="J1763" t="s">
        <v>1328</v>
      </c>
      <c r="K1763" t="s">
        <v>2004</v>
      </c>
      <c r="L1763" t="str">
        <f>"02138"</f>
        <v>02138</v>
      </c>
      <c r="M1763" t="s">
        <v>9655</v>
      </c>
      <c r="N1763">
        <v>34054</v>
      </c>
      <c r="O1763" t="s">
        <v>9653</v>
      </c>
      <c r="P1763">
        <v>34054</v>
      </c>
      <c r="Q1763" t="s">
        <v>9653</v>
      </c>
      <c r="R1763" t="s">
        <v>6187</v>
      </c>
      <c r="S1763" t="s">
        <v>6188</v>
      </c>
      <c r="T1763" t="s">
        <v>2214</v>
      </c>
      <c r="U1763" t="s">
        <v>2214</v>
      </c>
      <c r="V1763" t="s">
        <v>2215</v>
      </c>
    </row>
    <row r="1764" spans="1:33" x14ac:dyDescent="0.3">
      <c r="A1764">
        <v>34068</v>
      </c>
      <c r="B1764" t="s">
        <v>9656</v>
      </c>
      <c r="C1764" t="str">
        <f>""</f>
        <v/>
      </c>
      <c r="D1764" t="str">
        <f>""</f>
        <v/>
      </c>
      <c r="E1764" s="1">
        <v>45688</v>
      </c>
      <c r="F1764" t="s">
        <v>9657</v>
      </c>
      <c r="G1764" t="e">
        <f>INDEX(#REF!,MATCH(P1764,#REF!,0),1)</f>
        <v>#REF!</v>
      </c>
      <c r="H1764" t="s">
        <v>9658</v>
      </c>
      <c r="J1764" t="s">
        <v>1700</v>
      </c>
      <c r="K1764" t="s">
        <v>2004</v>
      </c>
      <c r="L1764" t="str">
        <f>"02738"</f>
        <v>02738</v>
      </c>
      <c r="M1764" t="s">
        <v>9659</v>
      </c>
      <c r="N1764">
        <v>4155233</v>
      </c>
      <c r="O1764" t="s">
        <v>9017</v>
      </c>
      <c r="P1764">
        <v>4155233</v>
      </c>
      <c r="Q1764" t="s">
        <v>9017</v>
      </c>
      <c r="R1764" t="s">
        <v>5064</v>
      </c>
      <c r="S1764" t="s">
        <v>5065</v>
      </c>
      <c r="T1764" t="s">
        <v>2214</v>
      </c>
      <c r="U1764" t="s">
        <v>2214</v>
      </c>
      <c r="V1764" t="s">
        <v>2215</v>
      </c>
    </row>
    <row r="1765" spans="1:33" x14ac:dyDescent="0.3">
      <c r="A1765">
        <v>34070</v>
      </c>
      <c r="B1765" t="s">
        <v>9660</v>
      </c>
      <c r="C1765" t="str">
        <f>""</f>
        <v/>
      </c>
      <c r="D1765" t="str">
        <f>"141440E00"</f>
        <v>141440E00</v>
      </c>
      <c r="E1765" s="1">
        <v>42005</v>
      </c>
      <c r="F1765" t="s">
        <v>9661</v>
      </c>
      <c r="G1765" t="e">
        <f>INDEX(#REF!,MATCH(P1765,#REF!,0),1)</f>
        <v>#REF!</v>
      </c>
      <c r="H1765" t="s">
        <v>9662</v>
      </c>
      <c r="J1765" t="s">
        <v>7872</v>
      </c>
      <c r="K1765" t="s">
        <v>2004</v>
      </c>
      <c r="L1765" t="str">
        <f>"02143-1408"</f>
        <v>02143-1408</v>
      </c>
      <c r="M1765" t="s">
        <v>9663</v>
      </c>
      <c r="N1765">
        <v>75676</v>
      </c>
      <c r="O1765" t="s">
        <v>7272</v>
      </c>
      <c r="P1765">
        <v>75676</v>
      </c>
      <c r="Q1765" t="s">
        <v>7272</v>
      </c>
      <c r="R1765" t="s">
        <v>658</v>
      </c>
      <c r="S1765" t="s">
        <v>659</v>
      </c>
      <c r="T1765" t="s">
        <v>44</v>
      </c>
      <c r="U1765" t="s">
        <v>45</v>
      </c>
      <c r="AA1765" t="s">
        <v>119</v>
      </c>
      <c r="AE1765" t="s">
        <v>120</v>
      </c>
      <c r="AG1765" t="s">
        <v>48</v>
      </c>
    </row>
    <row r="1766" spans="1:33" x14ac:dyDescent="0.3">
      <c r="A1766">
        <v>34083</v>
      </c>
      <c r="B1766" t="s">
        <v>9664</v>
      </c>
      <c r="C1766" t="str">
        <f>""</f>
        <v/>
      </c>
      <c r="D1766" t="str">
        <f>"L24P4N700"</f>
        <v>L24P4N700</v>
      </c>
      <c r="E1766" s="1">
        <v>35462</v>
      </c>
      <c r="F1766" t="s">
        <v>9665</v>
      </c>
      <c r="G1766" t="e">
        <f>INDEX(#REF!,MATCH(P1766,#REF!,0),1)</f>
        <v>#REF!</v>
      </c>
      <c r="H1766" t="s">
        <v>9666</v>
      </c>
      <c r="J1766" t="s">
        <v>9667</v>
      </c>
      <c r="K1766" t="s">
        <v>2004</v>
      </c>
      <c r="L1766" t="str">
        <f>"02464"</f>
        <v>02464</v>
      </c>
      <c r="M1766" t="s">
        <v>9668</v>
      </c>
      <c r="N1766">
        <v>51302</v>
      </c>
      <c r="O1766" t="s">
        <v>9267</v>
      </c>
      <c r="P1766">
        <v>51302</v>
      </c>
      <c r="Q1766" t="s">
        <v>9267</v>
      </c>
      <c r="R1766" t="s">
        <v>6187</v>
      </c>
      <c r="S1766" t="s">
        <v>6188</v>
      </c>
      <c r="T1766" t="s">
        <v>2214</v>
      </c>
      <c r="U1766" t="s">
        <v>2214</v>
      </c>
      <c r="V1766" t="s">
        <v>2215</v>
      </c>
    </row>
    <row r="1767" spans="1:33" x14ac:dyDescent="0.3">
      <c r="A1767">
        <v>34087</v>
      </c>
      <c r="B1767" t="s">
        <v>9669</v>
      </c>
      <c r="C1767" t="str">
        <f>""</f>
        <v/>
      </c>
      <c r="D1767" t="str">
        <f>""</f>
        <v/>
      </c>
      <c r="E1767" s="1">
        <v>40680</v>
      </c>
      <c r="F1767" t="s">
        <v>9670</v>
      </c>
      <c r="G1767" t="e">
        <f>INDEX(#REF!,MATCH(P1767,#REF!,0),1)</f>
        <v>#REF!</v>
      </c>
      <c r="H1767" t="s">
        <v>9671</v>
      </c>
      <c r="J1767" t="s">
        <v>1465</v>
      </c>
      <c r="K1767" t="s">
        <v>2507</v>
      </c>
      <c r="L1767" t="str">
        <f>"02903-4803"</f>
        <v>02903-4803</v>
      </c>
      <c r="M1767" t="s">
        <v>9672</v>
      </c>
      <c r="N1767">
        <v>913983</v>
      </c>
      <c r="O1767" t="s">
        <v>9628</v>
      </c>
      <c r="P1767">
        <v>913983</v>
      </c>
      <c r="Q1767" t="s">
        <v>9628</v>
      </c>
      <c r="R1767" t="s">
        <v>5064</v>
      </c>
      <c r="S1767" t="s">
        <v>5065</v>
      </c>
      <c r="T1767" t="s">
        <v>2214</v>
      </c>
      <c r="U1767" t="s">
        <v>2214</v>
      </c>
      <c r="V1767" t="s">
        <v>2215</v>
      </c>
    </row>
    <row r="1768" spans="1:33" x14ac:dyDescent="0.3">
      <c r="A1768">
        <v>34089</v>
      </c>
      <c r="B1768" t="s">
        <v>9673</v>
      </c>
      <c r="C1768" t="str">
        <f>""</f>
        <v/>
      </c>
      <c r="D1768" t="str">
        <f>"HGHPPME00"</f>
        <v>HGHPPME00</v>
      </c>
      <c r="E1768" s="1">
        <v>40658</v>
      </c>
      <c r="F1768" t="s">
        <v>9674</v>
      </c>
      <c r="G1768" t="e">
        <f>INDEX(#REF!,MATCH(P1768,#REF!,0),1)</f>
        <v>#REF!</v>
      </c>
      <c r="H1768" t="s">
        <v>9675</v>
      </c>
      <c r="J1768" t="s">
        <v>9301</v>
      </c>
      <c r="K1768" t="s">
        <v>2004</v>
      </c>
      <c r="L1768" t="str">
        <f>"02132-1506"</f>
        <v>02132-1506</v>
      </c>
      <c r="M1768" t="s">
        <v>9676</v>
      </c>
      <c r="N1768">
        <v>3411797</v>
      </c>
      <c r="O1768" t="s">
        <v>9677</v>
      </c>
      <c r="P1768">
        <v>3411797</v>
      </c>
      <c r="Q1768" t="s">
        <v>9677</v>
      </c>
      <c r="R1768" t="s">
        <v>5064</v>
      </c>
      <c r="S1768" t="s">
        <v>5065</v>
      </c>
      <c r="T1768" t="s">
        <v>2214</v>
      </c>
      <c r="U1768" t="s">
        <v>9176</v>
      </c>
      <c r="V1768" t="s">
        <v>2215</v>
      </c>
    </row>
    <row r="1769" spans="1:33" x14ac:dyDescent="0.3">
      <c r="A1769">
        <v>34090</v>
      </c>
      <c r="B1769" t="s">
        <v>9678</v>
      </c>
      <c r="C1769" t="str">
        <f>"1100002508449"</f>
        <v>1100002508449</v>
      </c>
      <c r="D1769" t="str">
        <f>"140070C00"</f>
        <v>140070C00</v>
      </c>
      <c r="E1769" s="1">
        <v>42583</v>
      </c>
      <c r="F1769" t="s">
        <v>9679</v>
      </c>
      <c r="G1769" t="e">
        <f>INDEX(#REF!,MATCH(P1769,#REF!,0),1)</f>
        <v>#REF!</v>
      </c>
      <c r="H1769" t="s">
        <v>9680</v>
      </c>
      <c r="J1769" t="s">
        <v>8632</v>
      </c>
      <c r="K1769" t="s">
        <v>2004</v>
      </c>
      <c r="L1769" t="str">
        <f>"02703-0963"</f>
        <v>02703-0963</v>
      </c>
      <c r="M1769" t="s">
        <v>9681</v>
      </c>
      <c r="N1769">
        <v>34090</v>
      </c>
      <c r="O1769" t="s">
        <v>9679</v>
      </c>
      <c r="P1769">
        <v>34090</v>
      </c>
      <c r="Q1769" t="s">
        <v>9679</v>
      </c>
      <c r="R1769" t="s">
        <v>1301</v>
      </c>
      <c r="S1769" t="s">
        <v>1302</v>
      </c>
      <c r="T1769" t="s">
        <v>44</v>
      </c>
      <c r="U1769" t="s">
        <v>45</v>
      </c>
    </row>
    <row r="1770" spans="1:33" x14ac:dyDescent="0.3">
      <c r="A1770">
        <v>34100</v>
      </c>
      <c r="B1770" t="s">
        <v>9682</v>
      </c>
      <c r="C1770" t="str">
        <f>""</f>
        <v/>
      </c>
      <c r="D1770" t="str">
        <f>""</f>
        <v/>
      </c>
      <c r="E1770" s="1">
        <v>45166</v>
      </c>
      <c r="F1770" t="s">
        <v>9683</v>
      </c>
      <c r="G1770" t="e">
        <f>INDEX(#REF!,MATCH(P1770,#REF!,0),1)</f>
        <v>#REF!</v>
      </c>
      <c r="H1770" t="s">
        <v>9684</v>
      </c>
      <c r="J1770" t="s">
        <v>9685</v>
      </c>
      <c r="K1770" t="s">
        <v>2004</v>
      </c>
      <c r="L1770" t="str">
        <f>"01845-6322"</f>
        <v>01845-6322</v>
      </c>
      <c r="M1770" t="s">
        <v>9686</v>
      </c>
      <c r="N1770">
        <v>4076302</v>
      </c>
      <c r="O1770" t="s">
        <v>9175</v>
      </c>
      <c r="P1770">
        <v>4076302</v>
      </c>
      <c r="Q1770" t="s">
        <v>9175</v>
      </c>
      <c r="R1770" t="s">
        <v>7384</v>
      </c>
      <c r="S1770" t="s">
        <v>7385</v>
      </c>
      <c r="T1770" t="s">
        <v>2214</v>
      </c>
      <c r="U1770" t="s">
        <v>2214</v>
      </c>
      <c r="V1770" t="s">
        <v>2215</v>
      </c>
      <c r="AF1770" t="s">
        <v>7552</v>
      </c>
    </row>
    <row r="1771" spans="1:33" x14ac:dyDescent="0.3">
      <c r="A1771">
        <v>34104</v>
      </c>
      <c r="B1771" t="s">
        <v>9687</v>
      </c>
      <c r="C1771" t="str">
        <f>""</f>
        <v/>
      </c>
      <c r="D1771" t="str">
        <f>""</f>
        <v/>
      </c>
      <c r="E1771" s="1">
        <v>42583</v>
      </c>
      <c r="F1771" t="s">
        <v>9688</v>
      </c>
      <c r="G1771" t="e">
        <f>INDEX(#REF!,MATCH(P1771,#REF!,0),1)</f>
        <v>#REF!</v>
      </c>
      <c r="H1771" t="s">
        <v>9689</v>
      </c>
      <c r="J1771" t="s">
        <v>424</v>
      </c>
      <c r="K1771" t="s">
        <v>2004</v>
      </c>
      <c r="L1771" t="str">
        <f>"02368"</f>
        <v>02368</v>
      </c>
      <c r="M1771" t="s">
        <v>9690</v>
      </c>
      <c r="N1771">
        <v>33773</v>
      </c>
      <c r="O1771" t="s">
        <v>9355</v>
      </c>
      <c r="P1771">
        <v>33773</v>
      </c>
      <c r="Q1771" t="s">
        <v>9355</v>
      </c>
      <c r="R1771" t="s">
        <v>245</v>
      </c>
      <c r="S1771" t="s">
        <v>246</v>
      </c>
      <c r="T1771" t="s">
        <v>2214</v>
      </c>
      <c r="U1771" t="s">
        <v>2214</v>
      </c>
    </row>
    <row r="1772" spans="1:33" x14ac:dyDescent="0.3">
      <c r="A1772">
        <v>34106</v>
      </c>
      <c r="B1772" t="s">
        <v>9691</v>
      </c>
      <c r="C1772" t="str">
        <f>""</f>
        <v/>
      </c>
      <c r="D1772" t="str">
        <f>"141860K00"</f>
        <v>141860K00</v>
      </c>
      <c r="E1772" s="1">
        <v>42668</v>
      </c>
      <c r="F1772" t="s">
        <v>9692</v>
      </c>
      <c r="G1772" t="e">
        <f>INDEX(#REF!,MATCH(P1772,#REF!,0),1)</f>
        <v>#REF!</v>
      </c>
      <c r="H1772" t="s">
        <v>9693</v>
      </c>
      <c r="J1772" t="s">
        <v>9516</v>
      </c>
      <c r="K1772" t="s">
        <v>2004</v>
      </c>
      <c r="L1772" t="str">
        <f>"01655"</f>
        <v>01655</v>
      </c>
      <c r="M1772" t="s">
        <v>9694</v>
      </c>
      <c r="N1772">
        <v>40134</v>
      </c>
      <c r="O1772" t="s">
        <v>2185</v>
      </c>
      <c r="P1772">
        <v>2624104</v>
      </c>
      <c r="Q1772" t="s">
        <v>9695</v>
      </c>
      <c r="R1772" t="s">
        <v>277</v>
      </c>
      <c r="S1772" t="s">
        <v>278</v>
      </c>
      <c r="T1772" t="s">
        <v>44</v>
      </c>
      <c r="U1772" t="s">
        <v>45</v>
      </c>
      <c r="AA1772" t="s">
        <v>58</v>
      </c>
      <c r="AE1772" t="s">
        <v>60</v>
      </c>
      <c r="AG1772" t="s">
        <v>48</v>
      </c>
    </row>
    <row r="1773" spans="1:33" x14ac:dyDescent="0.3">
      <c r="A1773">
        <v>34107</v>
      </c>
      <c r="B1773" t="s">
        <v>9696</v>
      </c>
      <c r="C1773" t="str">
        <f>"1100003085062"</f>
        <v>1100003085062</v>
      </c>
      <c r="D1773" t="str">
        <f>"120020500"</f>
        <v>120020500</v>
      </c>
      <c r="E1773" s="1">
        <v>38412</v>
      </c>
      <c r="F1773" t="s">
        <v>9697</v>
      </c>
      <c r="G1773" t="e">
        <f>INDEX(#REF!,MATCH(P1773,#REF!,0),1)</f>
        <v>#REF!</v>
      </c>
      <c r="H1773" t="s">
        <v>9698</v>
      </c>
      <c r="J1773" t="s">
        <v>9699</v>
      </c>
      <c r="K1773" t="s">
        <v>53</v>
      </c>
      <c r="L1773" t="str">
        <f>"03743-4921"</f>
        <v>03743-4921</v>
      </c>
      <c r="M1773" t="s">
        <v>9700</v>
      </c>
      <c r="N1773">
        <v>155</v>
      </c>
      <c r="O1773" t="s">
        <v>55</v>
      </c>
      <c r="P1773">
        <v>155</v>
      </c>
      <c r="Q1773" t="s">
        <v>55</v>
      </c>
      <c r="R1773" t="s">
        <v>56</v>
      </c>
      <c r="S1773" t="s">
        <v>57</v>
      </c>
      <c r="T1773" t="s">
        <v>44</v>
      </c>
      <c r="U1773" t="s">
        <v>45</v>
      </c>
      <c r="AA1773" t="s">
        <v>58</v>
      </c>
      <c r="AE1773" t="s">
        <v>60</v>
      </c>
    </row>
    <row r="1774" spans="1:33" x14ac:dyDescent="0.3">
      <c r="A1774">
        <v>34128</v>
      </c>
      <c r="B1774" t="s">
        <v>9701</v>
      </c>
      <c r="C1774" t="str">
        <f>""</f>
        <v/>
      </c>
      <c r="D1774" t="str">
        <f>"L7426HL00"</f>
        <v>L7426HL00</v>
      </c>
      <c r="E1774" s="1">
        <v>45133</v>
      </c>
      <c r="F1774" t="s">
        <v>9702</v>
      </c>
      <c r="G1774" t="e">
        <f>INDEX(#REF!,MATCH(P1774,#REF!,0),1)</f>
        <v>#REF!</v>
      </c>
      <c r="H1774" t="s">
        <v>9703</v>
      </c>
      <c r="J1774" t="s">
        <v>9704</v>
      </c>
      <c r="K1774" t="s">
        <v>2004</v>
      </c>
      <c r="L1774" t="str">
        <f>"01886"</f>
        <v>01886</v>
      </c>
      <c r="M1774" t="s">
        <v>9705</v>
      </c>
      <c r="N1774">
        <v>4300410</v>
      </c>
      <c r="O1774" t="s">
        <v>9706</v>
      </c>
      <c r="P1774">
        <v>4300410</v>
      </c>
      <c r="Q1774" t="s">
        <v>9706</v>
      </c>
      <c r="R1774" t="s">
        <v>7384</v>
      </c>
      <c r="S1774" t="s">
        <v>7385</v>
      </c>
      <c r="T1774" t="s">
        <v>2214</v>
      </c>
      <c r="U1774" t="s">
        <v>2214</v>
      </c>
      <c r="V1774" t="s">
        <v>2215</v>
      </c>
      <c r="AF1774" t="s">
        <v>7552</v>
      </c>
    </row>
    <row r="1775" spans="1:33" x14ac:dyDescent="0.3">
      <c r="A1775">
        <v>34133</v>
      </c>
      <c r="B1775" t="s">
        <v>9707</v>
      </c>
      <c r="C1775" t="str">
        <f>"1100005367371"</f>
        <v>1100005367371</v>
      </c>
      <c r="D1775" t="str">
        <f>"150210900"</f>
        <v>150210900</v>
      </c>
      <c r="E1775" s="1">
        <v>42095</v>
      </c>
      <c r="F1775" t="s">
        <v>9708</v>
      </c>
      <c r="G1775" t="e">
        <f>INDEX(#REF!,MATCH(P1775,#REF!,0),1)</f>
        <v>#REF!</v>
      </c>
      <c r="H1775" t="s">
        <v>9709</v>
      </c>
      <c r="J1775" t="s">
        <v>9710</v>
      </c>
      <c r="K1775" t="s">
        <v>2507</v>
      </c>
      <c r="L1775" t="str">
        <f>"02891-2934"</f>
        <v>02891-2934</v>
      </c>
      <c r="M1775" t="s">
        <v>9711</v>
      </c>
      <c r="N1775">
        <v>286</v>
      </c>
      <c r="O1775" t="s">
        <v>1106</v>
      </c>
      <c r="P1775">
        <v>2414036</v>
      </c>
      <c r="Q1775" t="s">
        <v>1980</v>
      </c>
      <c r="R1775" t="s">
        <v>56</v>
      </c>
      <c r="S1775" t="s">
        <v>57</v>
      </c>
      <c r="T1775" t="s">
        <v>44</v>
      </c>
      <c r="U1775" t="s">
        <v>45</v>
      </c>
      <c r="AA1775" t="s">
        <v>58</v>
      </c>
      <c r="AE1775" t="s">
        <v>60</v>
      </c>
      <c r="AG1775" t="s">
        <v>48</v>
      </c>
    </row>
    <row r="1776" spans="1:33" x14ac:dyDescent="0.3">
      <c r="A1776">
        <v>34135</v>
      </c>
      <c r="B1776" t="s">
        <v>9712</v>
      </c>
      <c r="C1776" t="str">
        <f>""</f>
        <v/>
      </c>
      <c r="D1776" t="str">
        <f>"141770K00"</f>
        <v>141770K00</v>
      </c>
      <c r="E1776" s="1">
        <v>42583</v>
      </c>
      <c r="F1776" t="s">
        <v>9713</v>
      </c>
      <c r="G1776" t="e">
        <f>INDEX(#REF!,MATCH(P1776,#REF!,0),1)</f>
        <v>#REF!</v>
      </c>
      <c r="H1776" t="s">
        <v>9714</v>
      </c>
      <c r="J1776" t="s">
        <v>7806</v>
      </c>
      <c r="K1776" t="s">
        <v>2004</v>
      </c>
      <c r="L1776" t="str">
        <f>"02090-2903"</f>
        <v>02090-2903</v>
      </c>
      <c r="M1776" t="s">
        <v>9715</v>
      </c>
      <c r="N1776">
        <v>32536</v>
      </c>
      <c r="O1776" t="s">
        <v>8630</v>
      </c>
      <c r="P1776">
        <v>32536</v>
      </c>
      <c r="Q1776" t="s">
        <v>8630</v>
      </c>
      <c r="R1776" t="s">
        <v>1301</v>
      </c>
      <c r="S1776" t="s">
        <v>1302</v>
      </c>
      <c r="T1776" t="s">
        <v>44</v>
      </c>
      <c r="U1776" t="s">
        <v>45</v>
      </c>
    </row>
    <row r="1777" spans="1:33" x14ac:dyDescent="0.3">
      <c r="A1777">
        <v>34136</v>
      </c>
      <c r="B1777" t="s">
        <v>9716</v>
      </c>
      <c r="C1777" t="str">
        <f>""</f>
        <v/>
      </c>
      <c r="D1777" t="str">
        <f>"140770J00"</f>
        <v>140770J00</v>
      </c>
      <c r="E1777" s="1">
        <v>42583</v>
      </c>
      <c r="F1777" t="s">
        <v>9717</v>
      </c>
      <c r="G1777" t="e">
        <f>INDEX(#REF!,MATCH(P1777,#REF!,0),1)</f>
        <v>#REF!</v>
      </c>
      <c r="H1777" t="s">
        <v>9718</v>
      </c>
      <c r="J1777" t="s">
        <v>8128</v>
      </c>
      <c r="K1777" t="s">
        <v>2004</v>
      </c>
      <c r="L1777" t="str">
        <f>"01835"</f>
        <v>01835</v>
      </c>
      <c r="M1777" t="s">
        <v>9719</v>
      </c>
      <c r="N1777">
        <v>44356</v>
      </c>
      <c r="O1777" t="s">
        <v>9579</v>
      </c>
      <c r="P1777">
        <v>44356</v>
      </c>
      <c r="Q1777" t="s">
        <v>9579</v>
      </c>
      <c r="R1777" t="s">
        <v>1301</v>
      </c>
      <c r="S1777" t="s">
        <v>1302</v>
      </c>
      <c r="T1777" t="s">
        <v>44</v>
      </c>
      <c r="U1777" t="s">
        <v>717</v>
      </c>
    </row>
    <row r="1778" spans="1:33" x14ac:dyDescent="0.3">
      <c r="A1778">
        <v>34142</v>
      </c>
      <c r="B1778" t="s">
        <v>9720</v>
      </c>
      <c r="C1778" t="str">
        <f>""</f>
        <v/>
      </c>
      <c r="D1778" t="str">
        <f>"26YG5LC00"</f>
        <v>26YG5LC00</v>
      </c>
      <c r="E1778" s="1">
        <v>40805</v>
      </c>
      <c r="F1778" t="s">
        <v>9721</v>
      </c>
      <c r="G1778" t="e">
        <f>INDEX(#REF!,MATCH(P1778,#REF!,0),1)</f>
        <v>#REF!</v>
      </c>
      <c r="H1778" t="s">
        <v>9722</v>
      </c>
      <c r="J1778" t="s">
        <v>9723</v>
      </c>
      <c r="K1778" t="s">
        <v>2004</v>
      </c>
      <c r="L1778" t="str">
        <f>"02540-2913"</f>
        <v>02540-2913</v>
      </c>
      <c r="M1778" t="s">
        <v>9724</v>
      </c>
      <c r="N1778">
        <v>103234</v>
      </c>
      <c r="O1778" t="s">
        <v>9725</v>
      </c>
      <c r="P1778">
        <v>103234</v>
      </c>
      <c r="Q1778" t="s">
        <v>9725</v>
      </c>
      <c r="R1778" t="s">
        <v>9726</v>
      </c>
      <c r="S1778" t="s">
        <v>9727</v>
      </c>
      <c r="T1778" t="s">
        <v>2214</v>
      </c>
      <c r="U1778" t="s">
        <v>2214</v>
      </c>
      <c r="V1778" t="s">
        <v>2215</v>
      </c>
    </row>
    <row r="1779" spans="1:33" x14ac:dyDescent="0.3">
      <c r="A1779">
        <v>34197</v>
      </c>
      <c r="B1779" t="s">
        <v>9728</v>
      </c>
      <c r="C1779" t="str">
        <f>"1100002465940"</f>
        <v>1100002465940</v>
      </c>
      <c r="D1779" t="str">
        <f>"24XH5VK00"</f>
        <v>24XH5VK00</v>
      </c>
      <c r="E1779" s="1">
        <v>42583</v>
      </c>
      <c r="F1779" t="s">
        <v>9729</v>
      </c>
      <c r="G1779" t="e">
        <f>INDEX(#REF!,MATCH(P1779,#REF!,0),1)</f>
        <v>#REF!</v>
      </c>
      <c r="H1779" t="s">
        <v>9730</v>
      </c>
      <c r="J1779" t="s">
        <v>1198</v>
      </c>
      <c r="K1779" t="s">
        <v>251</v>
      </c>
      <c r="L1779" t="str">
        <f>"08543"</f>
        <v>08543</v>
      </c>
      <c r="M1779" t="s">
        <v>9731</v>
      </c>
      <c r="N1779">
        <v>34197</v>
      </c>
      <c r="O1779" t="s">
        <v>9729</v>
      </c>
      <c r="P1779">
        <v>34197</v>
      </c>
      <c r="Q1779" t="s">
        <v>9729</v>
      </c>
      <c r="R1779" t="s">
        <v>245</v>
      </c>
      <c r="S1779" t="s">
        <v>246</v>
      </c>
      <c r="T1779" t="s">
        <v>3674</v>
      </c>
      <c r="U1779" t="s">
        <v>9732</v>
      </c>
    </row>
    <row r="1780" spans="1:33" x14ac:dyDescent="0.3">
      <c r="A1780">
        <v>34208</v>
      </c>
      <c r="B1780" t="s">
        <v>9733</v>
      </c>
      <c r="C1780" t="str">
        <f>"1100005245129"</f>
        <v>1100005245129</v>
      </c>
      <c r="D1780" t="str">
        <f>"FBDAXQ000"</f>
        <v>FBDAXQ000</v>
      </c>
      <c r="E1780" s="1">
        <v>35462</v>
      </c>
      <c r="F1780" t="s">
        <v>9734</v>
      </c>
      <c r="G1780" t="e">
        <f>INDEX(#REF!,MATCH(P1780,#REF!,0),1)</f>
        <v>#REF!</v>
      </c>
      <c r="H1780" t="s">
        <v>9735</v>
      </c>
      <c r="J1780" t="s">
        <v>7714</v>
      </c>
      <c r="K1780" t="s">
        <v>2004</v>
      </c>
      <c r="L1780" t="str">
        <f>"02725"</f>
        <v>02725</v>
      </c>
      <c r="M1780" t="s">
        <v>9736</v>
      </c>
      <c r="N1780">
        <v>105135</v>
      </c>
      <c r="O1780" t="s">
        <v>9737</v>
      </c>
      <c r="P1780">
        <v>105135</v>
      </c>
      <c r="Q1780" t="s">
        <v>9737</v>
      </c>
      <c r="R1780" t="s">
        <v>6187</v>
      </c>
      <c r="S1780" t="s">
        <v>6188</v>
      </c>
      <c r="T1780" t="s">
        <v>2277</v>
      </c>
      <c r="U1780" t="s">
        <v>2278</v>
      </c>
      <c r="V1780" t="s">
        <v>2215</v>
      </c>
    </row>
    <row r="1781" spans="1:33" x14ac:dyDescent="0.3">
      <c r="A1781">
        <v>34301</v>
      </c>
      <c r="B1781" t="s">
        <v>9738</v>
      </c>
      <c r="C1781" t="str">
        <f>""</f>
        <v/>
      </c>
      <c r="D1781" t="str">
        <f>"1F00AG600"</f>
        <v>1F00AG600</v>
      </c>
      <c r="E1781" s="1">
        <v>35796</v>
      </c>
      <c r="F1781" t="s">
        <v>9739</v>
      </c>
      <c r="G1781" t="e">
        <f>INDEX(#REF!,MATCH(P1781,#REF!,0),1)</f>
        <v>#REF!</v>
      </c>
      <c r="H1781" t="s">
        <v>9740</v>
      </c>
      <c r="J1781" t="s">
        <v>224</v>
      </c>
      <c r="K1781" t="s">
        <v>225</v>
      </c>
      <c r="L1781" t="s">
        <v>9741</v>
      </c>
      <c r="M1781" t="s">
        <v>9742</v>
      </c>
      <c r="N1781">
        <v>46</v>
      </c>
      <c r="O1781" t="s">
        <v>222</v>
      </c>
      <c r="P1781">
        <v>46</v>
      </c>
      <c r="Q1781" t="s">
        <v>222</v>
      </c>
      <c r="R1781" t="s">
        <v>5064</v>
      </c>
      <c r="S1781" t="s">
        <v>5065</v>
      </c>
      <c r="T1781" t="s">
        <v>2277</v>
      </c>
      <c r="U1781" t="s">
        <v>2278</v>
      </c>
      <c r="V1781" t="s">
        <v>1824</v>
      </c>
      <c r="AA1781" t="s">
        <v>119</v>
      </c>
    </row>
    <row r="1782" spans="1:33" x14ac:dyDescent="0.3">
      <c r="A1782">
        <v>34311</v>
      </c>
      <c r="B1782" t="s">
        <v>9743</v>
      </c>
      <c r="C1782" t="str">
        <f>"1100003579936"</f>
        <v>1100003579936</v>
      </c>
      <c r="D1782" t="str">
        <f>"410380G00"</f>
        <v>410380G00</v>
      </c>
      <c r="E1782" s="1">
        <v>41091</v>
      </c>
      <c r="F1782" t="s">
        <v>9744</v>
      </c>
      <c r="G1782" t="e">
        <f>INDEX(#REF!,MATCH(P1782,#REF!,0),1)</f>
        <v>#REF!</v>
      </c>
      <c r="H1782" t="s">
        <v>9745</v>
      </c>
      <c r="J1782" t="s">
        <v>991</v>
      </c>
      <c r="K1782" t="s">
        <v>37</v>
      </c>
      <c r="L1782">
        <v>45229</v>
      </c>
      <c r="M1782" t="s">
        <v>9746</v>
      </c>
      <c r="N1782">
        <v>34311</v>
      </c>
      <c r="O1782" t="s">
        <v>9744</v>
      </c>
      <c r="P1782">
        <v>34311</v>
      </c>
      <c r="Q1782" t="s">
        <v>9744</v>
      </c>
      <c r="R1782" t="s">
        <v>286</v>
      </c>
      <c r="S1782" t="s">
        <v>287</v>
      </c>
      <c r="T1782" t="s">
        <v>44</v>
      </c>
      <c r="U1782" t="s">
        <v>288</v>
      </c>
      <c r="X1782" t="s">
        <v>289</v>
      </c>
      <c r="AA1782" t="s">
        <v>290</v>
      </c>
      <c r="AG1782" t="s">
        <v>48</v>
      </c>
    </row>
    <row r="1783" spans="1:33" x14ac:dyDescent="0.3">
      <c r="A1783">
        <v>34313</v>
      </c>
      <c r="B1783" t="s">
        <v>9747</v>
      </c>
      <c r="C1783" t="str">
        <f>""</f>
        <v/>
      </c>
      <c r="D1783" t="str">
        <f>"G0L8EWJ00"</f>
        <v>G0L8EWJ00</v>
      </c>
      <c r="E1783" s="1">
        <v>39326</v>
      </c>
      <c r="F1783" t="s">
        <v>9748</v>
      </c>
      <c r="G1783" t="e">
        <f>INDEX(#REF!,MATCH(P1783,#REF!,0),1)</f>
        <v>#REF!</v>
      </c>
      <c r="H1783" t="s">
        <v>9749</v>
      </c>
      <c r="J1783" t="s">
        <v>2134</v>
      </c>
      <c r="K1783" t="s">
        <v>2004</v>
      </c>
      <c r="L1783" t="str">
        <f>"02215-5418"</f>
        <v>02215-5418</v>
      </c>
      <c r="M1783" t="s">
        <v>9750</v>
      </c>
      <c r="N1783">
        <v>34313</v>
      </c>
      <c r="O1783" t="s">
        <v>9748</v>
      </c>
      <c r="P1783">
        <v>34313</v>
      </c>
      <c r="Q1783" t="s">
        <v>9748</v>
      </c>
      <c r="R1783" t="s">
        <v>884</v>
      </c>
      <c r="S1783" t="s">
        <v>885</v>
      </c>
      <c r="T1783" t="s">
        <v>44</v>
      </c>
      <c r="U1783" t="s">
        <v>6635</v>
      </c>
      <c r="AG1783" t="s">
        <v>48</v>
      </c>
    </row>
    <row r="1784" spans="1:33" x14ac:dyDescent="0.3">
      <c r="A1784">
        <v>34318</v>
      </c>
      <c r="B1784" t="s">
        <v>9751</v>
      </c>
      <c r="C1784" t="str">
        <f>""</f>
        <v/>
      </c>
      <c r="D1784" t="str">
        <f>"220450D00"</f>
        <v>220450D00</v>
      </c>
      <c r="E1784" s="1">
        <v>42583</v>
      </c>
      <c r="F1784" t="s">
        <v>9752</v>
      </c>
      <c r="G1784" t="e">
        <f>INDEX(#REF!,MATCH(P1784,#REF!,0),1)</f>
        <v>#REF!</v>
      </c>
      <c r="H1784" t="s">
        <v>9753</v>
      </c>
      <c r="J1784" t="s">
        <v>9754</v>
      </c>
      <c r="K1784" t="s">
        <v>251</v>
      </c>
      <c r="L1784" t="str">
        <f>"07030"</f>
        <v>07030</v>
      </c>
      <c r="M1784" t="s">
        <v>9755</v>
      </c>
      <c r="N1784">
        <v>1096480</v>
      </c>
      <c r="O1784" t="s">
        <v>908</v>
      </c>
      <c r="P1784">
        <v>1096480</v>
      </c>
      <c r="Q1784" t="s">
        <v>908</v>
      </c>
      <c r="R1784" t="s">
        <v>909</v>
      </c>
      <c r="S1784" t="s">
        <v>910</v>
      </c>
      <c r="T1784" t="s">
        <v>44</v>
      </c>
      <c r="U1784" t="s">
        <v>45</v>
      </c>
      <c r="AD1784" t="s">
        <v>94</v>
      </c>
      <c r="AE1784" t="s">
        <v>564</v>
      </c>
    </row>
    <row r="1785" spans="1:33" x14ac:dyDescent="0.3">
      <c r="A1785">
        <v>34335</v>
      </c>
      <c r="B1785" t="s">
        <v>9756</v>
      </c>
      <c r="C1785" t="str">
        <f>""</f>
        <v/>
      </c>
      <c r="D1785" t="str">
        <f>"52HK1KT00"</f>
        <v>52HK1KT00</v>
      </c>
      <c r="E1785" s="1">
        <v>42583</v>
      </c>
      <c r="F1785" t="s">
        <v>9757</v>
      </c>
      <c r="G1785" t="e">
        <f>INDEX(#REF!,MATCH(P1785,#REF!,0),1)</f>
        <v>#REF!</v>
      </c>
      <c r="H1785" t="s">
        <v>9758</v>
      </c>
      <c r="J1785" t="s">
        <v>9759</v>
      </c>
      <c r="K1785" t="s">
        <v>1603</v>
      </c>
      <c r="L1785" t="s">
        <v>9760</v>
      </c>
      <c r="M1785" t="s">
        <v>9761</v>
      </c>
      <c r="N1785">
        <v>34335</v>
      </c>
      <c r="O1785" t="s">
        <v>9757</v>
      </c>
      <c r="P1785">
        <v>34335</v>
      </c>
      <c r="Q1785" t="s">
        <v>9757</v>
      </c>
      <c r="R1785" t="s">
        <v>245</v>
      </c>
      <c r="S1785" t="s">
        <v>246</v>
      </c>
      <c r="T1785" t="s">
        <v>44</v>
      </c>
      <c r="U1785" t="s">
        <v>9762</v>
      </c>
    </row>
    <row r="1786" spans="1:33" x14ac:dyDescent="0.3">
      <c r="A1786">
        <v>34363</v>
      </c>
      <c r="B1786" t="s">
        <v>9763</v>
      </c>
      <c r="C1786" t="str">
        <f>"1100004806727"</f>
        <v>1100004806727</v>
      </c>
      <c r="D1786" t="str">
        <f>"E43QGKB00"</f>
        <v>E43QGKB00</v>
      </c>
      <c r="E1786" s="1">
        <v>42583</v>
      </c>
      <c r="F1786" t="s">
        <v>9764</v>
      </c>
      <c r="G1786" t="e">
        <f>INDEX(#REF!,MATCH(P1786,#REF!,0),1)</f>
        <v>#REF!</v>
      </c>
      <c r="H1786" t="s">
        <v>9765</v>
      </c>
      <c r="J1786" t="s">
        <v>2134</v>
      </c>
      <c r="K1786" t="s">
        <v>2004</v>
      </c>
      <c r="L1786" t="str">
        <f>"02135"</f>
        <v>02135</v>
      </c>
      <c r="M1786" t="s">
        <v>9766</v>
      </c>
      <c r="N1786">
        <v>2623351</v>
      </c>
      <c r="O1786" t="s">
        <v>2006</v>
      </c>
      <c r="P1786">
        <v>2623351</v>
      </c>
      <c r="Q1786" t="s">
        <v>2006</v>
      </c>
      <c r="R1786" t="s">
        <v>245</v>
      </c>
      <c r="S1786" t="s">
        <v>246</v>
      </c>
      <c r="T1786" t="s">
        <v>2277</v>
      </c>
      <c r="U1786" t="s">
        <v>2278</v>
      </c>
    </row>
    <row r="1787" spans="1:33" x14ac:dyDescent="0.3">
      <c r="A1787">
        <v>34375</v>
      </c>
      <c r="B1787" t="s">
        <v>9767</v>
      </c>
      <c r="C1787" t="str">
        <f>"1100002440718"</f>
        <v>1100002440718</v>
      </c>
      <c r="D1787" t="str">
        <f>""</f>
        <v/>
      </c>
      <c r="E1787" s="1">
        <v>35796</v>
      </c>
      <c r="F1787" t="s">
        <v>9768</v>
      </c>
      <c r="G1787" t="e">
        <f>INDEX(#REF!,MATCH(P1787,#REF!,0),1)</f>
        <v>#REF!</v>
      </c>
      <c r="H1787" t="s">
        <v>9769</v>
      </c>
      <c r="J1787" t="s">
        <v>9083</v>
      </c>
      <c r="K1787" t="s">
        <v>533</v>
      </c>
      <c r="L1787">
        <v>83706</v>
      </c>
      <c r="M1787" t="s">
        <v>9770</v>
      </c>
      <c r="N1787">
        <v>34376</v>
      </c>
      <c r="O1787" t="s">
        <v>9771</v>
      </c>
      <c r="P1787">
        <v>34376</v>
      </c>
      <c r="Q1787" t="s">
        <v>9771</v>
      </c>
      <c r="R1787" t="s">
        <v>9772</v>
      </c>
      <c r="S1787" t="s">
        <v>9773</v>
      </c>
      <c r="T1787" t="s">
        <v>2277</v>
      </c>
      <c r="U1787" t="s">
        <v>5622</v>
      </c>
      <c r="V1787" t="s">
        <v>2215</v>
      </c>
    </row>
    <row r="1788" spans="1:33" x14ac:dyDescent="0.3">
      <c r="A1788">
        <v>34376</v>
      </c>
      <c r="B1788" t="s">
        <v>9774</v>
      </c>
      <c r="C1788" t="str">
        <f>""</f>
        <v/>
      </c>
      <c r="D1788" t="str">
        <f>"22VHPAF00"</f>
        <v>22VHPAF00</v>
      </c>
      <c r="E1788" s="1">
        <v>35796</v>
      </c>
      <c r="F1788" t="s">
        <v>9771</v>
      </c>
      <c r="G1788" t="e">
        <f>INDEX(#REF!,MATCH(P1788,#REF!,0),1)</f>
        <v>#REF!</v>
      </c>
      <c r="H1788" t="s">
        <v>9775</v>
      </c>
      <c r="J1788" t="s">
        <v>9776</v>
      </c>
      <c r="K1788" t="s">
        <v>533</v>
      </c>
      <c r="L1788" t="s">
        <v>9777</v>
      </c>
      <c r="M1788" t="s">
        <v>9778</v>
      </c>
      <c r="N1788">
        <v>34376</v>
      </c>
      <c r="O1788" t="s">
        <v>9771</v>
      </c>
      <c r="P1788">
        <v>34376</v>
      </c>
      <c r="Q1788" t="s">
        <v>9771</v>
      </c>
      <c r="R1788" t="s">
        <v>9772</v>
      </c>
      <c r="S1788" t="s">
        <v>9773</v>
      </c>
      <c r="T1788" t="s">
        <v>2277</v>
      </c>
      <c r="U1788" t="s">
        <v>5622</v>
      </c>
      <c r="V1788" t="s">
        <v>2215</v>
      </c>
    </row>
    <row r="1789" spans="1:33" x14ac:dyDescent="0.3">
      <c r="A1789">
        <v>34377</v>
      </c>
      <c r="B1789" t="s">
        <v>9779</v>
      </c>
      <c r="C1789" t="str">
        <f>"1100004104007"</f>
        <v>1100004104007</v>
      </c>
      <c r="D1789" t="str">
        <f>"HLWE58P00"</f>
        <v>HLWE58P00</v>
      </c>
      <c r="E1789" s="1">
        <v>35796</v>
      </c>
      <c r="F1789" t="s">
        <v>9780</v>
      </c>
      <c r="G1789" t="e">
        <f>INDEX(#REF!,MATCH(P1789,#REF!,0),1)</f>
        <v>#REF!</v>
      </c>
      <c r="H1789" t="s">
        <v>9781</v>
      </c>
      <c r="J1789" t="s">
        <v>9782</v>
      </c>
      <c r="K1789" t="s">
        <v>533</v>
      </c>
      <c r="L1789" t="s">
        <v>9783</v>
      </c>
      <c r="M1789" t="s">
        <v>9784</v>
      </c>
      <c r="N1789">
        <v>34376</v>
      </c>
      <c r="O1789" t="s">
        <v>9771</v>
      </c>
      <c r="P1789">
        <v>34376</v>
      </c>
      <c r="Q1789" t="s">
        <v>9771</v>
      </c>
      <c r="R1789" t="s">
        <v>9772</v>
      </c>
      <c r="S1789" t="s">
        <v>9773</v>
      </c>
      <c r="T1789" t="s">
        <v>2277</v>
      </c>
      <c r="U1789" t="s">
        <v>5622</v>
      </c>
      <c r="V1789" t="s">
        <v>2215</v>
      </c>
    </row>
    <row r="1790" spans="1:33" x14ac:dyDescent="0.3">
      <c r="A1790">
        <v>34384</v>
      </c>
      <c r="B1790" t="s">
        <v>9785</v>
      </c>
      <c r="C1790" t="str">
        <f>"1100005458529"</f>
        <v>1100005458529</v>
      </c>
      <c r="D1790" t="str">
        <f>"28ND4FT00"</f>
        <v>28ND4FT00</v>
      </c>
      <c r="E1790" s="1">
        <v>35796</v>
      </c>
      <c r="F1790" t="s">
        <v>9786</v>
      </c>
      <c r="G1790" t="e">
        <f>INDEX(#REF!,MATCH(P1790,#REF!,0),1)</f>
        <v>#REF!</v>
      </c>
      <c r="H1790" t="s">
        <v>9787</v>
      </c>
      <c r="J1790" t="s">
        <v>9788</v>
      </c>
      <c r="K1790" t="s">
        <v>533</v>
      </c>
      <c r="L1790" t="s">
        <v>9789</v>
      </c>
      <c r="M1790" t="s">
        <v>9790</v>
      </c>
      <c r="N1790">
        <v>34376</v>
      </c>
      <c r="O1790" t="s">
        <v>9771</v>
      </c>
      <c r="P1790">
        <v>34376</v>
      </c>
      <c r="Q1790" t="s">
        <v>9771</v>
      </c>
      <c r="R1790" t="s">
        <v>9772</v>
      </c>
      <c r="S1790" t="s">
        <v>9773</v>
      </c>
      <c r="T1790" t="s">
        <v>2277</v>
      </c>
      <c r="U1790" t="s">
        <v>5622</v>
      </c>
      <c r="V1790" t="s">
        <v>2215</v>
      </c>
    </row>
    <row r="1791" spans="1:33" x14ac:dyDescent="0.3">
      <c r="A1791">
        <v>34385</v>
      </c>
      <c r="B1791" t="s">
        <v>9791</v>
      </c>
      <c r="C1791" t="str">
        <f>"1100003427633"</f>
        <v>1100003427633</v>
      </c>
      <c r="D1791" t="str">
        <f>"GGC1P0Y00"</f>
        <v>GGC1P0Y00</v>
      </c>
      <c r="E1791" s="1">
        <v>35796</v>
      </c>
      <c r="F1791" t="s">
        <v>9792</v>
      </c>
      <c r="G1791" t="e">
        <f>INDEX(#REF!,MATCH(P1791,#REF!,0),1)</f>
        <v>#REF!</v>
      </c>
      <c r="H1791" t="s">
        <v>9793</v>
      </c>
      <c r="J1791" t="s">
        <v>9083</v>
      </c>
      <c r="K1791" t="s">
        <v>533</v>
      </c>
      <c r="L1791" t="s">
        <v>9794</v>
      </c>
      <c r="M1791" t="s">
        <v>9795</v>
      </c>
      <c r="N1791">
        <v>34376</v>
      </c>
      <c r="O1791" t="s">
        <v>9771</v>
      </c>
      <c r="P1791">
        <v>34376</v>
      </c>
      <c r="Q1791" t="s">
        <v>9771</v>
      </c>
      <c r="R1791" t="s">
        <v>9772</v>
      </c>
      <c r="S1791" t="s">
        <v>9773</v>
      </c>
      <c r="T1791" t="s">
        <v>2277</v>
      </c>
      <c r="U1791" t="s">
        <v>5622</v>
      </c>
      <c r="V1791" t="s">
        <v>2215</v>
      </c>
    </row>
    <row r="1792" spans="1:33" x14ac:dyDescent="0.3">
      <c r="A1792">
        <v>34388</v>
      </c>
      <c r="B1792" t="s">
        <v>9796</v>
      </c>
      <c r="C1792" t="str">
        <f>"1100004520500"</f>
        <v>1100004520500</v>
      </c>
      <c r="D1792" t="str">
        <f>"CKQ1FVX00"</f>
        <v>CKQ1FVX00</v>
      </c>
      <c r="E1792" s="1">
        <v>35796</v>
      </c>
      <c r="F1792" t="s">
        <v>9797</v>
      </c>
      <c r="G1792" t="e">
        <f>INDEX(#REF!,MATCH(P1792,#REF!,0),1)</f>
        <v>#REF!</v>
      </c>
      <c r="H1792" t="s">
        <v>9798</v>
      </c>
      <c r="J1792" t="s">
        <v>9083</v>
      </c>
      <c r="K1792" t="s">
        <v>533</v>
      </c>
      <c r="L1792">
        <v>83717</v>
      </c>
      <c r="M1792" t="s">
        <v>9799</v>
      </c>
      <c r="N1792">
        <v>34376</v>
      </c>
      <c r="O1792" t="s">
        <v>9771</v>
      </c>
      <c r="P1792">
        <v>34376</v>
      </c>
      <c r="Q1792" t="s">
        <v>9771</v>
      </c>
      <c r="R1792" t="s">
        <v>9772</v>
      </c>
      <c r="S1792" t="s">
        <v>9773</v>
      </c>
      <c r="T1792" t="s">
        <v>2277</v>
      </c>
      <c r="U1792" t="s">
        <v>5622</v>
      </c>
      <c r="V1792" t="s">
        <v>2215</v>
      </c>
    </row>
    <row r="1793" spans="1:33" x14ac:dyDescent="0.3">
      <c r="A1793">
        <v>34392</v>
      </c>
      <c r="B1793" t="s">
        <v>9800</v>
      </c>
      <c r="C1793" t="str">
        <f>"1100005500051"</f>
        <v>1100005500051</v>
      </c>
      <c r="D1793" t="str">
        <f>"141690L00"</f>
        <v>141690L00</v>
      </c>
      <c r="E1793" s="1">
        <v>42583</v>
      </c>
      <c r="F1793" t="s">
        <v>9801</v>
      </c>
      <c r="G1793" t="e">
        <f>INDEX(#REF!,MATCH(P1793,#REF!,0),1)</f>
        <v>#REF!</v>
      </c>
      <c r="H1793" t="s">
        <v>9802</v>
      </c>
      <c r="J1793" t="s">
        <v>9320</v>
      </c>
      <c r="K1793" t="s">
        <v>2004</v>
      </c>
      <c r="L1793" t="str">
        <f>"02571-2013"</f>
        <v>02571-2013</v>
      </c>
      <c r="M1793" t="s">
        <v>9803</v>
      </c>
      <c r="N1793">
        <v>86164</v>
      </c>
      <c r="O1793" t="s">
        <v>3718</v>
      </c>
      <c r="P1793">
        <v>86164</v>
      </c>
      <c r="Q1793" t="s">
        <v>3718</v>
      </c>
      <c r="R1793" t="s">
        <v>1301</v>
      </c>
      <c r="S1793" t="s">
        <v>1302</v>
      </c>
      <c r="T1793" t="s">
        <v>44</v>
      </c>
      <c r="U1793" t="s">
        <v>45</v>
      </c>
    </row>
    <row r="1794" spans="1:33" x14ac:dyDescent="0.3">
      <c r="A1794">
        <v>34393</v>
      </c>
      <c r="B1794" t="s">
        <v>9804</v>
      </c>
      <c r="C1794" t="str">
        <f>""</f>
        <v/>
      </c>
      <c r="D1794" t="str">
        <f>"140380G00"</f>
        <v>140380G00</v>
      </c>
      <c r="E1794" s="1">
        <v>42583</v>
      </c>
      <c r="F1794" t="s">
        <v>9805</v>
      </c>
      <c r="G1794" t="e">
        <f>INDEX(#REF!,MATCH(P1794,#REF!,0),1)</f>
        <v>#REF!</v>
      </c>
      <c r="H1794" t="s">
        <v>9806</v>
      </c>
      <c r="J1794" t="s">
        <v>7502</v>
      </c>
      <c r="K1794" t="s">
        <v>2004</v>
      </c>
      <c r="L1794" t="str">
        <f>"02135"</f>
        <v>02135</v>
      </c>
      <c r="M1794" t="s">
        <v>9807</v>
      </c>
      <c r="N1794">
        <v>2623351</v>
      </c>
      <c r="O1794" t="s">
        <v>2006</v>
      </c>
      <c r="P1794">
        <v>2623351</v>
      </c>
      <c r="Q1794" t="s">
        <v>2006</v>
      </c>
      <c r="R1794" t="s">
        <v>245</v>
      </c>
      <c r="S1794" t="s">
        <v>246</v>
      </c>
      <c r="T1794" t="s">
        <v>2214</v>
      </c>
      <c r="U1794" t="s">
        <v>2214</v>
      </c>
    </row>
    <row r="1795" spans="1:33" x14ac:dyDescent="0.3">
      <c r="A1795">
        <v>34414</v>
      </c>
      <c r="B1795" t="s">
        <v>9808</v>
      </c>
      <c r="C1795" t="str">
        <f>"1100003040450"</f>
        <v>1100003040450</v>
      </c>
      <c r="D1795" t="str">
        <f>"361340H00"</f>
        <v>361340H00</v>
      </c>
      <c r="E1795" s="1">
        <v>35490</v>
      </c>
      <c r="F1795" t="s">
        <v>9809</v>
      </c>
      <c r="G1795" t="e">
        <f>INDEX(#REF!,MATCH(P1795,#REF!,0),1)</f>
        <v>#REF!</v>
      </c>
      <c r="H1795" t="s">
        <v>9810</v>
      </c>
      <c r="J1795" t="s">
        <v>6609</v>
      </c>
      <c r="K1795" t="s">
        <v>384</v>
      </c>
      <c r="L1795" t="s">
        <v>9811</v>
      </c>
      <c r="M1795" t="s">
        <v>9812</v>
      </c>
      <c r="N1795">
        <v>665</v>
      </c>
      <c r="O1795" t="s">
        <v>387</v>
      </c>
      <c r="P1795">
        <v>665</v>
      </c>
      <c r="Q1795" t="s">
        <v>387</v>
      </c>
      <c r="R1795" t="s">
        <v>388</v>
      </c>
      <c r="S1795" t="s">
        <v>389</v>
      </c>
      <c r="T1795" t="s">
        <v>44</v>
      </c>
      <c r="U1795" t="s">
        <v>45</v>
      </c>
      <c r="AA1795" t="s">
        <v>82</v>
      </c>
      <c r="AE1795" t="s">
        <v>83</v>
      </c>
    </row>
    <row r="1796" spans="1:33" x14ac:dyDescent="0.3">
      <c r="A1796">
        <v>34415</v>
      </c>
      <c r="B1796" t="s">
        <v>9813</v>
      </c>
      <c r="C1796" t="str">
        <f>""</f>
        <v/>
      </c>
      <c r="D1796" t="str">
        <f>"442190K00"</f>
        <v>442190K00</v>
      </c>
      <c r="E1796" s="1">
        <v>42248</v>
      </c>
      <c r="F1796" t="s">
        <v>9814</v>
      </c>
      <c r="G1796" t="e">
        <f>INDEX(#REF!,MATCH(P1796,#REF!,0),1)</f>
        <v>#REF!</v>
      </c>
      <c r="H1796" t="s">
        <v>9815</v>
      </c>
      <c r="J1796" t="s">
        <v>9816</v>
      </c>
      <c r="K1796" t="s">
        <v>261</v>
      </c>
      <c r="L1796" t="s">
        <v>9817</v>
      </c>
      <c r="M1796" t="s">
        <v>9818</v>
      </c>
      <c r="N1796">
        <v>3548</v>
      </c>
      <c r="O1796" t="s">
        <v>2222</v>
      </c>
      <c r="P1796">
        <v>3548</v>
      </c>
      <c r="Q1796" t="s">
        <v>2222</v>
      </c>
      <c r="R1796" t="s">
        <v>335</v>
      </c>
      <c r="S1796" t="s">
        <v>336</v>
      </c>
      <c r="T1796" t="s">
        <v>44</v>
      </c>
      <c r="U1796" t="s">
        <v>45</v>
      </c>
      <c r="Y1796" t="s">
        <v>46</v>
      </c>
      <c r="Z1796" s="1">
        <v>42248</v>
      </c>
      <c r="AE1796" t="s">
        <v>47</v>
      </c>
      <c r="AG1796" t="s">
        <v>48</v>
      </c>
    </row>
    <row r="1797" spans="1:33" x14ac:dyDescent="0.3">
      <c r="A1797">
        <v>34416</v>
      </c>
      <c r="B1797" t="s">
        <v>9819</v>
      </c>
      <c r="C1797" t="str">
        <f>"1100005112292"</f>
        <v>1100005112292</v>
      </c>
      <c r="D1797" t="str">
        <f>"231180F00"</f>
        <v>231180F00</v>
      </c>
      <c r="E1797" s="1">
        <v>41913</v>
      </c>
      <c r="F1797" t="s">
        <v>9820</v>
      </c>
      <c r="G1797" t="e">
        <f>INDEX(#REF!,MATCH(P1797,#REF!,0),1)</f>
        <v>#REF!</v>
      </c>
      <c r="H1797" t="s">
        <v>9821</v>
      </c>
      <c r="J1797" t="s">
        <v>7899</v>
      </c>
      <c r="K1797" t="s">
        <v>65</v>
      </c>
      <c r="L1797">
        <v>19047</v>
      </c>
      <c r="M1797" t="s">
        <v>9822</v>
      </c>
      <c r="N1797">
        <v>767149</v>
      </c>
      <c r="O1797" t="s">
        <v>1953</v>
      </c>
      <c r="P1797">
        <v>4330</v>
      </c>
      <c r="Q1797" t="s">
        <v>1954</v>
      </c>
      <c r="R1797" t="s">
        <v>266</v>
      </c>
      <c r="S1797" t="s">
        <v>267</v>
      </c>
      <c r="T1797" t="s">
        <v>44</v>
      </c>
      <c r="U1797" t="s">
        <v>45</v>
      </c>
      <c r="AA1797" t="s">
        <v>105</v>
      </c>
      <c r="AE1797" t="s">
        <v>72</v>
      </c>
      <c r="AG1797" t="s">
        <v>48</v>
      </c>
    </row>
    <row r="1798" spans="1:33" x14ac:dyDescent="0.3">
      <c r="A1798">
        <v>34421</v>
      </c>
      <c r="B1798" t="s">
        <v>9823</v>
      </c>
      <c r="C1798" t="str">
        <f>"1100003841385"</f>
        <v>1100003841385</v>
      </c>
      <c r="D1798" t="str">
        <f>"221370F00"</f>
        <v>221370F00</v>
      </c>
      <c r="E1798" s="1">
        <v>42583</v>
      </c>
      <c r="F1798" t="s">
        <v>9824</v>
      </c>
      <c r="G1798" t="e">
        <f>INDEX(#REF!,MATCH(P1798,#REF!,0),1)</f>
        <v>#REF!</v>
      </c>
      <c r="H1798" t="s">
        <v>9825</v>
      </c>
      <c r="J1798" t="s">
        <v>9826</v>
      </c>
      <c r="K1798" t="s">
        <v>251</v>
      </c>
      <c r="L1798" t="str">
        <f>"08046"</f>
        <v>08046</v>
      </c>
      <c r="M1798" t="s">
        <v>9827</v>
      </c>
      <c r="N1798">
        <v>32686</v>
      </c>
      <c r="O1798" t="s">
        <v>4367</v>
      </c>
      <c r="P1798">
        <v>32686</v>
      </c>
      <c r="Q1798" t="s">
        <v>4367</v>
      </c>
      <c r="R1798" t="s">
        <v>254</v>
      </c>
      <c r="S1798" t="s">
        <v>255</v>
      </c>
      <c r="T1798" t="s">
        <v>44</v>
      </c>
      <c r="U1798" t="s">
        <v>45</v>
      </c>
    </row>
    <row r="1799" spans="1:33" x14ac:dyDescent="0.3">
      <c r="A1799">
        <v>34422</v>
      </c>
      <c r="B1799" t="s">
        <v>9828</v>
      </c>
      <c r="C1799" t="str">
        <f>""</f>
        <v/>
      </c>
      <c r="D1799" t="str">
        <f>"670450M00"</f>
        <v>670450M00</v>
      </c>
      <c r="E1799" s="1">
        <v>35490</v>
      </c>
      <c r="F1799" t="s">
        <v>9829</v>
      </c>
      <c r="G1799" t="e">
        <f>INDEX(#REF!,MATCH(P1799,#REF!,0),1)</f>
        <v>#REF!</v>
      </c>
      <c r="H1799" t="s">
        <v>9830</v>
      </c>
      <c r="J1799" t="s">
        <v>9831</v>
      </c>
      <c r="K1799" t="s">
        <v>835</v>
      </c>
      <c r="L1799" t="s">
        <v>9832</v>
      </c>
      <c r="M1799" t="s">
        <v>9833</v>
      </c>
      <c r="N1799">
        <v>2599</v>
      </c>
      <c r="O1799" t="s">
        <v>1870</v>
      </c>
      <c r="P1799">
        <v>871</v>
      </c>
      <c r="Q1799" t="s">
        <v>1871</v>
      </c>
      <c r="R1799" t="s">
        <v>649</v>
      </c>
      <c r="S1799" t="s">
        <v>650</v>
      </c>
      <c r="T1799" t="s">
        <v>44</v>
      </c>
      <c r="U1799" t="s">
        <v>45</v>
      </c>
      <c r="AA1799" t="s">
        <v>327</v>
      </c>
      <c r="AD1799" t="s">
        <v>94</v>
      </c>
      <c r="AE1799" t="s">
        <v>1522</v>
      </c>
    </row>
    <row r="1800" spans="1:33" x14ac:dyDescent="0.3">
      <c r="A1800">
        <v>34423</v>
      </c>
      <c r="B1800" t="s">
        <v>9834</v>
      </c>
      <c r="C1800" t="str">
        <f>"1100003062537"</f>
        <v>1100003062537</v>
      </c>
      <c r="D1800" t="str">
        <f>"06A98DA00"</f>
        <v>06A98DA00</v>
      </c>
      <c r="E1800" s="1">
        <v>35490</v>
      </c>
      <c r="F1800" t="s">
        <v>9835</v>
      </c>
      <c r="G1800" t="e">
        <f>INDEX(#REF!,MATCH(P1800,#REF!,0),1)</f>
        <v>#REF!</v>
      </c>
      <c r="H1800" t="s">
        <v>9836</v>
      </c>
      <c r="J1800" t="s">
        <v>430</v>
      </c>
      <c r="K1800" t="s">
        <v>139</v>
      </c>
      <c r="L1800" t="s">
        <v>8367</v>
      </c>
      <c r="M1800" t="s">
        <v>9837</v>
      </c>
      <c r="N1800">
        <v>7585</v>
      </c>
      <c r="O1800" t="s">
        <v>433</v>
      </c>
      <c r="P1800">
        <v>7585</v>
      </c>
      <c r="Q1800" t="s">
        <v>433</v>
      </c>
      <c r="R1800" t="s">
        <v>4838</v>
      </c>
      <c r="S1800" t="s">
        <v>4839</v>
      </c>
      <c r="T1800" t="s">
        <v>117</v>
      </c>
      <c r="U1800" t="s">
        <v>2479</v>
      </c>
      <c r="V1800" t="s">
        <v>1824</v>
      </c>
      <c r="AA1800" t="s">
        <v>119</v>
      </c>
      <c r="AE1800" t="s">
        <v>120</v>
      </c>
    </row>
    <row r="1801" spans="1:33" x14ac:dyDescent="0.3">
      <c r="A1801">
        <v>34439</v>
      </c>
      <c r="B1801" t="s">
        <v>9838</v>
      </c>
      <c r="C1801" t="str">
        <f>"1100004500250"</f>
        <v>1100004500250</v>
      </c>
      <c r="D1801" t="str">
        <f>"WAOX3SMF7"</f>
        <v>WAOX3SMF7</v>
      </c>
      <c r="E1801" s="1">
        <v>36770</v>
      </c>
      <c r="F1801" t="s">
        <v>9839</v>
      </c>
      <c r="G1801" t="e">
        <f>INDEX(#REF!,MATCH(P1801,#REF!,0),1)</f>
        <v>#REF!</v>
      </c>
      <c r="H1801" t="s">
        <v>3215</v>
      </c>
      <c r="J1801" t="s">
        <v>2298</v>
      </c>
      <c r="K1801" t="s">
        <v>283</v>
      </c>
      <c r="L1801" t="s">
        <v>8550</v>
      </c>
      <c r="M1801" t="s">
        <v>9840</v>
      </c>
      <c r="N1801">
        <v>75245</v>
      </c>
      <c r="O1801" t="s">
        <v>1020</v>
      </c>
      <c r="P1801">
        <v>1141</v>
      </c>
      <c r="Q1801" t="s">
        <v>3214</v>
      </c>
      <c r="R1801" t="s">
        <v>1821</v>
      </c>
      <c r="S1801" t="s">
        <v>1822</v>
      </c>
      <c r="T1801" t="s">
        <v>117</v>
      </c>
      <c r="U1801" t="s">
        <v>4108</v>
      </c>
      <c r="V1801" t="s">
        <v>1824</v>
      </c>
      <c r="AA1801" t="s">
        <v>119</v>
      </c>
      <c r="AE1801" t="s">
        <v>120</v>
      </c>
      <c r="AG1801" t="s">
        <v>48</v>
      </c>
    </row>
    <row r="1802" spans="1:33" x14ac:dyDescent="0.3">
      <c r="A1802">
        <v>34523</v>
      </c>
      <c r="B1802" t="s">
        <v>9841</v>
      </c>
      <c r="C1802" t="str">
        <f>"1100004470324"</f>
        <v>1100004470324</v>
      </c>
      <c r="D1802" t="str">
        <f>"810630I00"</f>
        <v>810630I00</v>
      </c>
      <c r="E1802" s="1">
        <v>35521</v>
      </c>
      <c r="F1802" t="s">
        <v>9842</v>
      </c>
      <c r="G1802" t="e">
        <f>INDEX(#REF!,MATCH(P1802,#REF!,0),1)</f>
        <v>#REF!</v>
      </c>
      <c r="H1802" t="s">
        <v>9843</v>
      </c>
      <c r="J1802" t="s">
        <v>9844</v>
      </c>
      <c r="K1802" t="s">
        <v>2088</v>
      </c>
      <c r="L1802" t="s">
        <v>9845</v>
      </c>
      <c r="M1802" t="s">
        <v>9846</v>
      </c>
      <c r="N1802">
        <v>871561</v>
      </c>
      <c r="O1802" t="s">
        <v>194</v>
      </c>
      <c r="P1802">
        <v>6179343</v>
      </c>
      <c r="Q1802" t="s">
        <v>1137</v>
      </c>
      <c r="R1802" t="s">
        <v>196</v>
      </c>
      <c r="S1802" t="s">
        <v>197</v>
      </c>
      <c r="T1802" t="s">
        <v>44</v>
      </c>
      <c r="U1802" t="s">
        <v>45</v>
      </c>
      <c r="AA1802" t="s">
        <v>119</v>
      </c>
      <c r="AE1802" t="s">
        <v>144</v>
      </c>
      <c r="AG1802" t="s">
        <v>48</v>
      </c>
    </row>
    <row r="1803" spans="1:33" x14ac:dyDescent="0.3">
      <c r="A1803">
        <v>34527</v>
      </c>
      <c r="B1803" t="s">
        <v>9847</v>
      </c>
      <c r="C1803" t="str">
        <f>"1100004166081"</f>
        <v>1100004166081</v>
      </c>
      <c r="D1803" t="str">
        <f>"230520C00"</f>
        <v>230520C00</v>
      </c>
      <c r="E1803" s="1">
        <v>39343</v>
      </c>
      <c r="F1803" t="s">
        <v>9848</v>
      </c>
      <c r="G1803" t="e">
        <f>INDEX(#REF!,MATCH(P1803,#REF!,0),1)</f>
        <v>#REF!</v>
      </c>
      <c r="H1803" t="s">
        <v>9849</v>
      </c>
      <c r="J1803" t="s">
        <v>9850</v>
      </c>
      <c r="K1803" t="s">
        <v>65</v>
      </c>
      <c r="L1803" t="s">
        <v>9851</v>
      </c>
      <c r="M1803" t="s">
        <v>9852</v>
      </c>
      <c r="N1803">
        <v>1077847</v>
      </c>
      <c r="O1803" t="s">
        <v>3597</v>
      </c>
      <c r="P1803">
        <v>1367</v>
      </c>
      <c r="Q1803" t="s">
        <v>3592</v>
      </c>
      <c r="R1803" t="s">
        <v>562</v>
      </c>
      <c r="S1803" t="s">
        <v>563</v>
      </c>
      <c r="T1803" t="s">
        <v>44</v>
      </c>
      <c r="U1803" t="s">
        <v>45</v>
      </c>
      <c r="AA1803" t="s">
        <v>119</v>
      </c>
      <c r="AE1803" t="s">
        <v>564</v>
      </c>
    </row>
    <row r="1804" spans="1:33" x14ac:dyDescent="0.3">
      <c r="A1804">
        <v>34528</v>
      </c>
      <c r="B1804" t="s">
        <v>9853</v>
      </c>
      <c r="C1804" t="str">
        <f>""</f>
        <v/>
      </c>
      <c r="D1804" t="str">
        <f>""</f>
        <v/>
      </c>
      <c r="E1804" s="1">
        <v>35521</v>
      </c>
      <c r="F1804" t="s">
        <v>9854</v>
      </c>
      <c r="G1804" t="e">
        <f>INDEX(#REF!,MATCH(P1804,#REF!,0),1)</f>
        <v>#REF!</v>
      </c>
      <c r="H1804" t="s">
        <v>9855</v>
      </c>
      <c r="J1804" t="s">
        <v>7985</v>
      </c>
      <c r="K1804" t="s">
        <v>1109</v>
      </c>
      <c r="L1804" t="str">
        <f>"06776-2993"</f>
        <v>06776-2993</v>
      </c>
      <c r="M1804" t="s">
        <v>9856</v>
      </c>
      <c r="N1804">
        <v>3500897</v>
      </c>
      <c r="O1804" t="s">
        <v>1986</v>
      </c>
      <c r="P1804">
        <v>2378</v>
      </c>
      <c r="Q1804" t="s">
        <v>1987</v>
      </c>
      <c r="R1804" t="s">
        <v>277</v>
      </c>
      <c r="S1804" t="s">
        <v>278</v>
      </c>
      <c r="T1804" t="s">
        <v>44</v>
      </c>
      <c r="U1804" t="s">
        <v>45</v>
      </c>
      <c r="AA1804" t="s">
        <v>58</v>
      </c>
      <c r="AE1804" t="s">
        <v>60</v>
      </c>
    </row>
    <row r="1805" spans="1:33" x14ac:dyDescent="0.3">
      <c r="A1805">
        <v>34532</v>
      </c>
      <c r="B1805" t="s">
        <v>9857</v>
      </c>
      <c r="C1805" t="str">
        <f>""</f>
        <v/>
      </c>
      <c r="D1805" t="str">
        <f>"GCCJ2H600"</f>
        <v>GCCJ2H600</v>
      </c>
      <c r="E1805" s="1">
        <v>35521</v>
      </c>
      <c r="F1805" t="s">
        <v>9858</v>
      </c>
      <c r="G1805" t="e">
        <f>INDEX(#REF!,MATCH(P1805,#REF!,0),1)</f>
        <v>#REF!</v>
      </c>
      <c r="H1805" t="s">
        <v>9859</v>
      </c>
      <c r="J1805" t="s">
        <v>430</v>
      </c>
      <c r="K1805" t="s">
        <v>139</v>
      </c>
      <c r="L1805">
        <v>37909</v>
      </c>
      <c r="M1805" t="s">
        <v>9860</v>
      </c>
      <c r="N1805">
        <v>7585</v>
      </c>
      <c r="O1805" t="s">
        <v>433</v>
      </c>
      <c r="P1805">
        <v>3505</v>
      </c>
      <c r="Q1805" t="s">
        <v>6770</v>
      </c>
      <c r="R1805" t="s">
        <v>4838</v>
      </c>
      <c r="S1805" t="s">
        <v>4839</v>
      </c>
      <c r="T1805" t="s">
        <v>3141</v>
      </c>
      <c r="U1805" t="s">
        <v>3738</v>
      </c>
      <c r="V1805" t="s">
        <v>1824</v>
      </c>
      <c r="AA1805" t="s">
        <v>119</v>
      </c>
      <c r="AE1805" t="s">
        <v>120</v>
      </c>
    </row>
    <row r="1806" spans="1:33" x14ac:dyDescent="0.3">
      <c r="A1806">
        <v>34544</v>
      </c>
      <c r="B1806" t="s">
        <v>9861</v>
      </c>
      <c r="C1806" t="str">
        <f>""</f>
        <v/>
      </c>
      <c r="D1806" t="str">
        <f>"720490M00"</f>
        <v>720490M00</v>
      </c>
      <c r="E1806" s="1">
        <v>39205</v>
      </c>
      <c r="F1806" t="s">
        <v>9862</v>
      </c>
      <c r="G1806" t="e">
        <f>INDEX(#REF!,MATCH(P1806,#REF!,0),1)</f>
        <v>#REF!</v>
      </c>
      <c r="H1806" t="s">
        <v>9863</v>
      </c>
      <c r="J1806" t="s">
        <v>9864</v>
      </c>
      <c r="K1806" t="s">
        <v>353</v>
      </c>
      <c r="L1806">
        <v>71334</v>
      </c>
      <c r="M1806" t="s">
        <v>9865</v>
      </c>
      <c r="N1806">
        <v>34544</v>
      </c>
      <c r="O1806" t="s">
        <v>9862</v>
      </c>
      <c r="P1806">
        <v>34544</v>
      </c>
      <c r="Q1806" t="s">
        <v>9862</v>
      </c>
      <c r="R1806" t="s">
        <v>356</v>
      </c>
      <c r="S1806" t="s">
        <v>357</v>
      </c>
      <c r="T1806" t="s">
        <v>44</v>
      </c>
      <c r="U1806" t="s">
        <v>45</v>
      </c>
    </row>
    <row r="1807" spans="1:33" x14ac:dyDescent="0.3">
      <c r="A1807">
        <v>34546</v>
      </c>
      <c r="B1807" t="s">
        <v>9866</v>
      </c>
      <c r="C1807" t="str">
        <f>""</f>
        <v/>
      </c>
      <c r="D1807" t="str">
        <f>"720270I00"</f>
        <v>720270I00</v>
      </c>
      <c r="E1807" s="1">
        <v>44501</v>
      </c>
      <c r="F1807" t="s">
        <v>9867</v>
      </c>
      <c r="G1807" t="e">
        <f>INDEX(#REF!,MATCH(P1807,#REF!,0),1)</f>
        <v>#REF!</v>
      </c>
      <c r="H1807" t="s">
        <v>9868</v>
      </c>
      <c r="J1807" t="s">
        <v>1418</v>
      </c>
      <c r="K1807" t="s">
        <v>353</v>
      </c>
      <c r="L1807" t="s">
        <v>9869</v>
      </c>
      <c r="M1807" t="s">
        <v>9870</v>
      </c>
      <c r="N1807">
        <v>34546</v>
      </c>
      <c r="O1807" t="s">
        <v>9867</v>
      </c>
      <c r="P1807">
        <v>34546</v>
      </c>
      <c r="Q1807" t="s">
        <v>9867</v>
      </c>
      <c r="R1807" t="s">
        <v>356</v>
      </c>
      <c r="S1807" t="s">
        <v>357</v>
      </c>
      <c r="T1807" t="s">
        <v>44</v>
      </c>
      <c r="U1807" t="s">
        <v>45</v>
      </c>
      <c r="AC1807" t="s">
        <v>1100</v>
      </c>
    </row>
    <row r="1808" spans="1:33" x14ac:dyDescent="0.3">
      <c r="A1808">
        <v>34550</v>
      </c>
      <c r="B1808" t="s">
        <v>9871</v>
      </c>
      <c r="C1808" t="str">
        <f>"1100004773609"</f>
        <v>1100004773609</v>
      </c>
      <c r="D1808" t="str">
        <f>"720200B00"</f>
        <v>720200B00</v>
      </c>
      <c r="E1808" s="1">
        <v>44470</v>
      </c>
      <c r="F1808" t="s">
        <v>9872</v>
      </c>
      <c r="G1808" t="e">
        <f>INDEX(#REF!,MATCH(P1808,#REF!,0),1)</f>
        <v>#REF!</v>
      </c>
      <c r="H1808" t="s">
        <v>9873</v>
      </c>
      <c r="J1808" t="s">
        <v>9874</v>
      </c>
      <c r="K1808" t="s">
        <v>353</v>
      </c>
      <c r="L1808">
        <v>71222</v>
      </c>
      <c r="M1808" t="s">
        <v>9875</v>
      </c>
      <c r="N1808">
        <v>34550</v>
      </c>
      <c r="O1808" t="s">
        <v>9872</v>
      </c>
      <c r="P1808">
        <v>34550</v>
      </c>
      <c r="Q1808" t="s">
        <v>9872</v>
      </c>
      <c r="R1808" t="s">
        <v>356</v>
      </c>
      <c r="S1808" t="s">
        <v>357</v>
      </c>
      <c r="T1808" t="s">
        <v>44</v>
      </c>
      <c r="U1808" t="s">
        <v>45</v>
      </c>
      <c r="AA1808" t="s">
        <v>211</v>
      </c>
      <c r="AC1808" t="s">
        <v>1100</v>
      </c>
    </row>
    <row r="1809" spans="1:33" x14ac:dyDescent="0.3">
      <c r="A1809">
        <v>34554</v>
      </c>
      <c r="B1809" t="s">
        <v>9876</v>
      </c>
      <c r="C1809" t="str">
        <f>"1100005008342"</f>
        <v>1100005008342</v>
      </c>
      <c r="D1809" t="str">
        <f>"720720I00"</f>
        <v>720720I00</v>
      </c>
      <c r="E1809" s="1">
        <v>44652</v>
      </c>
      <c r="F1809" t="s">
        <v>9877</v>
      </c>
      <c r="G1809" t="e">
        <f>INDEX(#REF!,MATCH(P1809,#REF!,0),1)</f>
        <v>#REF!</v>
      </c>
      <c r="H1809" t="s">
        <v>9878</v>
      </c>
      <c r="J1809" t="s">
        <v>9879</v>
      </c>
      <c r="K1809" t="s">
        <v>353</v>
      </c>
      <c r="L1809" t="s">
        <v>9880</v>
      </c>
      <c r="M1809" t="s">
        <v>9881</v>
      </c>
      <c r="N1809">
        <v>2623348</v>
      </c>
      <c r="O1809" t="s">
        <v>773</v>
      </c>
      <c r="P1809">
        <v>2623348</v>
      </c>
      <c r="Q1809" t="s">
        <v>773</v>
      </c>
      <c r="R1809" t="s">
        <v>171</v>
      </c>
      <c r="S1809" t="s">
        <v>172</v>
      </c>
      <c r="T1809" t="s">
        <v>44</v>
      </c>
      <c r="U1809" t="s">
        <v>45</v>
      </c>
      <c r="AA1809" t="s">
        <v>93</v>
      </c>
      <c r="AE1809" t="s">
        <v>220</v>
      </c>
      <c r="AG1809" t="s">
        <v>48</v>
      </c>
    </row>
    <row r="1810" spans="1:33" x14ac:dyDescent="0.3">
      <c r="A1810">
        <v>34579</v>
      </c>
      <c r="B1810" t="s">
        <v>9882</v>
      </c>
      <c r="C1810" t="str">
        <f>"1100002286217"</f>
        <v>1100002286217</v>
      </c>
      <c r="D1810" t="str">
        <f>"B7SUJD000"</f>
        <v>B7SUJD000</v>
      </c>
      <c r="E1810" s="1">
        <v>35521</v>
      </c>
      <c r="F1810" t="s">
        <v>9883</v>
      </c>
      <c r="G1810" t="e">
        <f>INDEX(#REF!,MATCH(P1810,#REF!,0),1)</f>
        <v>#REF!</v>
      </c>
      <c r="H1810" t="s">
        <v>9884</v>
      </c>
      <c r="J1810" t="s">
        <v>2120</v>
      </c>
      <c r="K1810" t="s">
        <v>342</v>
      </c>
      <c r="L1810">
        <v>62002</v>
      </c>
      <c r="M1810" t="s">
        <v>3571</v>
      </c>
      <c r="N1810">
        <v>6104582</v>
      </c>
      <c r="O1810" t="s">
        <v>180</v>
      </c>
      <c r="P1810">
        <v>1351</v>
      </c>
      <c r="Q1810" t="s">
        <v>181</v>
      </c>
      <c r="R1810" t="s">
        <v>3152</v>
      </c>
      <c r="S1810" t="s">
        <v>3153</v>
      </c>
      <c r="T1810" t="s">
        <v>2277</v>
      </c>
      <c r="U1810" t="s">
        <v>2278</v>
      </c>
      <c r="V1810" t="s">
        <v>1824</v>
      </c>
      <c r="AA1810" t="s">
        <v>185</v>
      </c>
      <c r="AE1810" t="s">
        <v>186</v>
      </c>
    </row>
    <row r="1811" spans="1:33" x14ac:dyDescent="0.3">
      <c r="A1811">
        <v>34583</v>
      </c>
      <c r="B1811" t="s">
        <v>9885</v>
      </c>
      <c r="C1811" t="str">
        <f>"1100003225703"</f>
        <v>1100003225703</v>
      </c>
      <c r="D1811" t="str">
        <f>"L396QQJ00"</f>
        <v>L396QQJ00</v>
      </c>
      <c r="E1811" s="1">
        <v>35521</v>
      </c>
      <c r="F1811" t="s">
        <v>9886</v>
      </c>
      <c r="G1811" t="e">
        <f>INDEX(#REF!,MATCH(P1811,#REF!,0),1)</f>
        <v>#REF!</v>
      </c>
      <c r="H1811" t="s">
        <v>9887</v>
      </c>
      <c r="J1811" t="s">
        <v>9888</v>
      </c>
      <c r="K1811" t="s">
        <v>342</v>
      </c>
      <c r="L1811" t="s">
        <v>9889</v>
      </c>
      <c r="M1811" t="s">
        <v>9890</v>
      </c>
      <c r="N1811">
        <v>6104582</v>
      </c>
      <c r="O1811" t="s">
        <v>180</v>
      </c>
      <c r="P1811">
        <v>1351</v>
      </c>
      <c r="Q1811" t="s">
        <v>181</v>
      </c>
      <c r="R1811" t="s">
        <v>3152</v>
      </c>
      <c r="S1811" t="s">
        <v>3153</v>
      </c>
      <c r="T1811" t="s">
        <v>2277</v>
      </c>
      <c r="U1811" t="s">
        <v>2278</v>
      </c>
      <c r="V1811" t="s">
        <v>1824</v>
      </c>
      <c r="AA1811" t="s">
        <v>185</v>
      </c>
      <c r="AE1811" t="s">
        <v>186</v>
      </c>
    </row>
    <row r="1812" spans="1:33" x14ac:dyDescent="0.3">
      <c r="A1812">
        <v>34589</v>
      </c>
      <c r="B1812" t="s">
        <v>9891</v>
      </c>
      <c r="C1812" t="str">
        <f>"1100003208508"</f>
        <v>1100003208508</v>
      </c>
      <c r="D1812" t="str">
        <f>"7HKLF7F00"</f>
        <v>7HKLF7F00</v>
      </c>
      <c r="E1812" s="1">
        <v>35521</v>
      </c>
      <c r="F1812" t="s">
        <v>9892</v>
      </c>
      <c r="G1812" t="e">
        <f>INDEX(#REF!,MATCH(P1812,#REF!,0),1)</f>
        <v>#REF!</v>
      </c>
      <c r="H1812" t="s">
        <v>9893</v>
      </c>
      <c r="J1812" t="s">
        <v>176</v>
      </c>
      <c r="K1812" t="s">
        <v>177</v>
      </c>
      <c r="L1812" t="s">
        <v>9894</v>
      </c>
      <c r="M1812" t="s">
        <v>9895</v>
      </c>
      <c r="N1812">
        <v>6104582</v>
      </c>
      <c r="O1812" t="s">
        <v>180</v>
      </c>
      <c r="P1812">
        <v>1351</v>
      </c>
      <c r="Q1812" t="s">
        <v>181</v>
      </c>
      <c r="R1812" t="s">
        <v>3152</v>
      </c>
      <c r="S1812" t="s">
        <v>3153</v>
      </c>
      <c r="T1812" t="s">
        <v>2277</v>
      </c>
      <c r="U1812" t="s">
        <v>2278</v>
      </c>
      <c r="V1812" t="s">
        <v>1824</v>
      </c>
      <c r="AA1812" t="s">
        <v>185</v>
      </c>
      <c r="AE1812" t="s">
        <v>186</v>
      </c>
    </row>
    <row r="1813" spans="1:33" x14ac:dyDescent="0.3">
      <c r="A1813">
        <v>34594</v>
      </c>
      <c r="B1813" t="s">
        <v>9896</v>
      </c>
      <c r="C1813" t="str">
        <f>""</f>
        <v/>
      </c>
      <c r="D1813" t="str">
        <f>""</f>
        <v/>
      </c>
      <c r="E1813" s="1">
        <v>34425</v>
      </c>
      <c r="F1813" t="s">
        <v>9897</v>
      </c>
      <c r="G1813" t="e">
        <f>INDEX(#REF!,MATCH(P1813,#REF!,0),1)</f>
        <v>#REF!</v>
      </c>
      <c r="H1813" t="s">
        <v>9898</v>
      </c>
      <c r="J1813" t="s">
        <v>7827</v>
      </c>
      <c r="K1813" t="s">
        <v>65</v>
      </c>
      <c r="L1813" t="s">
        <v>9899</v>
      </c>
      <c r="M1813" t="s">
        <v>9900</v>
      </c>
      <c r="N1813">
        <v>2623550</v>
      </c>
      <c r="O1813" t="s">
        <v>1767</v>
      </c>
      <c r="P1813">
        <v>1202</v>
      </c>
      <c r="Q1813" t="s">
        <v>1768</v>
      </c>
      <c r="R1813" t="s">
        <v>5064</v>
      </c>
      <c r="S1813" t="s">
        <v>5065</v>
      </c>
      <c r="T1813" t="s">
        <v>2277</v>
      </c>
      <c r="U1813" t="s">
        <v>2278</v>
      </c>
      <c r="V1813" t="s">
        <v>1824</v>
      </c>
      <c r="AE1813" t="s">
        <v>564</v>
      </c>
    </row>
    <row r="1814" spans="1:33" x14ac:dyDescent="0.3">
      <c r="A1814">
        <v>34603</v>
      </c>
      <c r="B1814" t="s">
        <v>9901</v>
      </c>
      <c r="C1814" t="str">
        <f>""</f>
        <v/>
      </c>
      <c r="D1814" t="str">
        <f>"DLPBWVP00"</f>
        <v>DLPBWVP00</v>
      </c>
      <c r="E1814" s="1">
        <v>35521</v>
      </c>
      <c r="F1814" t="s">
        <v>9902</v>
      </c>
      <c r="G1814" t="e">
        <f>INDEX(#REF!,MATCH(P1814,#REF!,0),1)</f>
        <v>#REF!</v>
      </c>
      <c r="H1814" t="s">
        <v>9898</v>
      </c>
      <c r="I1814" t="s">
        <v>9903</v>
      </c>
      <c r="J1814" t="s">
        <v>7827</v>
      </c>
      <c r="K1814" t="s">
        <v>65</v>
      </c>
      <c r="L1814" t="s">
        <v>9899</v>
      </c>
      <c r="M1814" t="s">
        <v>9904</v>
      </c>
      <c r="N1814">
        <v>2623550</v>
      </c>
      <c r="O1814" t="s">
        <v>1767</v>
      </c>
      <c r="P1814">
        <v>1202</v>
      </c>
      <c r="Q1814" t="s">
        <v>1768</v>
      </c>
      <c r="R1814" t="s">
        <v>5064</v>
      </c>
      <c r="S1814" t="s">
        <v>5065</v>
      </c>
      <c r="T1814" t="s">
        <v>2277</v>
      </c>
      <c r="U1814" t="s">
        <v>5622</v>
      </c>
      <c r="V1814" t="s">
        <v>1824</v>
      </c>
      <c r="AE1814" t="s">
        <v>564</v>
      </c>
    </row>
    <row r="1815" spans="1:33" x14ac:dyDescent="0.3">
      <c r="A1815">
        <v>34605</v>
      </c>
      <c r="B1815" t="s">
        <v>9905</v>
      </c>
      <c r="C1815" t="str">
        <f>""</f>
        <v/>
      </c>
      <c r="D1815" t="str">
        <f>""</f>
        <v/>
      </c>
      <c r="E1815" s="1">
        <v>35521</v>
      </c>
      <c r="F1815" t="s">
        <v>9906</v>
      </c>
      <c r="G1815" t="e">
        <f>INDEX(#REF!,MATCH(P1815,#REF!,0),1)</f>
        <v>#REF!</v>
      </c>
      <c r="H1815" t="s">
        <v>9907</v>
      </c>
      <c r="J1815" t="s">
        <v>1248</v>
      </c>
      <c r="K1815" t="s">
        <v>65</v>
      </c>
      <c r="L1815" t="s">
        <v>9908</v>
      </c>
      <c r="M1815" t="s">
        <v>9909</v>
      </c>
      <c r="N1815">
        <v>2623550</v>
      </c>
      <c r="O1815" t="s">
        <v>1767</v>
      </c>
      <c r="P1815">
        <v>1202</v>
      </c>
      <c r="Q1815" t="s">
        <v>1768</v>
      </c>
      <c r="R1815" t="s">
        <v>5064</v>
      </c>
      <c r="S1815" t="s">
        <v>5065</v>
      </c>
      <c r="T1815" t="s">
        <v>2277</v>
      </c>
      <c r="U1815" t="s">
        <v>5497</v>
      </c>
      <c r="V1815" t="s">
        <v>1824</v>
      </c>
    </row>
    <row r="1816" spans="1:33" x14ac:dyDescent="0.3">
      <c r="A1816">
        <v>34607</v>
      </c>
      <c r="B1816" t="s">
        <v>9910</v>
      </c>
      <c r="C1816" t="str">
        <f>""</f>
        <v/>
      </c>
      <c r="D1816" t="str">
        <f>"H65107000"</f>
        <v>H65107000</v>
      </c>
      <c r="E1816" s="1">
        <v>35521</v>
      </c>
      <c r="F1816" t="s">
        <v>9911</v>
      </c>
      <c r="G1816" t="e">
        <f>INDEX(#REF!,MATCH(P1816,#REF!,0),1)</f>
        <v>#REF!</v>
      </c>
      <c r="H1816" t="s">
        <v>9912</v>
      </c>
      <c r="J1816" t="s">
        <v>1248</v>
      </c>
      <c r="K1816" t="s">
        <v>65</v>
      </c>
      <c r="L1816">
        <v>19064</v>
      </c>
      <c r="M1816" t="s">
        <v>9909</v>
      </c>
      <c r="N1816">
        <v>2623550</v>
      </c>
      <c r="O1816" t="s">
        <v>1767</v>
      </c>
      <c r="P1816">
        <v>1202</v>
      </c>
      <c r="Q1816" t="s">
        <v>1768</v>
      </c>
      <c r="R1816" t="s">
        <v>5064</v>
      </c>
      <c r="S1816" t="s">
        <v>5065</v>
      </c>
      <c r="T1816" t="s">
        <v>2277</v>
      </c>
      <c r="U1816" t="s">
        <v>5622</v>
      </c>
      <c r="V1816" t="s">
        <v>1824</v>
      </c>
      <c r="AE1816" t="s">
        <v>564</v>
      </c>
    </row>
    <row r="1817" spans="1:33" x14ac:dyDescent="0.3">
      <c r="A1817">
        <v>34609</v>
      </c>
      <c r="B1817" t="s">
        <v>9913</v>
      </c>
      <c r="C1817" t="str">
        <f>""</f>
        <v/>
      </c>
      <c r="D1817" t="str">
        <f>""</f>
        <v/>
      </c>
      <c r="E1817" s="1">
        <v>35521</v>
      </c>
      <c r="F1817" t="s">
        <v>9914</v>
      </c>
      <c r="G1817" t="e">
        <f>INDEX(#REF!,MATCH(P1817,#REF!,0),1)</f>
        <v>#REF!</v>
      </c>
      <c r="H1817" t="s">
        <v>9912</v>
      </c>
      <c r="J1817" t="s">
        <v>1248</v>
      </c>
      <c r="K1817" t="s">
        <v>65</v>
      </c>
      <c r="L1817" t="s">
        <v>9915</v>
      </c>
      <c r="M1817" t="s">
        <v>9909</v>
      </c>
      <c r="N1817">
        <v>34609</v>
      </c>
      <c r="O1817" t="s">
        <v>9914</v>
      </c>
      <c r="P1817">
        <v>34609</v>
      </c>
      <c r="Q1817" t="s">
        <v>9914</v>
      </c>
      <c r="R1817" t="s">
        <v>6187</v>
      </c>
      <c r="S1817" t="s">
        <v>6188</v>
      </c>
      <c r="T1817" t="s">
        <v>2277</v>
      </c>
      <c r="U1817" t="s">
        <v>5497</v>
      </c>
      <c r="V1817" t="s">
        <v>2215</v>
      </c>
    </row>
    <row r="1818" spans="1:33" x14ac:dyDescent="0.3">
      <c r="A1818">
        <v>34618</v>
      </c>
      <c r="B1818" t="s">
        <v>9916</v>
      </c>
      <c r="C1818" t="str">
        <f>""</f>
        <v/>
      </c>
      <c r="D1818" t="str">
        <f>""</f>
        <v/>
      </c>
      <c r="E1818" s="1">
        <v>35521</v>
      </c>
      <c r="F1818" t="s">
        <v>9917</v>
      </c>
      <c r="G1818" t="e">
        <f>INDEX(#REF!,MATCH(P1818,#REF!,0),1)</f>
        <v>#REF!</v>
      </c>
      <c r="H1818" t="s">
        <v>9918</v>
      </c>
      <c r="J1818" t="s">
        <v>1248</v>
      </c>
      <c r="K1818" t="s">
        <v>65</v>
      </c>
      <c r="L1818" t="s">
        <v>3279</v>
      </c>
      <c r="M1818" t="s">
        <v>9919</v>
      </c>
      <c r="N1818">
        <v>34618</v>
      </c>
      <c r="O1818" t="s">
        <v>9917</v>
      </c>
      <c r="P1818">
        <v>34618</v>
      </c>
      <c r="Q1818" t="s">
        <v>9917</v>
      </c>
      <c r="R1818" t="s">
        <v>6187</v>
      </c>
      <c r="S1818" t="s">
        <v>6188</v>
      </c>
      <c r="T1818" t="s">
        <v>2277</v>
      </c>
      <c r="U1818" t="s">
        <v>5497</v>
      </c>
      <c r="V1818" t="s">
        <v>2215</v>
      </c>
    </row>
    <row r="1819" spans="1:33" x14ac:dyDescent="0.3">
      <c r="A1819">
        <v>34624</v>
      </c>
      <c r="B1819" t="s">
        <v>9920</v>
      </c>
      <c r="C1819" t="str">
        <f>""</f>
        <v/>
      </c>
      <c r="D1819" t="str">
        <f>"E0AVFYW00"</f>
        <v>E0AVFYW00</v>
      </c>
      <c r="E1819" s="1">
        <v>35521</v>
      </c>
      <c r="F1819" t="s">
        <v>9921</v>
      </c>
      <c r="G1819" t="e">
        <f>INDEX(#REF!,MATCH(P1819,#REF!,0),1)</f>
        <v>#REF!</v>
      </c>
      <c r="H1819" t="s">
        <v>9922</v>
      </c>
      <c r="J1819" t="s">
        <v>2879</v>
      </c>
      <c r="K1819" t="s">
        <v>65</v>
      </c>
      <c r="L1819">
        <v>19026</v>
      </c>
      <c r="M1819" t="s">
        <v>9923</v>
      </c>
      <c r="N1819">
        <v>34624</v>
      </c>
      <c r="O1819" t="s">
        <v>9921</v>
      </c>
      <c r="P1819">
        <v>34624</v>
      </c>
      <c r="Q1819" t="s">
        <v>9921</v>
      </c>
      <c r="R1819" t="s">
        <v>6187</v>
      </c>
      <c r="S1819" t="s">
        <v>6188</v>
      </c>
      <c r="T1819" t="s">
        <v>2277</v>
      </c>
      <c r="U1819" t="s">
        <v>2278</v>
      </c>
      <c r="V1819" t="s">
        <v>2215</v>
      </c>
    </row>
    <row r="1820" spans="1:33" x14ac:dyDescent="0.3">
      <c r="A1820">
        <v>34631</v>
      </c>
      <c r="B1820" t="s">
        <v>9924</v>
      </c>
      <c r="C1820" t="str">
        <f>""</f>
        <v/>
      </c>
      <c r="D1820" t="str">
        <f>"9FVAGMV00"</f>
        <v>9FVAGMV00</v>
      </c>
      <c r="E1820" s="1">
        <v>35521</v>
      </c>
      <c r="F1820" t="s">
        <v>9925</v>
      </c>
      <c r="G1820" t="e">
        <f>INDEX(#REF!,MATCH(P1820,#REF!,0),1)</f>
        <v>#REF!</v>
      </c>
      <c r="H1820" t="s">
        <v>9926</v>
      </c>
      <c r="I1820" t="s">
        <v>9927</v>
      </c>
      <c r="J1820" t="s">
        <v>6885</v>
      </c>
      <c r="K1820" t="s">
        <v>65</v>
      </c>
      <c r="L1820">
        <v>19013</v>
      </c>
      <c r="M1820" t="s">
        <v>9928</v>
      </c>
      <c r="N1820">
        <v>2623550</v>
      </c>
      <c r="O1820" t="s">
        <v>1767</v>
      </c>
      <c r="P1820">
        <v>1202</v>
      </c>
      <c r="Q1820" t="s">
        <v>1768</v>
      </c>
      <c r="R1820" t="s">
        <v>5064</v>
      </c>
      <c r="S1820" t="s">
        <v>5065</v>
      </c>
      <c r="T1820" t="s">
        <v>2277</v>
      </c>
      <c r="U1820" t="s">
        <v>4419</v>
      </c>
      <c r="V1820" t="s">
        <v>1824</v>
      </c>
      <c r="AE1820" t="s">
        <v>564</v>
      </c>
    </row>
    <row r="1821" spans="1:33" x14ac:dyDescent="0.3">
      <c r="A1821">
        <v>34633</v>
      </c>
      <c r="B1821" t="s">
        <v>9929</v>
      </c>
      <c r="C1821" t="str">
        <f>""</f>
        <v/>
      </c>
      <c r="D1821" t="str">
        <f>""</f>
        <v/>
      </c>
      <c r="E1821" s="1">
        <v>35521</v>
      </c>
      <c r="F1821" t="s">
        <v>9930</v>
      </c>
      <c r="G1821" t="e">
        <f>INDEX(#REF!,MATCH(P1821,#REF!,0),1)</f>
        <v>#REF!</v>
      </c>
      <c r="H1821" t="s">
        <v>9926</v>
      </c>
      <c r="I1821" t="s">
        <v>9927</v>
      </c>
      <c r="J1821" t="s">
        <v>6885</v>
      </c>
      <c r="K1821" t="s">
        <v>65</v>
      </c>
      <c r="L1821">
        <v>19013</v>
      </c>
      <c r="M1821" t="s">
        <v>9931</v>
      </c>
      <c r="N1821">
        <v>2623550</v>
      </c>
      <c r="O1821" t="s">
        <v>1767</v>
      </c>
      <c r="P1821">
        <v>34631</v>
      </c>
      <c r="Q1821" t="s">
        <v>9925</v>
      </c>
      <c r="R1821" t="s">
        <v>5064</v>
      </c>
      <c r="S1821" t="s">
        <v>5065</v>
      </c>
      <c r="T1821" t="s">
        <v>2277</v>
      </c>
      <c r="U1821" t="s">
        <v>5497</v>
      </c>
      <c r="V1821" t="s">
        <v>1824</v>
      </c>
    </row>
    <row r="1822" spans="1:33" x14ac:dyDescent="0.3">
      <c r="A1822">
        <v>34635</v>
      </c>
      <c r="B1822" t="s">
        <v>9932</v>
      </c>
      <c r="C1822" t="str">
        <f>""</f>
        <v/>
      </c>
      <c r="D1822" t="str">
        <f>"489NG7V00"</f>
        <v>489NG7V00</v>
      </c>
      <c r="E1822" s="1">
        <v>35521</v>
      </c>
      <c r="F1822" t="s">
        <v>9933</v>
      </c>
      <c r="G1822" t="e">
        <f>INDEX(#REF!,MATCH(P1822,#REF!,0),1)</f>
        <v>#REF!</v>
      </c>
      <c r="H1822" t="s">
        <v>9926</v>
      </c>
      <c r="I1822" t="s">
        <v>9927</v>
      </c>
      <c r="J1822" t="s">
        <v>6885</v>
      </c>
      <c r="K1822" t="s">
        <v>65</v>
      </c>
      <c r="L1822">
        <v>19013</v>
      </c>
      <c r="M1822" t="s">
        <v>9928</v>
      </c>
      <c r="N1822">
        <v>34635</v>
      </c>
      <c r="O1822" t="s">
        <v>9933</v>
      </c>
      <c r="P1822">
        <v>34635</v>
      </c>
      <c r="Q1822" t="s">
        <v>9933</v>
      </c>
      <c r="R1822" t="s">
        <v>6187</v>
      </c>
      <c r="S1822" t="s">
        <v>6188</v>
      </c>
      <c r="T1822" t="s">
        <v>2277</v>
      </c>
      <c r="U1822" t="s">
        <v>5497</v>
      </c>
      <c r="V1822" t="s">
        <v>2215</v>
      </c>
    </row>
    <row r="1823" spans="1:33" x14ac:dyDescent="0.3">
      <c r="A1823">
        <v>34637</v>
      </c>
      <c r="B1823" t="s">
        <v>9934</v>
      </c>
      <c r="C1823" t="str">
        <f>""</f>
        <v/>
      </c>
      <c r="D1823" t="str">
        <f>""</f>
        <v/>
      </c>
      <c r="E1823" s="1">
        <v>35521</v>
      </c>
      <c r="F1823" t="s">
        <v>9935</v>
      </c>
      <c r="G1823" t="e">
        <f>INDEX(#REF!,MATCH(P1823,#REF!,0),1)</f>
        <v>#REF!</v>
      </c>
      <c r="H1823" t="s">
        <v>9936</v>
      </c>
      <c r="J1823" t="s">
        <v>1764</v>
      </c>
      <c r="K1823" t="s">
        <v>65</v>
      </c>
      <c r="L1823">
        <v>19013</v>
      </c>
      <c r="M1823" t="s">
        <v>9937</v>
      </c>
      <c r="N1823">
        <v>2623550</v>
      </c>
      <c r="O1823" t="s">
        <v>1767</v>
      </c>
      <c r="P1823">
        <v>1202</v>
      </c>
      <c r="Q1823" t="s">
        <v>1768</v>
      </c>
      <c r="R1823" t="s">
        <v>5064</v>
      </c>
      <c r="S1823" t="s">
        <v>5065</v>
      </c>
      <c r="T1823" t="s">
        <v>2277</v>
      </c>
      <c r="U1823" t="s">
        <v>5497</v>
      </c>
      <c r="V1823" t="s">
        <v>1824</v>
      </c>
    </row>
    <row r="1824" spans="1:33" x14ac:dyDescent="0.3">
      <c r="A1824">
        <v>34638</v>
      </c>
      <c r="B1824" t="s">
        <v>9938</v>
      </c>
      <c r="C1824" t="str">
        <f>""</f>
        <v/>
      </c>
      <c r="D1824" t="str">
        <f>"57QMCAA00"</f>
        <v>57QMCAA00</v>
      </c>
      <c r="E1824" s="1">
        <v>35521</v>
      </c>
      <c r="F1824" t="s">
        <v>9939</v>
      </c>
      <c r="G1824" t="e">
        <f>INDEX(#REF!,MATCH(P1824,#REF!,0),1)</f>
        <v>#REF!</v>
      </c>
      <c r="H1824" t="s">
        <v>9940</v>
      </c>
      <c r="I1824" t="s">
        <v>9941</v>
      </c>
      <c r="J1824" t="s">
        <v>9942</v>
      </c>
      <c r="K1824" t="s">
        <v>65</v>
      </c>
      <c r="L1824">
        <v>19022</v>
      </c>
      <c r="M1824" t="s">
        <v>9943</v>
      </c>
      <c r="N1824">
        <v>2623550</v>
      </c>
      <c r="O1824" t="s">
        <v>1767</v>
      </c>
      <c r="P1824">
        <v>1202</v>
      </c>
      <c r="Q1824" t="s">
        <v>1768</v>
      </c>
      <c r="R1824" t="s">
        <v>5064</v>
      </c>
      <c r="S1824" t="s">
        <v>5065</v>
      </c>
      <c r="T1824" t="s">
        <v>2277</v>
      </c>
      <c r="U1824" t="s">
        <v>2278</v>
      </c>
      <c r="V1824" t="s">
        <v>1824</v>
      </c>
      <c r="AE1824" t="s">
        <v>564</v>
      </c>
    </row>
    <row r="1825" spans="1:31" x14ac:dyDescent="0.3">
      <c r="A1825">
        <v>34639</v>
      </c>
      <c r="B1825" t="s">
        <v>9944</v>
      </c>
      <c r="C1825" t="str">
        <f>""</f>
        <v/>
      </c>
      <c r="D1825" t="str">
        <f>""</f>
        <v/>
      </c>
      <c r="E1825" s="1">
        <v>35521</v>
      </c>
      <c r="F1825" t="s">
        <v>9945</v>
      </c>
      <c r="G1825" t="e">
        <f>INDEX(#REF!,MATCH(P1825,#REF!,0),1)</f>
        <v>#REF!</v>
      </c>
      <c r="H1825" t="s">
        <v>9946</v>
      </c>
      <c r="I1825" t="s">
        <v>9941</v>
      </c>
      <c r="J1825" t="s">
        <v>1764</v>
      </c>
      <c r="K1825" t="s">
        <v>65</v>
      </c>
      <c r="L1825" t="s">
        <v>9947</v>
      </c>
      <c r="M1825" t="s">
        <v>9948</v>
      </c>
      <c r="N1825">
        <v>2623550</v>
      </c>
      <c r="O1825" t="s">
        <v>1767</v>
      </c>
      <c r="P1825">
        <v>1202</v>
      </c>
      <c r="Q1825" t="s">
        <v>1768</v>
      </c>
      <c r="R1825" t="s">
        <v>5064</v>
      </c>
      <c r="S1825" t="s">
        <v>5065</v>
      </c>
      <c r="T1825" t="s">
        <v>2277</v>
      </c>
      <c r="U1825" t="s">
        <v>5497</v>
      </c>
      <c r="V1825" t="s">
        <v>1824</v>
      </c>
    </row>
    <row r="1826" spans="1:31" x14ac:dyDescent="0.3">
      <c r="A1826">
        <v>34649</v>
      </c>
      <c r="B1826" t="s">
        <v>9949</v>
      </c>
      <c r="C1826" t="str">
        <f>""</f>
        <v/>
      </c>
      <c r="D1826" t="str">
        <f>"FEF34XC00"</f>
        <v>FEF34XC00</v>
      </c>
      <c r="E1826" s="1">
        <v>35521</v>
      </c>
      <c r="F1826" t="s">
        <v>9950</v>
      </c>
      <c r="G1826" t="e">
        <f>INDEX(#REF!,MATCH(P1826,#REF!,0),1)</f>
        <v>#REF!</v>
      </c>
      <c r="H1826" t="s">
        <v>9951</v>
      </c>
      <c r="J1826" t="s">
        <v>2879</v>
      </c>
      <c r="K1826" t="s">
        <v>65</v>
      </c>
      <c r="L1826">
        <v>19206</v>
      </c>
      <c r="M1826" t="s">
        <v>9952</v>
      </c>
      <c r="N1826">
        <v>2623550</v>
      </c>
      <c r="O1826" t="s">
        <v>1767</v>
      </c>
      <c r="P1826">
        <v>1202</v>
      </c>
      <c r="Q1826" t="s">
        <v>1768</v>
      </c>
      <c r="R1826" t="s">
        <v>5064</v>
      </c>
      <c r="S1826" t="s">
        <v>5065</v>
      </c>
      <c r="T1826" t="s">
        <v>2277</v>
      </c>
      <c r="U1826" t="s">
        <v>2278</v>
      </c>
      <c r="V1826" t="s">
        <v>1824</v>
      </c>
      <c r="AE1826" t="s">
        <v>564</v>
      </c>
    </row>
    <row r="1827" spans="1:31" x14ac:dyDescent="0.3">
      <c r="A1827">
        <v>34663</v>
      </c>
      <c r="B1827" t="s">
        <v>9953</v>
      </c>
      <c r="C1827" t="str">
        <f>""</f>
        <v/>
      </c>
      <c r="D1827" t="str">
        <f>"49DQ9E300"</f>
        <v>49DQ9E300</v>
      </c>
      <c r="E1827" s="1">
        <v>35521</v>
      </c>
      <c r="F1827" t="s">
        <v>9954</v>
      </c>
      <c r="G1827" t="e">
        <f>INDEX(#REF!,MATCH(P1827,#REF!,0),1)</f>
        <v>#REF!</v>
      </c>
      <c r="H1827" t="s">
        <v>9955</v>
      </c>
      <c r="J1827" t="s">
        <v>1764</v>
      </c>
      <c r="K1827" t="s">
        <v>65</v>
      </c>
      <c r="L1827" t="s">
        <v>9956</v>
      </c>
      <c r="M1827" t="s">
        <v>9957</v>
      </c>
      <c r="N1827">
        <v>2623550</v>
      </c>
      <c r="O1827" t="s">
        <v>1767</v>
      </c>
      <c r="P1827">
        <v>1202</v>
      </c>
      <c r="Q1827" t="s">
        <v>1768</v>
      </c>
      <c r="R1827" t="s">
        <v>5064</v>
      </c>
      <c r="S1827" t="s">
        <v>5065</v>
      </c>
      <c r="T1827" t="s">
        <v>2277</v>
      </c>
      <c r="U1827" t="s">
        <v>2278</v>
      </c>
      <c r="V1827" t="s">
        <v>1824</v>
      </c>
      <c r="AE1827" t="s">
        <v>564</v>
      </c>
    </row>
    <row r="1828" spans="1:31" x14ac:dyDescent="0.3">
      <c r="A1828">
        <v>34667</v>
      </c>
      <c r="B1828" t="s">
        <v>9958</v>
      </c>
      <c r="C1828" t="str">
        <f>""</f>
        <v/>
      </c>
      <c r="D1828" t="str">
        <f>"RBK79HJ00"</f>
        <v>RBK79HJ00</v>
      </c>
      <c r="E1828" s="1">
        <v>35521</v>
      </c>
      <c r="F1828" t="s">
        <v>9959</v>
      </c>
      <c r="G1828" t="e">
        <f>INDEX(#REF!,MATCH(P1828,#REF!,0),1)</f>
        <v>#REF!</v>
      </c>
      <c r="H1828" t="s">
        <v>9960</v>
      </c>
      <c r="I1828" t="s">
        <v>9927</v>
      </c>
      <c r="J1828" t="s">
        <v>6885</v>
      </c>
      <c r="K1828" t="s">
        <v>65</v>
      </c>
      <c r="L1828">
        <v>19013</v>
      </c>
      <c r="M1828" t="s">
        <v>9961</v>
      </c>
      <c r="N1828">
        <v>2623550</v>
      </c>
      <c r="O1828" t="s">
        <v>1767</v>
      </c>
      <c r="P1828">
        <v>1202</v>
      </c>
      <c r="Q1828" t="s">
        <v>1768</v>
      </c>
      <c r="R1828" t="s">
        <v>5064</v>
      </c>
      <c r="S1828" t="s">
        <v>5065</v>
      </c>
      <c r="T1828" t="s">
        <v>2277</v>
      </c>
      <c r="U1828" t="s">
        <v>3103</v>
      </c>
      <c r="V1828" t="s">
        <v>1824</v>
      </c>
      <c r="AE1828" t="s">
        <v>564</v>
      </c>
    </row>
    <row r="1829" spans="1:31" x14ac:dyDescent="0.3">
      <c r="A1829">
        <v>34669</v>
      </c>
      <c r="B1829" t="s">
        <v>9962</v>
      </c>
      <c r="C1829" t="str">
        <f>""</f>
        <v/>
      </c>
      <c r="D1829" t="str">
        <f>""</f>
        <v/>
      </c>
      <c r="E1829" s="1">
        <v>35521</v>
      </c>
      <c r="F1829" t="s">
        <v>9963</v>
      </c>
      <c r="G1829" t="e">
        <f>INDEX(#REF!,MATCH(P1829,#REF!,0),1)</f>
        <v>#REF!</v>
      </c>
      <c r="H1829" t="s">
        <v>9964</v>
      </c>
      <c r="J1829" t="s">
        <v>9965</v>
      </c>
      <c r="K1829" t="s">
        <v>65</v>
      </c>
      <c r="L1829">
        <v>19342</v>
      </c>
      <c r="M1829" t="s">
        <v>9966</v>
      </c>
      <c r="N1829">
        <v>2623550</v>
      </c>
      <c r="O1829" t="s">
        <v>1767</v>
      </c>
      <c r="P1829">
        <v>1202</v>
      </c>
      <c r="Q1829" t="s">
        <v>1768</v>
      </c>
      <c r="R1829" t="s">
        <v>5064</v>
      </c>
      <c r="S1829" t="s">
        <v>5065</v>
      </c>
      <c r="T1829" t="s">
        <v>2277</v>
      </c>
      <c r="U1829" t="s">
        <v>5497</v>
      </c>
      <c r="V1829" t="s">
        <v>1824</v>
      </c>
    </row>
    <row r="1830" spans="1:31" x14ac:dyDescent="0.3">
      <c r="A1830">
        <v>34680</v>
      </c>
      <c r="B1830" t="s">
        <v>9967</v>
      </c>
      <c r="C1830" t="str">
        <f>""</f>
        <v/>
      </c>
      <c r="D1830" t="str">
        <f>"86NVJET00"</f>
        <v>86NVJET00</v>
      </c>
      <c r="E1830" s="1">
        <v>35521</v>
      </c>
      <c r="F1830" t="s">
        <v>9968</v>
      </c>
      <c r="G1830" t="e">
        <f>INDEX(#REF!,MATCH(P1830,#REF!,0),1)</f>
        <v>#REF!</v>
      </c>
      <c r="H1830" t="s">
        <v>9969</v>
      </c>
      <c r="J1830" t="s">
        <v>9970</v>
      </c>
      <c r="K1830" t="s">
        <v>9971</v>
      </c>
      <c r="L1830">
        <v>19809</v>
      </c>
      <c r="M1830" t="s">
        <v>9972</v>
      </c>
      <c r="N1830">
        <v>2623550</v>
      </c>
      <c r="O1830" t="s">
        <v>1767</v>
      </c>
      <c r="P1830">
        <v>1202</v>
      </c>
      <c r="Q1830" t="s">
        <v>1768</v>
      </c>
      <c r="R1830" t="s">
        <v>5064</v>
      </c>
      <c r="S1830" t="s">
        <v>5065</v>
      </c>
      <c r="T1830" t="s">
        <v>2277</v>
      </c>
      <c r="U1830" t="s">
        <v>2278</v>
      </c>
      <c r="V1830" t="s">
        <v>1824</v>
      </c>
      <c r="AE1830" t="s">
        <v>564</v>
      </c>
    </row>
    <row r="1831" spans="1:31" x14ac:dyDescent="0.3">
      <c r="A1831">
        <v>34682</v>
      </c>
      <c r="B1831" t="s">
        <v>9973</v>
      </c>
      <c r="C1831" t="str">
        <f>""</f>
        <v/>
      </c>
      <c r="D1831" t="str">
        <f>"852HN1K00"</f>
        <v>852HN1K00</v>
      </c>
      <c r="E1831" s="1">
        <v>35521</v>
      </c>
      <c r="F1831" t="s">
        <v>9974</v>
      </c>
      <c r="G1831" t="e">
        <f>INDEX(#REF!,MATCH(P1831,#REF!,0),1)</f>
        <v>#REF!</v>
      </c>
      <c r="H1831" t="s">
        <v>9975</v>
      </c>
      <c r="J1831" t="s">
        <v>9976</v>
      </c>
      <c r="K1831" t="s">
        <v>65</v>
      </c>
      <c r="L1831" t="s">
        <v>9977</v>
      </c>
      <c r="M1831" t="s">
        <v>9978</v>
      </c>
      <c r="N1831">
        <v>2623550</v>
      </c>
      <c r="O1831" t="s">
        <v>1767</v>
      </c>
      <c r="P1831">
        <v>1202</v>
      </c>
      <c r="Q1831" t="s">
        <v>1768</v>
      </c>
      <c r="R1831" t="s">
        <v>5064</v>
      </c>
      <c r="S1831" t="s">
        <v>5065</v>
      </c>
      <c r="T1831" t="s">
        <v>2277</v>
      </c>
      <c r="U1831" t="s">
        <v>2278</v>
      </c>
      <c r="V1831" t="s">
        <v>1824</v>
      </c>
      <c r="AE1831" t="s">
        <v>564</v>
      </c>
    </row>
    <row r="1832" spans="1:31" x14ac:dyDescent="0.3">
      <c r="A1832">
        <v>34692</v>
      </c>
      <c r="B1832" t="s">
        <v>9979</v>
      </c>
      <c r="C1832" t="str">
        <f>""</f>
        <v/>
      </c>
      <c r="D1832" t="str">
        <f>"2HQM8BE00"</f>
        <v>2HQM8BE00</v>
      </c>
      <c r="E1832" s="1">
        <v>35521</v>
      </c>
      <c r="F1832" t="s">
        <v>9980</v>
      </c>
      <c r="G1832" t="e">
        <f>INDEX(#REF!,MATCH(P1832,#REF!,0),1)</f>
        <v>#REF!</v>
      </c>
      <c r="H1832" t="s">
        <v>9981</v>
      </c>
      <c r="I1832" t="s">
        <v>9982</v>
      </c>
      <c r="J1832" t="s">
        <v>6885</v>
      </c>
      <c r="K1832" t="s">
        <v>65</v>
      </c>
      <c r="L1832">
        <v>19013</v>
      </c>
      <c r="M1832" t="s">
        <v>9983</v>
      </c>
      <c r="N1832">
        <v>2623550</v>
      </c>
      <c r="O1832" t="s">
        <v>1767</v>
      </c>
      <c r="P1832">
        <v>1202</v>
      </c>
      <c r="Q1832" t="s">
        <v>1768</v>
      </c>
      <c r="R1832" t="s">
        <v>5064</v>
      </c>
      <c r="S1832" t="s">
        <v>5065</v>
      </c>
      <c r="T1832" t="s">
        <v>2277</v>
      </c>
      <c r="U1832" t="s">
        <v>5651</v>
      </c>
      <c r="V1832" t="s">
        <v>1824</v>
      </c>
      <c r="AE1832" t="s">
        <v>564</v>
      </c>
    </row>
    <row r="1833" spans="1:31" x14ac:dyDescent="0.3">
      <c r="A1833">
        <v>34694</v>
      </c>
      <c r="B1833" t="s">
        <v>9984</v>
      </c>
      <c r="C1833" t="str">
        <f>""</f>
        <v/>
      </c>
      <c r="D1833" t="str">
        <f>""</f>
        <v/>
      </c>
      <c r="E1833" s="1">
        <v>35521</v>
      </c>
      <c r="F1833" t="s">
        <v>9985</v>
      </c>
      <c r="G1833" t="e">
        <f>INDEX(#REF!,MATCH(P1833,#REF!,0),1)</f>
        <v>#REF!</v>
      </c>
      <c r="H1833" t="s">
        <v>9986</v>
      </c>
      <c r="I1833" t="s">
        <v>9982</v>
      </c>
      <c r="J1833" t="s">
        <v>6885</v>
      </c>
      <c r="K1833" t="s">
        <v>65</v>
      </c>
      <c r="L1833">
        <v>19013</v>
      </c>
      <c r="M1833" t="s">
        <v>9987</v>
      </c>
      <c r="N1833">
        <v>2623550</v>
      </c>
      <c r="O1833" t="s">
        <v>1767</v>
      </c>
      <c r="P1833">
        <v>1202</v>
      </c>
      <c r="Q1833" t="s">
        <v>1768</v>
      </c>
      <c r="R1833" t="s">
        <v>5064</v>
      </c>
      <c r="S1833" t="s">
        <v>5065</v>
      </c>
      <c r="T1833" t="s">
        <v>2277</v>
      </c>
      <c r="U1833" t="s">
        <v>5497</v>
      </c>
      <c r="V1833" t="s">
        <v>1824</v>
      </c>
    </row>
    <row r="1834" spans="1:31" x14ac:dyDescent="0.3">
      <c r="A1834">
        <v>34697</v>
      </c>
      <c r="B1834" t="s">
        <v>9988</v>
      </c>
      <c r="C1834" t="str">
        <f>""</f>
        <v/>
      </c>
      <c r="D1834" t="str">
        <f>"EGLQAM100"</f>
        <v>EGLQAM100</v>
      </c>
      <c r="E1834" s="1">
        <v>35521</v>
      </c>
      <c r="F1834" t="s">
        <v>9989</v>
      </c>
      <c r="G1834" t="e">
        <f>INDEX(#REF!,MATCH(P1834,#REF!,0),1)</f>
        <v>#REF!</v>
      </c>
      <c r="H1834" t="s">
        <v>9990</v>
      </c>
      <c r="I1834" t="s">
        <v>9927</v>
      </c>
      <c r="J1834" t="s">
        <v>6885</v>
      </c>
      <c r="K1834" t="s">
        <v>65</v>
      </c>
      <c r="L1834">
        <v>19013</v>
      </c>
      <c r="M1834" t="s">
        <v>9991</v>
      </c>
      <c r="N1834">
        <v>2623550</v>
      </c>
      <c r="O1834" t="s">
        <v>1767</v>
      </c>
      <c r="P1834">
        <v>1202</v>
      </c>
      <c r="Q1834" t="s">
        <v>1768</v>
      </c>
      <c r="R1834" t="s">
        <v>5064</v>
      </c>
      <c r="S1834" t="s">
        <v>5065</v>
      </c>
      <c r="T1834" t="s">
        <v>2277</v>
      </c>
      <c r="U1834" t="s">
        <v>5497</v>
      </c>
      <c r="V1834" t="s">
        <v>1824</v>
      </c>
      <c r="AE1834" t="s">
        <v>564</v>
      </c>
    </row>
    <row r="1835" spans="1:31" x14ac:dyDescent="0.3">
      <c r="A1835">
        <v>34702</v>
      </c>
      <c r="B1835" t="s">
        <v>9992</v>
      </c>
      <c r="C1835" t="str">
        <f>""</f>
        <v/>
      </c>
      <c r="D1835" t="str">
        <f>"HLGCH8J00"</f>
        <v>HLGCH8J00</v>
      </c>
      <c r="E1835" s="1">
        <v>35521</v>
      </c>
      <c r="F1835" t="s">
        <v>9993</v>
      </c>
      <c r="G1835" t="e">
        <f>INDEX(#REF!,MATCH(P1835,#REF!,0),1)</f>
        <v>#REF!</v>
      </c>
      <c r="H1835" t="s">
        <v>9994</v>
      </c>
      <c r="J1835" t="s">
        <v>6885</v>
      </c>
      <c r="K1835" t="s">
        <v>65</v>
      </c>
      <c r="L1835">
        <v>19013</v>
      </c>
      <c r="M1835" t="s">
        <v>9995</v>
      </c>
      <c r="N1835">
        <v>2623550</v>
      </c>
      <c r="O1835" t="s">
        <v>1767</v>
      </c>
      <c r="P1835">
        <v>1202</v>
      </c>
      <c r="Q1835" t="s">
        <v>1768</v>
      </c>
      <c r="R1835" t="s">
        <v>5064</v>
      </c>
      <c r="S1835" t="s">
        <v>5065</v>
      </c>
      <c r="T1835" t="s">
        <v>2277</v>
      </c>
      <c r="U1835" t="s">
        <v>9996</v>
      </c>
      <c r="V1835" t="s">
        <v>1824</v>
      </c>
      <c r="AE1835" t="s">
        <v>564</v>
      </c>
    </row>
    <row r="1836" spans="1:31" x14ac:dyDescent="0.3">
      <c r="A1836">
        <v>34721</v>
      </c>
      <c r="B1836" t="s">
        <v>9997</v>
      </c>
      <c r="C1836" t="str">
        <f>"1100003289798"</f>
        <v>1100003289798</v>
      </c>
      <c r="D1836" t="str">
        <f>"953917Y00"</f>
        <v>953917Y00</v>
      </c>
      <c r="E1836" s="1">
        <v>40817</v>
      </c>
      <c r="F1836" t="s">
        <v>9998</v>
      </c>
      <c r="G1836" t="e">
        <f>INDEX(#REF!,MATCH(P1836,#REF!,0),1)</f>
        <v>#REF!</v>
      </c>
      <c r="H1836" t="s">
        <v>9999</v>
      </c>
      <c r="I1836" t="s">
        <v>2140</v>
      </c>
      <c r="J1836" t="s">
        <v>3671</v>
      </c>
      <c r="K1836" t="s">
        <v>208</v>
      </c>
      <c r="L1836">
        <v>53151</v>
      </c>
      <c r="M1836" t="s">
        <v>10000</v>
      </c>
      <c r="N1836">
        <v>856</v>
      </c>
      <c r="O1836" t="s">
        <v>2910</v>
      </c>
      <c r="P1836">
        <v>856</v>
      </c>
      <c r="Q1836" t="s">
        <v>2910</v>
      </c>
      <c r="R1836" t="s">
        <v>2212</v>
      </c>
      <c r="S1836" t="s">
        <v>2213</v>
      </c>
      <c r="T1836" t="s">
        <v>3141</v>
      </c>
      <c r="U1836" t="s">
        <v>3854</v>
      </c>
      <c r="V1836" t="s">
        <v>2215</v>
      </c>
    </row>
    <row r="1837" spans="1:31" x14ac:dyDescent="0.3">
      <c r="A1837">
        <v>34722</v>
      </c>
      <c r="B1837" t="s">
        <v>10001</v>
      </c>
      <c r="C1837" t="str">
        <f>""</f>
        <v/>
      </c>
      <c r="D1837" t="str">
        <f>""</f>
        <v/>
      </c>
      <c r="E1837" s="1">
        <v>40817</v>
      </c>
      <c r="F1837" t="s">
        <v>10002</v>
      </c>
      <c r="G1837" t="e">
        <f>INDEX(#REF!,MATCH(P1837,#REF!,0),1)</f>
        <v>#REF!</v>
      </c>
      <c r="H1837" t="s">
        <v>10003</v>
      </c>
      <c r="J1837" t="s">
        <v>2259</v>
      </c>
      <c r="K1837" t="s">
        <v>208</v>
      </c>
      <c r="L1837" t="s">
        <v>10004</v>
      </c>
      <c r="M1837" t="s">
        <v>10005</v>
      </c>
      <c r="N1837">
        <v>2820062</v>
      </c>
      <c r="O1837" t="s">
        <v>10006</v>
      </c>
      <c r="P1837">
        <v>2820062</v>
      </c>
      <c r="Q1837" t="s">
        <v>10006</v>
      </c>
      <c r="R1837" t="s">
        <v>4723</v>
      </c>
      <c r="S1837" t="s">
        <v>4724</v>
      </c>
      <c r="T1837" t="s">
        <v>2214</v>
      </c>
      <c r="U1837" t="s">
        <v>2214</v>
      </c>
      <c r="V1837" t="s">
        <v>2215</v>
      </c>
    </row>
    <row r="1838" spans="1:31" x14ac:dyDescent="0.3">
      <c r="A1838">
        <v>34723</v>
      </c>
      <c r="B1838" t="s">
        <v>10007</v>
      </c>
      <c r="C1838" t="str">
        <f>""</f>
        <v/>
      </c>
      <c r="D1838" t="str">
        <f>"J9NNMUI00"</f>
        <v>J9NNMUI00</v>
      </c>
      <c r="E1838" s="1">
        <v>40817</v>
      </c>
      <c r="F1838" t="s">
        <v>10008</v>
      </c>
      <c r="G1838" t="e">
        <f>INDEX(#REF!,MATCH(P1838,#REF!,0),1)</f>
        <v>#REF!</v>
      </c>
      <c r="H1838" t="s">
        <v>10009</v>
      </c>
      <c r="J1838" t="s">
        <v>3671</v>
      </c>
      <c r="K1838" t="s">
        <v>208</v>
      </c>
      <c r="L1838">
        <v>53151</v>
      </c>
      <c r="M1838" t="s">
        <v>10010</v>
      </c>
      <c r="N1838">
        <v>2820062</v>
      </c>
      <c r="O1838" t="s">
        <v>10006</v>
      </c>
      <c r="P1838">
        <v>2820062</v>
      </c>
      <c r="Q1838" t="s">
        <v>10006</v>
      </c>
      <c r="R1838" t="s">
        <v>4723</v>
      </c>
      <c r="S1838" t="s">
        <v>4724</v>
      </c>
      <c r="T1838" t="s">
        <v>2214</v>
      </c>
      <c r="U1838" t="s">
        <v>2214</v>
      </c>
      <c r="V1838" t="s">
        <v>2215</v>
      </c>
      <c r="AD1838" t="s">
        <v>59</v>
      </c>
    </row>
    <row r="1839" spans="1:31" x14ac:dyDescent="0.3">
      <c r="A1839">
        <v>34724</v>
      </c>
      <c r="B1839" t="s">
        <v>10011</v>
      </c>
      <c r="C1839" t="str">
        <f>""</f>
        <v/>
      </c>
      <c r="D1839" t="str">
        <f>"3HJV81700"</f>
        <v>3HJV81700</v>
      </c>
      <c r="E1839" s="1">
        <v>40817</v>
      </c>
      <c r="F1839" t="s">
        <v>10012</v>
      </c>
      <c r="G1839" t="e">
        <f>INDEX(#REF!,MATCH(P1839,#REF!,0),1)</f>
        <v>#REF!</v>
      </c>
      <c r="H1839" t="s">
        <v>10013</v>
      </c>
      <c r="J1839" t="s">
        <v>1490</v>
      </c>
      <c r="K1839" t="s">
        <v>208</v>
      </c>
      <c r="L1839">
        <v>53188</v>
      </c>
      <c r="M1839" t="s">
        <v>10014</v>
      </c>
      <c r="N1839">
        <v>2820062</v>
      </c>
      <c r="O1839" t="s">
        <v>10006</v>
      </c>
      <c r="P1839">
        <v>2820062</v>
      </c>
      <c r="Q1839" t="s">
        <v>10006</v>
      </c>
      <c r="R1839" t="s">
        <v>4723</v>
      </c>
      <c r="S1839" t="s">
        <v>4724</v>
      </c>
      <c r="T1839" t="s">
        <v>2214</v>
      </c>
      <c r="U1839" t="s">
        <v>2214</v>
      </c>
      <c r="V1839" t="s">
        <v>2215</v>
      </c>
    </row>
    <row r="1840" spans="1:31" x14ac:dyDescent="0.3">
      <c r="A1840">
        <v>34725</v>
      </c>
      <c r="B1840" t="s">
        <v>10015</v>
      </c>
      <c r="C1840" t="str">
        <f>""</f>
        <v/>
      </c>
      <c r="D1840" t="str">
        <f>"DH8942H00"</f>
        <v>DH8942H00</v>
      </c>
      <c r="E1840" s="1">
        <v>40817</v>
      </c>
      <c r="F1840" t="s">
        <v>10016</v>
      </c>
      <c r="G1840" t="e">
        <f>INDEX(#REF!,MATCH(P1840,#REF!,0),1)</f>
        <v>#REF!</v>
      </c>
      <c r="H1840" t="s">
        <v>10017</v>
      </c>
      <c r="J1840" t="s">
        <v>1490</v>
      </c>
      <c r="K1840" t="s">
        <v>208</v>
      </c>
      <c r="L1840">
        <v>53188</v>
      </c>
      <c r="M1840" t="s">
        <v>10018</v>
      </c>
      <c r="N1840">
        <v>856</v>
      </c>
      <c r="O1840" t="s">
        <v>2910</v>
      </c>
      <c r="P1840">
        <v>856</v>
      </c>
      <c r="Q1840" t="s">
        <v>2910</v>
      </c>
      <c r="R1840" t="s">
        <v>2212</v>
      </c>
      <c r="S1840" t="s">
        <v>2213</v>
      </c>
      <c r="T1840" t="s">
        <v>2214</v>
      </c>
      <c r="U1840" t="s">
        <v>2214</v>
      </c>
      <c r="V1840" t="s">
        <v>2215</v>
      </c>
    </row>
    <row r="1841" spans="1:33" x14ac:dyDescent="0.3">
      <c r="A1841">
        <v>34726</v>
      </c>
      <c r="B1841" t="s">
        <v>10019</v>
      </c>
      <c r="C1841" t="str">
        <f>""</f>
        <v/>
      </c>
      <c r="D1841" t="str">
        <f>"JHJK55D00"</f>
        <v>JHJK55D00</v>
      </c>
      <c r="E1841" s="1">
        <v>40817</v>
      </c>
      <c r="F1841" t="s">
        <v>10020</v>
      </c>
      <c r="G1841" t="e">
        <f>INDEX(#REF!,MATCH(P1841,#REF!,0),1)</f>
        <v>#REF!</v>
      </c>
      <c r="H1841" t="s">
        <v>10021</v>
      </c>
      <c r="J1841" t="s">
        <v>10022</v>
      </c>
      <c r="K1841" t="s">
        <v>208</v>
      </c>
      <c r="L1841" t="s">
        <v>10023</v>
      </c>
      <c r="M1841" t="s">
        <v>10024</v>
      </c>
      <c r="N1841">
        <v>856</v>
      </c>
      <c r="O1841" t="s">
        <v>2910</v>
      </c>
      <c r="P1841">
        <v>856</v>
      </c>
      <c r="Q1841" t="s">
        <v>2910</v>
      </c>
      <c r="R1841" t="s">
        <v>2212</v>
      </c>
      <c r="S1841" t="s">
        <v>2213</v>
      </c>
      <c r="T1841" t="s">
        <v>2214</v>
      </c>
      <c r="U1841" t="s">
        <v>5012</v>
      </c>
      <c r="V1841" t="s">
        <v>2215</v>
      </c>
    </row>
    <row r="1842" spans="1:33" x14ac:dyDescent="0.3">
      <c r="A1842">
        <v>34727</v>
      </c>
      <c r="B1842" t="s">
        <v>10025</v>
      </c>
      <c r="C1842" t="str">
        <f>""</f>
        <v/>
      </c>
      <c r="D1842" t="str">
        <f>"513EYPA00"</f>
        <v>513EYPA00</v>
      </c>
      <c r="E1842" s="1">
        <v>40817</v>
      </c>
      <c r="F1842" t="s">
        <v>10026</v>
      </c>
      <c r="G1842" t="e">
        <f>INDEX(#REF!,MATCH(P1842,#REF!,0),1)</f>
        <v>#REF!</v>
      </c>
      <c r="H1842" t="s">
        <v>10027</v>
      </c>
      <c r="J1842" t="s">
        <v>10022</v>
      </c>
      <c r="K1842" t="s">
        <v>208</v>
      </c>
      <c r="L1842" t="s">
        <v>10028</v>
      </c>
      <c r="M1842" t="s">
        <v>10024</v>
      </c>
      <c r="N1842">
        <v>856</v>
      </c>
      <c r="O1842" t="s">
        <v>2910</v>
      </c>
      <c r="P1842">
        <v>856</v>
      </c>
      <c r="Q1842" t="s">
        <v>2910</v>
      </c>
      <c r="R1842" t="s">
        <v>2212</v>
      </c>
      <c r="S1842" t="s">
        <v>2213</v>
      </c>
      <c r="T1842" t="s">
        <v>2214</v>
      </c>
      <c r="U1842" t="s">
        <v>2214</v>
      </c>
      <c r="V1842" t="s">
        <v>2215</v>
      </c>
    </row>
    <row r="1843" spans="1:33" x14ac:dyDescent="0.3">
      <c r="A1843">
        <v>34736</v>
      </c>
      <c r="B1843" t="s">
        <v>10029</v>
      </c>
      <c r="C1843" t="str">
        <f>""</f>
        <v/>
      </c>
      <c r="D1843" t="str">
        <f>"979250W00"</f>
        <v>979250W00</v>
      </c>
      <c r="E1843" s="1">
        <v>31335</v>
      </c>
      <c r="F1843" t="s">
        <v>1843</v>
      </c>
      <c r="G1843" t="e">
        <f>INDEX(#REF!,MATCH(P1843,#REF!,0),1)</f>
        <v>#REF!</v>
      </c>
      <c r="H1843" t="s">
        <v>1838</v>
      </c>
      <c r="J1843" t="s">
        <v>1839</v>
      </c>
      <c r="K1843" t="s">
        <v>1840</v>
      </c>
      <c r="L1843" t="s">
        <v>10030</v>
      </c>
      <c r="M1843" t="s">
        <v>1842</v>
      </c>
      <c r="N1843">
        <v>34736</v>
      </c>
      <c r="O1843" t="s">
        <v>1843</v>
      </c>
      <c r="P1843">
        <v>34736</v>
      </c>
      <c r="Q1843" t="s">
        <v>1843</v>
      </c>
      <c r="R1843" t="s">
        <v>1844</v>
      </c>
      <c r="S1843" t="s">
        <v>1845</v>
      </c>
      <c r="T1843" t="s">
        <v>44</v>
      </c>
      <c r="U1843" t="s">
        <v>81</v>
      </c>
      <c r="AD1843" t="s">
        <v>94</v>
      </c>
      <c r="AE1843" t="s">
        <v>539</v>
      </c>
      <c r="AG1843" t="s">
        <v>48</v>
      </c>
    </row>
    <row r="1844" spans="1:33" x14ac:dyDescent="0.3">
      <c r="A1844">
        <v>34739</v>
      </c>
      <c r="B1844" t="s">
        <v>10031</v>
      </c>
      <c r="C1844" t="str">
        <f>"1100005434271"</f>
        <v>1100005434271</v>
      </c>
      <c r="D1844" t="str">
        <f>"375P29F00"</f>
        <v>375P29F00</v>
      </c>
      <c r="E1844" s="1">
        <v>35521</v>
      </c>
      <c r="F1844" t="s">
        <v>10032</v>
      </c>
      <c r="G1844" t="e">
        <f>INDEX(#REF!,MATCH(P1844,#REF!,0),1)</f>
        <v>#REF!</v>
      </c>
      <c r="H1844" t="s">
        <v>10033</v>
      </c>
      <c r="J1844" t="s">
        <v>10034</v>
      </c>
      <c r="K1844" t="s">
        <v>283</v>
      </c>
      <c r="L1844" t="s">
        <v>10035</v>
      </c>
      <c r="M1844" t="s">
        <v>10036</v>
      </c>
      <c r="N1844">
        <v>559</v>
      </c>
      <c r="O1844" t="s">
        <v>2041</v>
      </c>
      <c r="P1844">
        <v>3834</v>
      </c>
      <c r="Q1844" t="s">
        <v>4510</v>
      </c>
      <c r="R1844" t="s">
        <v>3864</v>
      </c>
      <c r="S1844" t="s">
        <v>3865</v>
      </c>
      <c r="T1844" t="s">
        <v>2277</v>
      </c>
      <c r="U1844" t="s">
        <v>2278</v>
      </c>
      <c r="V1844" t="s">
        <v>1824</v>
      </c>
      <c r="AD1844" t="s">
        <v>94</v>
      </c>
      <c r="AE1844" t="s">
        <v>120</v>
      </c>
    </row>
    <row r="1845" spans="1:33" x14ac:dyDescent="0.3">
      <c r="A1845">
        <v>34878</v>
      </c>
      <c r="B1845" t="s">
        <v>10037</v>
      </c>
      <c r="C1845" t="str">
        <f>"1100002267834"</f>
        <v>1100002267834</v>
      </c>
      <c r="D1845" t="str">
        <f>""</f>
        <v/>
      </c>
      <c r="E1845" s="1">
        <v>40281</v>
      </c>
      <c r="F1845" t="s">
        <v>10038</v>
      </c>
      <c r="G1845" t="e">
        <f>INDEX(#REF!,MATCH(P1845,#REF!,0),1)</f>
        <v>#REF!</v>
      </c>
      <c r="H1845" t="s">
        <v>10039</v>
      </c>
      <c r="J1845" t="s">
        <v>9165</v>
      </c>
      <c r="K1845" t="s">
        <v>37</v>
      </c>
      <c r="L1845">
        <v>43147</v>
      </c>
      <c r="M1845" t="s">
        <v>10040</v>
      </c>
      <c r="N1845">
        <v>34878</v>
      </c>
      <c r="O1845" t="s">
        <v>10038</v>
      </c>
      <c r="P1845">
        <v>34878</v>
      </c>
      <c r="Q1845" t="s">
        <v>10038</v>
      </c>
      <c r="R1845" t="s">
        <v>2212</v>
      </c>
      <c r="S1845" t="s">
        <v>2213</v>
      </c>
      <c r="T1845" t="s">
        <v>2277</v>
      </c>
      <c r="U1845" t="s">
        <v>5622</v>
      </c>
      <c r="V1845" t="s">
        <v>2215</v>
      </c>
    </row>
    <row r="1846" spans="1:33" x14ac:dyDescent="0.3">
      <c r="A1846">
        <v>34884</v>
      </c>
      <c r="B1846" t="s">
        <v>10041</v>
      </c>
      <c r="C1846" t="str">
        <f>"1100004035578"</f>
        <v>1100004035578</v>
      </c>
      <c r="D1846" t="str">
        <f>"HL0Y2BD00"</f>
        <v>HL0Y2BD00</v>
      </c>
      <c r="E1846" s="1">
        <v>41781</v>
      </c>
      <c r="F1846" t="s">
        <v>10042</v>
      </c>
      <c r="G1846" t="e">
        <f>INDEX(#REF!,MATCH(P1846,#REF!,0),1)</f>
        <v>#REF!</v>
      </c>
      <c r="H1846" t="s">
        <v>10043</v>
      </c>
      <c r="J1846" t="s">
        <v>10044</v>
      </c>
      <c r="K1846" t="s">
        <v>37</v>
      </c>
      <c r="L1846" t="s">
        <v>10045</v>
      </c>
      <c r="M1846" t="s">
        <v>10046</v>
      </c>
      <c r="N1846">
        <v>2812995</v>
      </c>
      <c r="O1846" t="s">
        <v>10047</v>
      </c>
      <c r="P1846">
        <v>2812995</v>
      </c>
      <c r="Q1846" t="s">
        <v>10047</v>
      </c>
      <c r="R1846" t="s">
        <v>4689</v>
      </c>
      <c r="S1846" t="s">
        <v>4690</v>
      </c>
      <c r="T1846" t="s">
        <v>2277</v>
      </c>
      <c r="U1846" t="s">
        <v>5622</v>
      </c>
      <c r="V1846" t="s">
        <v>2215</v>
      </c>
    </row>
    <row r="1847" spans="1:33" x14ac:dyDescent="0.3">
      <c r="A1847">
        <v>34885</v>
      </c>
      <c r="B1847" t="s">
        <v>10048</v>
      </c>
      <c r="C1847" t="str">
        <f>""</f>
        <v/>
      </c>
      <c r="D1847" t="str">
        <f>"0CKLJCC00"</f>
        <v>0CKLJCC00</v>
      </c>
      <c r="E1847" s="1">
        <v>41709</v>
      </c>
      <c r="F1847" t="s">
        <v>7477</v>
      </c>
      <c r="G1847" t="e">
        <f>INDEX(#REF!,MATCH(P1847,#REF!,0),1)</f>
        <v>#REF!</v>
      </c>
      <c r="H1847" t="s">
        <v>10049</v>
      </c>
      <c r="J1847" t="s">
        <v>10050</v>
      </c>
      <c r="K1847" t="s">
        <v>65</v>
      </c>
      <c r="L1847" t="s">
        <v>10051</v>
      </c>
      <c r="M1847" t="s">
        <v>10052</v>
      </c>
      <c r="N1847">
        <v>1077847</v>
      </c>
      <c r="O1847" t="s">
        <v>3597</v>
      </c>
      <c r="P1847">
        <v>1077847</v>
      </c>
      <c r="Q1847" t="s">
        <v>3597</v>
      </c>
      <c r="R1847" t="s">
        <v>562</v>
      </c>
      <c r="S1847" t="s">
        <v>563</v>
      </c>
      <c r="T1847" t="s">
        <v>44</v>
      </c>
      <c r="U1847" t="s">
        <v>45</v>
      </c>
      <c r="AA1847" t="s">
        <v>119</v>
      </c>
      <c r="AE1847" t="s">
        <v>564</v>
      </c>
    </row>
    <row r="1848" spans="1:33" x14ac:dyDescent="0.3">
      <c r="A1848">
        <v>34890</v>
      </c>
      <c r="B1848" t="s">
        <v>10053</v>
      </c>
      <c r="C1848" t="str">
        <f>"1100003802461"</f>
        <v>1100003802461</v>
      </c>
      <c r="D1848" t="str">
        <f>"520910H00"</f>
        <v>520910H00</v>
      </c>
      <c r="E1848" s="1">
        <v>35551</v>
      </c>
      <c r="F1848" t="s">
        <v>10054</v>
      </c>
      <c r="G1848" t="e">
        <f>INDEX(#REF!,MATCH(P1848,#REF!,0),1)</f>
        <v>#REF!</v>
      </c>
      <c r="H1848" t="s">
        <v>10055</v>
      </c>
      <c r="J1848" t="s">
        <v>3356</v>
      </c>
      <c r="K1848" t="s">
        <v>139</v>
      </c>
      <c r="L1848" t="s">
        <v>10056</v>
      </c>
      <c r="M1848" t="s">
        <v>10057</v>
      </c>
      <c r="N1848">
        <v>591</v>
      </c>
      <c r="O1848" t="s">
        <v>2172</v>
      </c>
      <c r="P1848">
        <v>591</v>
      </c>
      <c r="Q1848" t="s">
        <v>2172</v>
      </c>
      <c r="R1848" t="s">
        <v>1092</v>
      </c>
      <c r="S1848" t="s">
        <v>1093</v>
      </c>
      <c r="T1848" t="s">
        <v>44</v>
      </c>
      <c r="U1848" t="s">
        <v>45</v>
      </c>
      <c r="AA1848" t="s">
        <v>105</v>
      </c>
      <c r="AB1848" t="s">
        <v>93</v>
      </c>
      <c r="AE1848" t="s">
        <v>220</v>
      </c>
    </row>
    <row r="1849" spans="1:33" x14ac:dyDescent="0.3">
      <c r="A1849">
        <v>34891</v>
      </c>
      <c r="B1849" t="s">
        <v>10058</v>
      </c>
      <c r="C1849" t="str">
        <f>""</f>
        <v/>
      </c>
      <c r="D1849" t="str">
        <f>"521850L00"</f>
        <v>521850L00</v>
      </c>
      <c r="E1849" s="1">
        <v>35551</v>
      </c>
      <c r="F1849" t="s">
        <v>10059</v>
      </c>
      <c r="G1849" t="e">
        <f>INDEX(#REF!,MATCH(P1849,#REF!,0),1)</f>
        <v>#REF!</v>
      </c>
      <c r="H1849" t="s">
        <v>10060</v>
      </c>
      <c r="J1849" t="s">
        <v>10061</v>
      </c>
      <c r="K1849" t="s">
        <v>139</v>
      </c>
      <c r="L1849" t="s">
        <v>10062</v>
      </c>
      <c r="M1849" t="s">
        <v>10063</v>
      </c>
      <c r="N1849">
        <v>591</v>
      </c>
      <c r="O1849" t="s">
        <v>2172</v>
      </c>
      <c r="P1849">
        <v>591</v>
      </c>
      <c r="Q1849" t="s">
        <v>2172</v>
      </c>
      <c r="R1849" t="s">
        <v>1092</v>
      </c>
      <c r="S1849" t="s">
        <v>1093</v>
      </c>
      <c r="T1849" t="s">
        <v>44</v>
      </c>
      <c r="U1849" t="s">
        <v>45</v>
      </c>
      <c r="AA1849" t="s">
        <v>105</v>
      </c>
      <c r="AB1849" t="s">
        <v>93</v>
      </c>
      <c r="AE1849" t="s">
        <v>220</v>
      </c>
    </row>
    <row r="1850" spans="1:33" x14ac:dyDescent="0.3">
      <c r="A1850">
        <v>34892</v>
      </c>
      <c r="B1850" t="s">
        <v>10064</v>
      </c>
      <c r="C1850" t="str">
        <f>"1100002423773"</f>
        <v>1100002423773</v>
      </c>
      <c r="D1850" t="str">
        <f>"7V9G7SQ00"</f>
        <v>7V9G7SQ00</v>
      </c>
      <c r="E1850" s="1">
        <v>44993</v>
      </c>
      <c r="F1850" t="s">
        <v>10065</v>
      </c>
      <c r="G1850" t="e">
        <f>INDEX(#REF!,MATCH(P1850,#REF!,0),1)</f>
        <v>#REF!</v>
      </c>
      <c r="H1850" t="s">
        <v>10066</v>
      </c>
      <c r="J1850" t="s">
        <v>2337</v>
      </c>
      <c r="K1850" t="s">
        <v>384</v>
      </c>
      <c r="L1850" t="s">
        <v>10067</v>
      </c>
      <c r="M1850" t="s">
        <v>10068</v>
      </c>
      <c r="N1850">
        <v>74360</v>
      </c>
      <c r="O1850" t="s">
        <v>5882</v>
      </c>
      <c r="P1850">
        <v>4138652</v>
      </c>
      <c r="Q1850" t="s">
        <v>10069</v>
      </c>
      <c r="R1850" t="s">
        <v>4500</v>
      </c>
      <c r="S1850" t="s">
        <v>4501</v>
      </c>
      <c r="T1850" t="s">
        <v>117</v>
      </c>
      <c r="U1850" t="s">
        <v>4072</v>
      </c>
      <c r="V1850" t="s">
        <v>2215</v>
      </c>
      <c r="AF1850" t="s">
        <v>5886</v>
      </c>
    </row>
    <row r="1851" spans="1:33" x14ac:dyDescent="0.3">
      <c r="A1851">
        <v>34893</v>
      </c>
      <c r="B1851" t="s">
        <v>10070</v>
      </c>
      <c r="C1851" t="str">
        <f>""</f>
        <v/>
      </c>
      <c r="D1851" t="str">
        <f>"B0PT7HH00"</f>
        <v>B0PT7HH00</v>
      </c>
      <c r="E1851" s="1">
        <v>39863</v>
      </c>
      <c r="F1851" t="s">
        <v>10071</v>
      </c>
      <c r="G1851" t="e">
        <f>INDEX(#REF!,MATCH(P1851,#REF!,0),1)</f>
        <v>#REF!</v>
      </c>
      <c r="H1851" t="s">
        <v>10072</v>
      </c>
      <c r="J1851" t="s">
        <v>446</v>
      </c>
      <c r="K1851" t="s">
        <v>37</v>
      </c>
      <c r="L1851" t="s">
        <v>10073</v>
      </c>
      <c r="M1851" t="s">
        <v>10074</v>
      </c>
      <c r="N1851">
        <v>210</v>
      </c>
      <c r="O1851" t="s">
        <v>840</v>
      </c>
      <c r="P1851">
        <v>770597</v>
      </c>
      <c r="Q1851" t="s">
        <v>3937</v>
      </c>
      <c r="R1851" t="s">
        <v>3744</v>
      </c>
      <c r="S1851" t="s">
        <v>3745</v>
      </c>
      <c r="T1851" t="s">
        <v>2277</v>
      </c>
      <c r="U1851" t="s">
        <v>5622</v>
      </c>
      <c r="V1851" t="s">
        <v>1824</v>
      </c>
      <c r="Y1851" t="s">
        <v>46</v>
      </c>
      <c r="Z1851" s="1">
        <v>42370</v>
      </c>
      <c r="AE1851" t="s">
        <v>47</v>
      </c>
    </row>
    <row r="1852" spans="1:33" x14ac:dyDescent="0.3">
      <c r="A1852">
        <v>34931</v>
      </c>
      <c r="B1852" t="s">
        <v>10075</v>
      </c>
      <c r="C1852" t="str">
        <f>"1100005661004"</f>
        <v>1100005661004</v>
      </c>
      <c r="D1852" t="str">
        <f>"98JHM5800"</f>
        <v>98JHM5800</v>
      </c>
      <c r="E1852" s="1">
        <v>42620</v>
      </c>
      <c r="F1852" t="s">
        <v>10076</v>
      </c>
      <c r="G1852" t="e">
        <f>INDEX(#REF!,MATCH(P1852,#REF!,0),1)</f>
        <v>#REF!</v>
      </c>
      <c r="H1852" t="s">
        <v>10077</v>
      </c>
      <c r="J1852" t="s">
        <v>3146</v>
      </c>
      <c r="K1852" t="s">
        <v>125</v>
      </c>
      <c r="L1852" t="s">
        <v>10078</v>
      </c>
      <c r="M1852" t="s">
        <v>10079</v>
      </c>
      <c r="N1852">
        <v>486</v>
      </c>
      <c r="O1852" t="s">
        <v>218</v>
      </c>
      <c r="P1852">
        <v>3560893</v>
      </c>
      <c r="Q1852" t="s">
        <v>9124</v>
      </c>
      <c r="R1852" t="s">
        <v>4838</v>
      </c>
      <c r="S1852" t="s">
        <v>4839</v>
      </c>
      <c r="T1852" t="s">
        <v>2277</v>
      </c>
      <c r="U1852" t="s">
        <v>5622</v>
      </c>
      <c r="V1852" t="s">
        <v>1824</v>
      </c>
      <c r="AA1852" t="s">
        <v>105</v>
      </c>
      <c r="AB1852" t="s">
        <v>93</v>
      </c>
    </row>
    <row r="1853" spans="1:33" x14ac:dyDescent="0.3">
      <c r="A1853">
        <v>34996</v>
      </c>
      <c r="B1853" t="s">
        <v>10080</v>
      </c>
      <c r="C1853" t="str">
        <f>"1100005019584"</f>
        <v>1100005019584</v>
      </c>
      <c r="D1853" t="str">
        <f>"710550I00"</f>
        <v>710550I00</v>
      </c>
      <c r="E1853" s="1">
        <v>35551</v>
      </c>
      <c r="F1853" t="s">
        <v>10081</v>
      </c>
      <c r="G1853" t="e">
        <f>INDEX(#REF!,MATCH(P1853,#REF!,0),1)</f>
        <v>#REF!</v>
      </c>
      <c r="H1853" t="s">
        <v>10082</v>
      </c>
      <c r="J1853" t="s">
        <v>696</v>
      </c>
      <c r="K1853" t="s">
        <v>111</v>
      </c>
      <c r="L1853" t="s">
        <v>10083</v>
      </c>
      <c r="M1853" t="s">
        <v>10084</v>
      </c>
      <c r="N1853">
        <v>174</v>
      </c>
      <c r="O1853" t="s">
        <v>694</v>
      </c>
      <c r="P1853">
        <v>174</v>
      </c>
      <c r="Q1853" t="s">
        <v>694</v>
      </c>
      <c r="R1853" t="s">
        <v>115</v>
      </c>
      <c r="S1853" t="s">
        <v>116</v>
      </c>
      <c r="T1853" t="s">
        <v>44</v>
      </c>
      <c r="U1853" t="s">
        <v>1823</v>
      </c>
      <c r="AA1853" t="s">
        <v>119</v>
      </c>
      <c r="AE1853" t="s">
        <v>120</v>
      </c>
    </row>
    <row r="1854" spans="1:33" x14ac:dyDescent="0.3">
      <c r="A1854">
        <v>35008</v>
      </c>
      <c r="B1854" t="s">
        <v>10085</v>
      </c>
      <c r="C1854" t="str">
        <f>""</f>
        <v/>
      </c>
      <c r="D1854" t="str">
        <f>"FDPEVRH00"</f>
        <v>FDPEVRH00</v>
      </c>
      <c r="E1854" s="1">
        <v>35551</v>
      </c>
      <c r="F1854" t="s">
        <v>10086</v>
      </c>
      <c r="G1854" t="e">
        <f>INDEX(#REF!,MATCH(P1854,#REF!,0),1)</f>
        <v>#REF!</v>
      </c>
      <c r="H1854" t="s">
        <v>10087</v>
      </c>
      <c r="J1854" t="s">
        <v>306</v>
      </c>
      <c r="K1854" t="s">
        <v>307</v>
      </c>
      <c r="L1854" t="s">
        <v>10088</v>
      </c>
      <c r="M1854" t="s">
        <v>10089</v>
      </c>
      <c r="N1854">
        <v>36874</v>
      </c>
      <c r="O1854" t="s">
        <v>710</v>
      </c>
      <c r="P1854">
        <v>838044</v>
      </c>
      <c r="Q1854" t="s">
        <v>8109</v>
      </c>
      <c r="R1854" t="s">
        <v>3807</v>
      </c>
      <c r="S1854" t="s">
        <v>3808</v>
      </c>
      <c r="T1854" t="s">
        <v>2277</v>
      </c>
      <c r="U1854" t="s">
        <v>5497</v>
      </c>
      <c r="V1854" t="s">
        <v>1824</v>
      </c>
      <c r="AD1854" t="s">
        <v>94</v>
      </c>
      <c r="AE1854" t="s">
        <v>60</v>
      </c>
      <c r="AG1854" t="s">
        <v>48</v>
      </c>
    </row>
    <row r="1855" spans="1:33" x14ac:dyDescent="0.3">
      <c r="A1855">
        <v>35011</v>
      </c>
      <c r="B1855" t="s">
        <v>10090</v>
      </c>
      <c r="C1855" t="str">
        <f>""</f>
        <v/>
      </c>
      <c r="D1855" t="str">
        <f>""</f>
        <v/>
      </c>
      <c r="E1855" s="1">
        <v>35551</v>
      </c>
      <c r="F1855" t="s">
        <v>10091</v>
      </c>
      <c r="G1855" t="e">
        <f>INDEX(#REF!,MATCH(P1855,#REF!,0),1)</f>
        <v>#REF!</v>
      </c>
      <c r="H1855" t="s">
        <v>10092</v>
      </c>
      <c r="I1855" t="s">
        <v>10093</v>
      </c>
      <c r="J1855" t="s">
        <v>306</v>
      </c>
      <c r="K1855" t="s">
        <v>307</v>
      </c>
      <c r="L1855">
        <v>46202</v>
      </c>
      <c r="M1855" t="s">
        <v>10094</v>
      </c>
      <c r="N1855">
        <v>36874</v>
      </c>
      <c r="O1855" t="s">
        <v>710</v>
      </c>
      <c r="P1855">
        <v>838044</v>
      </c>
      <c r="Q1855" t="s">
        <v>8109</v>
      </c>
      <c r="R1855" t="s">
        <v>3807</v>
      </c>
      <c r="S1855" t="s">
        <v>3808</v>
      </c>
      <c r="T1855" t="s">
        <v>2277</v>
      </c>
      <c r="U1855" t="s">
        <v>5497</v>
      </c>
      <c r="V1855" t="s">
        <v>1824</v>
      </c>
      <c r="AD1855" t="s">
        <v>94</v>
      </c>
      <c r="AG1855" t="s">
        <v>48</v>
      </c>
    </row>
    <row r="1856" spans="1:33" x14ac:dyDescent="0.3">
      <c r="A1856">
        <v>35013</v>
      </c>
      <c r="B1856" t="s">
        <v>10095</v>
      </c>
      <c r="C1856" t="str">
        <f>"1100005095533"</f>
        <v>1100005095533</v>
      </c>
      <c r="D1856" t="str">
        <f>"B966NVE00"</f>
        <v>B966NVE00</v>
      </c>
      <c r="E1856" s="1">
        <v>35551</v>
      </c>
      <c r="F1856" t="s">
        <v>10096</v>
      </c>
      <c r="G1856" t="e">
        <f>INDEX(#REF!,MATCH(P1856,#REF!,0),1)</f>
        <v>#REF!</v>
      </c>
      <c r="H1856" t="s">
        <v>10097</v>
      </c>
      <c r="J1856" t="s">
        <v>306</v>
      </c>
      <c r="K1856" t="s">
        <v>307</v>
      </c>
      <c r="L1856" t="s">
        <v>10098</v>
      </c>
      <c r="M1856" t="s">
        <v>10099</v>
      </c>
      <c r="N1856">
        <v>36874</v>
      </c>
      <c r="O1856" t="s">
        <v>710</v>
      </c>
      <c r="P1856">
        <v>838044</v>
      </c>
      <c r="Q1856" t="s">
        <v>8109</v>
      </c>
      <c r="R1856" t="s">
        <v>3807</v>
      </c>
      <c r="S1856" t="s">
        <v>3808</v>
      </c>
      <c r="T1856" t="s">
        <v>117</v>
      </c>
      <c r="U1856" t="s">
        <v>4108</v>
      </c>
      <c r="V1856" t="s">
        <v>1824</v>
      </c>
      <c r="AD1856" t="s">
        <v>94</v>
      </c>
      <c r="AE1856" t="s">
        <v>60</v>
      </c>
      <c r="AG1856" t="s">
        <v>48</v>
      </c>
    </row>
    <row r="1857" spans="1:33" x14ac:dyDescent="0.3">
      <c r="A1857">
        <v>35014</v>
      </c>
      <c r="B1857" t="s">
        <v>10100</v>
      </c>
      <c r="C1857" t="str">
        <f>"1100004004840"</f>
        <v>1100004004840</v>
      </c>
      <c r="D1857" t="str">
        <f>"LJNNMGG00"</f>
        <v>LJNNMGG00</v>
      </c>
      <c r="E1857" s="1">
        <v>35551</v>
      </c>
      <c r="F1857" t="s">
        <v>10101</v>
      </c>
      <c r="G1857" t="e">
        <f>INDEX(#REF!,MATCH(P1857,#REF!,0),1)</f>
        <v>#REF!</v>
      </c>
      <c r="H1857" t="s">
        <v>10102</v>
      </c>
      <c r="I1857" t="s">
        <v>10103</v>
      </c>
      <c r="J1857" t="s">
        <v>306</v>
      </c>
      <c r="K1857" t="s">
        <v>307</v>
      </c>
      <c r="L1857">
        <v>46202</v>
      </c>
      <c r="M1857" t="s">
        <v>10104</v>
      </c>
      <c r="N1857">
        <v>36874</v>
      </c>
      <c r="O1857" t="s">
        <v>710</v>
      </c>
      <c r="P1857">
        <v>838044</v>
      </c>
      <c r="Q1857" t="s">
        <v>8109</v>
      </c>
      <c r="R1857" t="s">
        <v>3807</v>
      </c>
      <c r="S1857" t="s">
        <v>3808</v>
      </c>
      <c r="T1857" t="s">
        <v>2277</v>
      </c>
      <c r="U1857" t="s">
        <v>9035</v>
      </c>
      <c r="V1857" t="s">
        <v>1824</v>
      </c>
      <c r="AD1857" t="s">
        <v>94</v>
      </c>
      <c r="AE1857" t="s">
        <v>60</v>
      </c>
      <c r="AG1857" t="s">
        <v>48</v>
      </c>
    </row>
    <row r="1858" spans="1:33" x14ac:dyDescent="0.3">
      <c r="A1858">
        <v>35021</v>
      </c>
      <c r="B1858" t="s">
        <v>10105</v>
      </c>
      <c r="C1858" t="str">
        <f>""</f>
        <v/>
      </c>
      <c r="D1858" t="str">
        <f>"CAR5XBQF1"</f>
        <v>CAR5XBQF1</v>
      </c>
      <c r="E1858" s="1">
        <v>35551</v>
      </c>
      <c r="F1858" t="s">
        <v>10106</v>
      </c>
      <c r="G1858" t="e">
        <f>INDEX(#REF!,MATCH(P1858,#REF!,0),1)</f>
        <v>#REF!</v>
      </c>
      <c r="H1858" t="s">
        <v>10107</v>
      </c>
      <c r="J1858" t="s">
        <v>306</v>
      </c>
      <c r="K1858" t="s">
        <v>307</v>
      </c>
      <c r="L1858">
        <v>46202</v>
      </c>
      <c r="M1858" t="s">
        <v>10108</v>
      </c>
      <c r="N1858">
        <v>36874</v>
      </c>
      <c r="O1858" t="s">
        <v>710</v>
      </c>
      <c r="P1858">
        <v>838044</v>
      </c>
      <c r="Q1858" t="s">
        <v>8109</v>
      </c>
      <c r="R1858" t="s">
        <v>3807</v>
      </c>
      <c r="S1858" t="s">
        <v>3808</v>
      </c>
      <c r="T1858" t="s">
        <v>2277</v>
      </c>
      <c r="U1858" t="s">
        <v>10109</v>
      </c>
      <c r="V1858" t="s">
        <v>1824</v>
      </c>
      <c r="AD1858" t="s">
        <v>94</v>
      </c>
      <c r="AE1858" t="s">
        <v>60</v>
      </c>
      <c r="AG1858" t="s">
        <v>48</v>
      </c>
    </row>
    <row r="1859" spans="1:33" x14ac:dyDescent="0.3">
      <c r="A1859">
        <v>35023</v>
      </c>
      <c r="B1859" t="s">
        <v>10110</v>
      </c>
      <c r="C1859" t="str">
        <f>"1100005349001"</f>
        <v>1100005349001</v>
      </c>
      <c r="D1859" t="str">
        <f>"KL6J3DA00"</f>
        <v>KL6J3DA00</v>
      </c>
      <c r="E1859" s="1">
        <v>35551</v>
      </c>
      <c r="F1859" t="s">
        <v>10111</v>
      </c>
      <c r="G1859" t="e">
        <f>INDEX(#REF!,MATCH(P1859,#REF!,0),1)</f>
        <v>#REF!</v>
      </c>
      <c r="H1859" t="s">
        <v>10112</v>
      </c>
      <c r="J1859" t="s">
        <v>306</v>
      </c>
      <c r="K1859" t="s">
        <v>307</v>
      </c>
      <c r="L1859">
        <v>46223</v>
      </c>
      <c r="M1859" t="s">
        <v>10113</v>
      </c>
      <c r="N1859">
        <v>36874</v>
      </c>
      <c r="O1859" t="s">
        <v>710</v>
      </c>
      <c r="P1859">
        <v>838044</v>
      </c>
      <c r="Q1859" t="s">
        <v>8109</v>
      </c>
      <c r="R1859" t="s">
        <v>3807</v>
      </c>
      <c r="S1859" t="s">
        <v>3808</v>
      </c>
      <c r="T1859" t="s">
        <v>2277</v>
      </c>
      <c r="U1859" t="s">
        <v>2278</v>
      </c>
      <c r="V1859" t="s">
        <v>1824</v>
      </c>
      <c r="AD1859" t="s">
        <v>94</v>
      </c>
      <c r="AE1859" t="s">
        <v>60</v>
      </c>
      <c r="AG1859" t="s">
        <v>48</v>
      </c>
    </row>
    <row r="1860" spans="1:33" x14ac:dyDescent="0.3">
      <c r="A1860">
        <v>35024</v>
      </c>
      <c r="B1860" t="s">
        <v>10114</v>
      </c>
      <c r="C1860" t="str">
        <f>"1100005050228"</f>
        <v>1100005050228</v>
      </c>
      <c r="D1860" t="str">
        <f>""</f>
        <v/>
      </c>
      <c r="E1860" s="1">
        <v>35551</v>
      </c>
      <c r="F1860" t="s">
        <v>10115</v>
      </c>
      <c r="G1860" t="e">
        <f>INDEX(#REF!,MATCH(P1860,#REF!,0),1)</f>
        <v>#REF!</v>
      </c>
      <c r="H1860" t="s">
        <v>10116</v>
      </c>
      <c r="I1860" t="s">
        <v>10117</v>
      </c>
      <c r="J1860" t="s">
        <v>306</v>
      </c>
      <c r="K1860" t="s">
        <v>307</v>
      </c>
      <c r="L1860" t="s">
        <v>10118</v>
      </c>
      <c r="M1860" t="s">
        <v>10119</v>
      </c>
      <c r="N1860">
        <v>36874</v>
      </c>
      <c r="O1860" t="s">
        <v>710</v>
      </c>
      <c r="P1860">
        <v>838044</v>
      </c>
      <c r="Q1860" t="s">
        <v>8109</v>
      </c>
      <c r="R1860" t="s">
        <v>3807</v>
      </c>
      <c r="S1860" t="s">
        <v>3808</v>
      </c>
      <c r="T1860" t="s">
        <v>2277</v>
      </c>
      <c r="U1860" t="s">
        <v>2278</v>
      </c>
      <c r="V1860" t="s">
        <v>1824</v>
      </c>
      <c r="AD1860" t="s">
        <v>94</v>
      </c>
      <c r="AG1860" t="s">
        <v>48</v>
      </c>
    </row>
    <row r="1861" spans="1:33" x14ac:dyDescent="0.3">
      <c r="A1861">
        <v>35027</v>
      </c>
      <c r="B1861" t="s">
        <v>10120</v>
      </c>
      <c r="C1861" t="str">
        <f>""</f>
        <v/>
      </c>
      <c r="D1861" t="str">
        <f>"420670JF9"</f>
        <v>420670JF9</v>
      </c>
      <c r="E1861" s="1">
        <v>35551</v>
      </c>
      <c r="F1861" t="s">
        <v>10121</v>
      </c>
      <c r="G1861" t="e">
        <f>INDEX(#REF!,MATCH(P1861,#REF!,0),1)</f>
        <v>#REF!</v>
      </c>
      <c r="H1861" t="s">
        <v>10122</v>
      </c>
      <c r="J1861" t="s">
        <v>306</v>
      </c>
      <c r="K1861" t="s">
        <v>307</v>
      </c>
      <c r="L1861" t="s">
        <v>8107</v>
      </c>
      <c r="M1861" t="s">
        <v>10123</v>
      </c>
      <c r="N1861">
        <v>36874</v>
      </c>
      <c r="O1861" t="s">
        <v>710</v>
      </c>
      <c r="P1861">
        <v>838044</v>
      </c>
      <c r="Q1861" t="s">
        <v>8109</v>
      </c>
      <c r="R1861" t="s">
        <v>3807</v>
      </c>
      <c r="S1861" t="s">
        <v>3808</v>
      </c>
      <c r="T1861" t="s">
        <v>2277</v>
      </c>
      <c r="U1861" t="s">
        <v>5497</v>
      </c>
      <c r="V1861" t="s">
        <v>1824</v>
      </c>
      <c r="AD1861" t="s">
        <v>94</v>
      </c>
      <c r="AE1861" t="s">
        <v>60</v>
      </c>
      <c r="AG1861" t="s">
        <v>48</v>
      </c>
    </row>
    <row r="1862" spans="1:33" x14ac:dyDescent="0.3">
      <c r="A1862">
        <v>35030</v>
      </c>
      <c r="B1862" t="s">
        <v>10124</v>
      </c>
      <c r="C1862" t="str">
        <f>"1100003836985"</f>
        <v>1100003836985</v>
      </c>
      <c r="D1862" t="str">
        <f>"B8YFLXE00"</f>
        <v>B8YFLXE00</v>
      </c>
      <c r="E1862" s="1">
        <v>35551</v>
      </c>
      <c r="F1862" t="s">
        <v>10125</v>
      </c>
      <c r="G1862" t="e">
        <f>INDEX(#REF!,MATCH(P1862,#REF!,0),1)</f>
        <v>#REF!</v>
      </c>
      <c r="H1862" t="s">
        <v>10102</v>
      </c>
      <c r="I1862" t="s">
        <v>10126</v>
      </c>
      <c r="J1862" t="s">
        <v>306</v>
      </c>
      <c r="K1862" t="s">
        <v>307</v>
      </c>
      <c r="L1862" t="s">
        <v>8107</v>
      </c>
      <c r="M1862" t="s">
        <v>10127</v>
      </c>
      <c r="N1862">
        <v>36874</v>
      </c>
      <c r="O1862" t="s">
        <v>710</v>
      </c>
      <c r="P1862">
        <v>838044</v>
      </c>
      <c r="Q1862" t="s">
        <v>8109</v>
      </c>
      <c r="R1862" t="s">
        <v>3807</v>
      </c>
      <c r="S1862" t="s">
        <v>3808</v>
      </c>
      <c r="T1862" t="s">
        <v>2277</v>
      </c>
      <c r="U1862" t="s">
        <v>5622</v>
      </c>
      <c r="V1862" t="s">
        <v>1824</v>
      </c>
      <c r="AD1862" t="s">
        <v>94</v>
      </c>
      <c r="AE1862" t="s">
        <v>60</v>
      </c>
      <c r="AG1862" t="s">
        <v>48</v>
      </c>
    </row>
    <row r="1863" spans="1:33" x14ac:dyDescent="0.3">
      <c r="A1863">
        <v>35031</v>
      </c>
      <c r="B1863" t="s">
        <v>10128</v>
      </c>
      <c r="C1863" t="str">
        <f>""</f>
        <v/>
      </c>
      <c r="D1863" t="str">
        <f>""</f>
        <v/>
      </c>
      <c r="E1863" s="1">
        <v>35551</v>
      </c>
      <c r="F1863" t="s">
        <v>10129</v>
      </c>
      <c r="G1863" t="e">
        <f>INDEX(#REF!,MATCH(P1863,#REF!,0),1)</f>
        <v>#REF!</v>
      </c>
      <c r="H1863" t="s">
        <v>10130</v>
      </c>
      <c r="J1863" t="s">
        <v>306</v>
      </c>
      <c r="K1863" t="s">
        <v>307</v>
      </c>
      <c r="L1863" t="s">
        <v>10131</v>
      </c>
      <c r="M1863" t="s">
        <v>10127</v>
      </c>
      <c r="N1863">
        <v>36874</v>
      </c>
      <c r="O1863" t="s">
        <v>710</v>
      </c>
      <c r="P1863">
        <v>838044</v>
      </c>
      <c r="Q1863" t="s">
        <v>8109</v>
      </c>
      <c r="R1863" t="s">
        <v>3807</v>
      </c>
      <c r="S1863" t="s">
        <v>3808</v>
      </c>
      <c r="T1863" t="s">
        <v>2277</v>
      </c>
      <c r="U1863" t="s">
        <v>5497</v>
      </c>
      <c r="V1863" t="s">
        <v>1824</v>
      </c>
      <c r="AD1863" t="s">
        <v>94</v>
      </c>
      <c r="AG1863" t="s">
        <v>48</v>
      </c>
    </row>
    <row r="1864" spans="1:33" x14ac:dyDescent="0.3">
      <c r="A1864">
        <v>35033</v>
      </c>
      <c r="B1864" t="s">
        <v>10132</v>
      </c>
      <c r="C1864" t="str">
        <f>"1100005225015"</f>
        <v>1100005225015</v>
      </c>
      <c r="D1864" t="str">
        <f>""</f>
        <v/>
      </c>
      <c r="E1864" s="1">
        <v>35551</v>
      </c>
      <c r="F1864" t="s">
        <v>10133</v>
      </c>
      <c r="G1864" t="e">
        <f>INDEX(#REF!,MATCH(P1864,#REF!,0),1)</f>
        <v>#REF!</v>
      </c>
      <c r="H1864" t="s">
        <v>10134</v>
      </c>
      <c r="J1864" t="s">
        <v>306</v>
      </c>
      <c r="K1864" t="s">
        <v>307</v>
      </c>
      <c r="L1864">
        <v>46202</v>
      </c>
      <c r="M1864" t="s">
        <v>10135</v>
      </c>
      <c r="N1864">
        <v>36874</v>
      </c>
      <c r="O1864" t="s">
        <v>710</v>
      </c>
      <c r="P1864">
        <v>838044</v>
      </c>
      <c r="Q1864" t="s">
        <v>8109</v>
      </c>
      <c r="R1864" t="s">
        <v>3807</v>
      </c>
      <c r="S1864" t="s">
        <v>3808</v>
      </c>
      <c r="T1864" t="s">
        <v>10136</v>
      </c>
      <c r="U1864" t="s">
        <v>10137</v>
      </c>
      <c r="V1864" t="s">
        <v>1824</v>
      </c>
      <c r="AD1864" t="s">
        <v>94</v>
      </c>
      <c r="AG1864" t="s">
        <v>48</v>
      </c>
    </row>
    <row r="1865" spans="1:33" x14ac:dyDescent="0.3">
      <c r="A1865">
        <v>35034</v>
      </c>
      <c r="B1865" t="s">
        <v>10138</v>
      </c>
      <c r="C1865" t="str">
        <f>"1100004245601"</f>
        <v>1100004245601</v>
      </c>
      <c r="D1865" t="str">
        <f>""</f>
        <v/>
      </c>
      <c r="E1865" s="1">
        <v>35551</v>
      </c>
      <c r="F1865" t="s">
        <v>10139</v>
      </c>
      <c r="G1865" t="e">
        <f>INDEX(#REF!,MATCH(P1865,#REF!,0),1)</f>
        <v>#REF!</v>
      </c>
      <c r="H1865" t="s">
        <v>10140</v>
      </c>
      <c r="J1865" t="s">
        <v>306</v>
      </c>
      <c r="K1865" t="s">
        <v>307</v>
      </c>
      <c r="L1865" t="s">
        <v>10088</v>
      </c>
      <c r="M1865" t="s">
        <v>10141</v>
      </c>
      <c r="N1865">
        <v>36874</v>
      </c>
      <c r="O1865" t="s">
        <v>710</v>
      </c>
      <c r="P1865">
        <v>838044</v>
      </c>
      <c r="Q1865" t="s">
        <v>8109</v>
      </c>
      <c r="R1865" t="s">
        <v>3807</v>
      </c>
      <c r="S1865" t="s">
        <v>3808</v>
      </c>
      <c r="T1865" t="s">
        <v>2277</v>
      </c>
      <c r="U1865" t="s">
        <v>5997</v>
      </c>
      <c r="V1865" t="s">
        <v>1824</v>
      </c>
      <c r="AD1865" t="s">
        <v>94</v>
      </c>
      <c r="AG1865" t="s">
        <v>48</v>
      </c>
    </row>
    <row r="1866" spans="1:33" x14ac:dyDescent="0.3">
      <c r="A1866">
        <v>35036</v>
      </c>
      <c r="B1866" t="s">
        <v>10142</v>
      </c>
      <c r="C1866" t="str">
        <f>"1100004698988"</f>
        <v>1100004698988</v>
      </c>
      <c r="D1866" t="str">
        <f>"420670JF8"</f>
        <v>420670JF8</v>
      </c>
      <c r="E1866" s="1">
        <v>35551</v>
      </c>
      <c r="F1866" t="s">
        <v>10143</v>
      </c>
      <c r="G1866" t="e">
        <f>INDEX(#REF!,MATCH(P1866,#REF!,0),1)</f>
        <v>#REF!</v>
      </c>
      <c r="H1866" t="s">
        <v>10144</v>
      </c>
      <c r="J1866" t="s">
        <v>306</v>
      </c>
      <c r="K1866" t="s">
        <v>307</v>
      </c>
      <c r="L1866">
        <v>46202</v>
      </c>
      <c r="M1866" t="s">
        <v>10145</v>
      </c>
      <c r="N1866">
        <v>36874</v>
      </c>
      <c r="O1866" t="s">
        <v>710</v>
      </c>
      <c r="P1866">
        <v>838044</v>
      </c>
      <c r="Q1866" t="s">
        <v>8109</v>
      </c>
      <c r="R1866" t="s">
        <v>3807</v>
      </c>
      <c r="S1866" t="s">
        <v>3808</v>
      </c>
      <c r="T1866" t="s">
        <v>2277</v>
      </c>
      <c r="U1866" t="s">
        <v>2278</v>
      </c>
      <c r="V1866" t="s">
        <v>1824</v>
      </c>
      <c r="AD1866" t="s">
        <v>94</v>
      </c>
      <c r="AE1866" t="s">
        <v>60</v>
      </c>
      <c r="AG1866" t="s">
        <v>48</v>
      </c>
    </row>
    <row r="1867" spans="1:33" x14ac:dyDescent="0.3">
      <c r="A1867">
        <v>35037</v>
      </c>
      <c r="B1867" t="s">
        <v>10146</v>
      </c>
      <c r="C1867" t="str">
        <f>""</f>
        <v/>
      </c>
      <c r="D1867" t="str">
        <f>""</f>
        <v/>
      </c>
      <c r="E1867" s="1">
        <v>35551</v>
      </c>
      <c r="F1867" t="s">
        <v>10147</v>
      </c>
      <c r="G1867" t="e">
        <f>INDEX(#REF!,MATCH(P1867,#REF!,0),1)</f>
        <v>#REF!</v>
      </c>
      <c r="H1867" t="s">
        <v>10107</v>
      </c>
      <c r="J1867" t="s">
        <v>306</v>
      </c>
      <c r="K1867" t="s">
        <v>307</v>
      </c>
      <c r="L1867">
        <v>46202</v>
      </c>
      <c r="M1867" t="s">
        <v>10148</v>
      </c>
      <c r="N1867">
        <v>36874</v>
      </c>
      <c r="O1867" t="s">
        <v>710</v>
      </c>
      <c r="P1867">
        <v>838044</v>
      </c>
      <c r="Q1867" t="s">
        <v>8109</v>
      </c>
      <c r="R1867" t="s">
        <v>3807</v>
      </c>
      <c r="S1867" t="s">
        <v>3808</v>
      </c>
      <c r="T1867" t="s">
        <v>2277</v>
      </c>
      <c r="U1867" t="s">
        <v>10109</v>
      </c>
      <c r="V1867" t="s">
        <v>1824</v>
      </c>
      <c r="AD1867" t="s">
        <v>94</v>
      </c>
      <c r="AG1867" t="s">
        <v>48</v>
      </c>
    </row>
    <row r="1868" spans="1:33" x14ac:dyDescent="0.3">
      <c r="A1868">
        <v>35043</v>
      </c>
      <c r="B1868" t="s">
        <v>10149</v>
      </c>
      <c r="C1868" t="str">
        <f>"1100003564468"</f>
        <v>1100003564468</v>
      </c>
      <c r="D1868" t="str">
        <f>"EC2097800"</f>
        <v>EC2097800</v>
      </c>
      <c r="E1868" s="1">
        <v>35551</v>
      </c>
      <c r="F1868" t="s">
        <v>10150</v>
      </c>
      <c r="G1868" t="e">
        <f>INDEX(#REF!,MATCH(P1868,#REF!,0),1)</f>
        <v>#REF!</v>
      </c>
      <c r="H1868" t="s">
        <v>10151</v>
      </c>
      <c r="J1868" t="s">
        <v>306</v>
      </c>
      <c r="K1868" t="s">
        <v>307</v>
      </c>
      <c r="L1868" t="s">
        <v>10131</v>
      </c>
      <c r="M1868" t="s">
        <v>10152</v>
      </c>
      <c r="N1868">
        <v>36874</v>
      </c>
      <c r="O1868" t="s">
        <v>710</v>
      </c>
      <c r="P1868">
        <v>838044</v>
      </c>
      <c r="Q1868" t="s">
        <v>8109</v>
      </c>
      <c r="R1868" t="s">
        <v>3807</v>
      </c>
      <c r="S1868" t="s">
        <v>3808</v>
      </c>
      <c r="T1868" t="s">
        <v>117</v>
      </c>
      <c r="U1868" t="s">
        <v>4108</v>
      </c>
      <c r="V1868" t="s">
        <v>1824</v>
      </c>
      <c r="AD1868" t="s">
        <v>94</v>
      </c>
      <c r="AE1868" t="s">
        <v>60</v>
      </c>
      <c r="AG1868" t="s">
        <v>48</v>
      </c>
    </row>
    <row r="1869" spans="1:33" x14ac:dyDescent="0.3">
      <c r="A1869">
        <v>35044</v>
      </c>
      <c r="B1869" t="s">
        <v>10153</v>
      </c>
      <c r="C1869" t="str">
        <f>""</f>
        <v/>
      </c>
      <c r="D1869" t="str">
        <f>"7DQC2H500"</f>
        <v>7DQC2H500</v>
      </c>
      <c r="E1869" s="1">
        <v>35551</v>
      </c>
      <c r="F1869" t="s">
        <v>10154</v>
      </c>
      <c r="G1869" t="e">
        <f>INDEX(#REF!,MATCH(P1869,#REF!,0),1)</f>
        <v>#REF!</v>
      </c>
      <c r="H1869" t="s">
        <v>10155</v>
      </c>
      <c r="J1869" t="s">
        <v>306</v>
      </c>
      <c r="K1869" t="s">
        <v>307</v>
      </c>
      <c r="L1869">
        <v>46202</v>
      </c>
      <c r="M1869" t="s">
        <v>10156</v>
      </c>
      <c r="N1869">
        <v>36874</v>
      </c>
      <c r="O1869" t="s">
        <v>710</v>
      </c>
      <c r="P1869">
        <v>838044</v>
      </c>
      <c r="Q1869" t="s">
        <v>8109</v>
      </c>
      <c r="R1869" t="s">
        <v>3807</v>
      </c>
      <c r="S1869" t="s">
        <v>3808</v>
      </c>
      <c r="T1869" t="s">
        <v>2277</v>
      </c>
      <c r="U1869" t="s">
        <v>10109</v>
      </c>
      <c r="V1869" t="s">
        <v>1824</v>
      </c>
      <c r="AD1869" t="s">
        <v>94</v>
      </c>
      <c r="AE1869" t="s">
        <v>60</v>
      </c>
      <c r="AG1869" t="s">
        <v>48</v>
      </c>
    </row>
    <row r="1870" spans="1:33" x14ac:dyDescent="0.3">
      <c r="A1870">
        <v>35046</v>
      </c>
      <c r="B1870" t="s">
        <v>10157</v>
      </c>
      <c r="C1870" t="str">
        <f>"1100003574887"</f>
        <v>1100003574887</v>
      </c>
      <c r="D1870" t="str">
        <f>"9C84ET400"</f>
        <v>9C84ET400</v>
      </c>
      <c r="E1870" s="1">
        <v>35551</v>
      </c>
      <c r="F1870" t="s">
        <v>10158</v>
      </c>
      <c r="G1870" t="e">
        <f>INDEX(#REF!,MATCH(P1870,#REF!,0),1)</f>
        <v>#REF!</v>
      </c>
      <c r="H1870" t="s">
        <v>10159</v>
      </c>
      <c r="J1870" t="s">
        <v>306</v>
      </c>
      <c r="K1870" t="s">
        <v>307</v>
      </c>
      <c r="L1870" t="s">
        <v>10160</v>
      </c>
      <c r="M1870" t="s">
        <v>10161</v>
      </c>
      <c r="N1870">
        <v>36874</v>
      </c>
      <c r="O1870" t="s">
        <v>710</v>
      </c>
      <c r="P1870">
        <v>838044</v>
      </c>
      <c r="Q1870" t="s">
        <v>8109</v>
      </c>
      <c r="R1870" t="s">
        <v>3807</v>
      </c>
      <c r="S1870" t="s">
        <v>3808</v>
      </c>
      <c r="T1870" t="s">
        <v>2277</v>
      </c>
      <c r="U1870" t="s">
        <v>2278</v>
      </c>
      <c r="V1870" t="s">
        <v>1824</v>
      </c>
      <c r="AD1870" t="s">
        <v>94</v>
      </c>
      <c r="AE1870" t="s">
        <v>60</v>
      </c>
      <c r="AG1870" t="s">
        <v>48</v>
      </c>
    </row>
    <row r="1871" spans="1:33" x14ac:dyDescent="0.3">
      <c r="A1871">
        <v>35049</v>
      </c>
      <c r="B1871" t="s">
        <v>10162</v>
      </c>
      <c r="C1871" t="str">
        <f>"1100003107528"</f>
        <v>1100003107528</v>
      </c>
      <c r="D1871" t="str">
        <f>""</f>
        <v/>
      </c>
      <c r="E1871" s="1">
        <v>35551</v>
      </c>
      <c r="F1871" t="s">
        <v>10163</v>
      </c>
      <c r="G1871" t="e">
        <f>INDEX(#REF!,MATCH(P1871,#REF!,0),1)</f>
        <v>#REF!</v>
      </c>
      <c r="H1871" t="s">
        <v>10164</v>
      </c>
      <c r="I1871" t="s">
        <v>10165</v>
      </c>
      <c r="J1871" t="s">
        <v>306</v>
      </c>
      <c r="K1871" t="s">
        <v>307</v>
      </c>
      <c r="L1871" t="s">
        <v>10166</v>
      </c>
      <c r="M1871" t="s">
        <v>10167</v>
      </c>
      <c r="N1871">
        <v>36874</v>
      </c>
      <c r="O1871" t="s">
        <v>710</v>
      </c>
      <c r="P1871">
        <v>838044</v>
      </c>
      <c r="Q1871" t="s">
        <v>8109</v>
      </c>
      <c r="R1871" t="s">
        <v>3807</v>
      </c>
      <c r="S1871" t="s">
        <v>3808</v>
      </c>
      <c r="T1871" t="s">
        <v>2277</v>
      </c>
      <c r="U1871" t="s">
        <v>2278</v>
      </c>
      <c r="V1871" t="s">
        <v>1824</v>
      </c>
      <c r="AD1871" t="s">
        <v>94</v>
      </c>
      <c r="AG1871" t="s">
        <v>48</v>
      </c>
    </row>
    <row r="1872" spans="1:33" x14ac:dyDescent="0.3">
      <c r="A1872">
        <v>35058</v>
      </c>
      <c r="B1872" t="s">
        <v>10168</v>
      </c>
      <c r="C1872" t="str">
        <f>"1100003208164"</f>
        <v>1100003208164</v>
      </c>
      <c r="D1872" t="str">
        <f>"8BLELVY00"</f>
        <v>8BLELVY00</v>
      </c>
      <c r="E1872" s="1">
        <v>35551</v>
      </c>
      <c r="F1872" t="s">
        <v>10169</v>
      </c>
      <c r="G1872" t="e">
        <f>INDEX(#REF!,MATCH(P1872,#REF!,0),1)</f>
        <v>#REF!</v>
      </c>
      <c r="H1872" t="s">
        <v>10102</v>
      </c>
      <c r="I1872" t="s">
        <v>10126</v>
      </c>
      <c r="J1872" t="s">
        <v>306</v>
      </c>
      <c r="K1872" t="s">
        <v>307</v>
      </c>
      <c r="L1872" t="s">
        <v>8107</v>
      </c>
      <c r="M1872" t="s">
        <v>10170</v>
      </c>
      <c r="N1872">
        <v>36874</v>
      </c>
      <c r="O1872" t="s">
        <v>710</v>
      </c>
      <c r="P1872">
        <v>838044</v>
      </c>
      <c r="Q1872" t="s">
        <v>8109</v>
      </c>
      <c r="R1872" t="s">
        <v>3807</v>
      </c>
      <c r="S1872" t="s">
        <v>3808</v>
      </c>
      <c r="T1872" t="s">
        <v>2277</v>
      </c>
      <c r="U1872" t="s">
        <v>5622</v>
      </c>
      <c r="V1872" t="s">
        <v>1824</v>
      </c>
      <c r="AD1872" t="s">
        <v>94</v>
      </c>
      <c r="AE1872" t="s">
        <v>60</v>
      </c>
      <c r="AG1872" t="s">
        <v>48</v>
      </c>
    </row>
    <row r="1873" spans="1:33" x14ac:dyDescent="0.3">
      <c r="A1873">
        <v>35059</v>
      </c>
      <c r="B1873" t="s">
        <v>10171</v>
      </c>
      <c r="C1873" t="str">
        <f>""</f>
        <v/>
      </c>
      <c r="D1873" t="str">
        <f>""</f>
        <v/>
      </c>
      <c r="E1873" s="1">
        <v>35551</v>
      </c>
      <c r="F1873" t="s">
        <v>10172</v>
      </c>
      <c r="G1873" t="e">
        <f>INDEX(#REF!,MATCH(P1873,#REF!,0),1)</f>
        <v>#REF!</v>
      </c>
      <c r="H1873" t="s">
        <v>10107</v>
      </c>
      <c r="J1873" t="s">
        <v>306</v>
      </c>
      <c r="K1873" t="s">
        <v>307</v>
      </c>
      <c r="L1873">
        <v>46202</v>
      </c>
      <c r="M1873" t="s">
        <v>10173</v>
      </c>
      <c r="N1873">
        <v>36874</v>
      </c>
      <c r="O1873" t="s">
        <v>710</v>
      </c>
      <c r="P1873">
        <v>838044</v>
      </c>
      <c r="Q1873" t="s">
        <v>8109</v>
      </c>
      <c r="R1873" t="s">
        <v>3807</v>
      </c>
      <c r="S1873" t="s">
        <v>3808</v>
      </c>
      <c r="T1873" t="s">
        <v>2277</v>
      </c>
      <c r="U1873" t="s">
        <v>10109</v>
      </c>
      <c r="V1873" t="s">
        <v>1824</v>
      </c>
      <c r="AD1873" t="s">
        <v>94</v>
      </c>
      <c r="AG1873" t="s">
        <v>48</v>
      </c>
    </row>
    <row r="1874" spans="1:33" x14ac:dyDescent="0.3">
      <c r="A1874">
        <v>35061</v>
      </c>
      <c r="B1874" t="s">
        <v>10174</v>
      </c>
      <c r="C1874" t="str">
        <f>"1100004325525"</f>
        <v>1100004325525</v>
      </c>
      <c r="D1874" t="str">
        <f>""</f>
        <v/>
      </c>
      <c r="E1874" s="1">
        <v>35551</v>
      </c>
      <c r="F1874" t="s">
        <v>10175</v>
      </c>
      <c r="G1874" t="e">
        <f>INDEX(#REF!,MATCH(P1874,#REF!,0),1)</f>
        <v>#REF!</v>
      </c>
      <c r="H1874" t="s">
        <v>10176</v>
      </c>
      <c r="I1874" t="s">
        <v>10177</v>
      </c>
      <c r="J1874" t="s">
        <v>306</v>
      </c>
      <c r="K1874" t="s">
        <v>307</v>
      </c>
      <c r="L1874">
        <v>46202</v>
      </c>
      <c r="M1874" t="s">
        <v>10178</v>
      </c>
      <c r="N1874">
        <v>36874</v>
      </c>
      <c r="O1874" t="s">
        <v>710</v>
      </c>
      <c r="P1874">
        <v>838044</v>
      </c>
      <c r="Q1874" t="s">
        <v>8109</v>
      </c>
      <c r="R1874" t="s">
        <v>3807</v>
      </c>
      <c r="S1874" t="s">
        <v>3808</v>
      </c>
      <c r="T1874" t="s">
        <v>2277</v>
      </c>
      <c r="U1874" t="s">
        <v>2278</v>
      </c>
      <c r="V1874" t="s">
        <v>1824</v>
      </c>
      <c r="AD1874" t="s">
        <v>94</v>
      </c>
      <c r="AG1874" t="s">
        <v>48</v>
      </c>
    </row>
    <row r="1875" spans="1:33" x14ac:dyDescent="0.3">
      <c r="A1875">
        <v>35062</v>
      </c>
      <c r="B1875" t="s">
        <v>10179</v>
      </c>
      <c r="C1875" t="str">
        <f>""</f>
        <v/>
      </c>
      <c r="D1875" t="str">
        <f>"JH3QDLR00"</f>
        <v>JH3QDLR00</v>
      </c>
      <c r="E1875" s="1">
        <v>35551</v>
      </c>
      <c r="F1875" t="s">
        <v>10180</v>
      </c>
      <c r="G1875" t="e">
        <f>INDEX(#REF!,MATCH(P1875,#REF!,0),1)</f>
        <v>#REF!</v>
      </c>
      <c r="H1875" t="s">
        <v>10181</v>
      </c>
      <c r="J1875" t="s">
        <v>306</v>
      </c>
      <c r="K1875" t="s">
        <v>307</v>
      </c>
      <c r="L1875" t="s">
        <v>10182</v>
      </c>
      <c r="M1875" t="s">
        <v>10183</v>
      </c>
      <c r="N1875">
        <v>36874</v>
      </c>
      <c r="O1875" t="s">
        <v>710</v>
      </c>
      <c r="P1875">
        <v>838044</v>
      </c>
      <c r="Q1875" t="s">
        <v>8109</v>
      </c>
      <c r="R1875" t="s">
        <v>3807</v>
      </c>
      <c r="S1875" t="s">
        <v>3808</v>
      </c>
      <c r="T1875" t="s">
        <v>2277</v>
      </c>
      <c r="U1875" t="s">
        <v>5651</v>
      </c>
      <c r="V1875" t="s">
        <v>1824</v>
      </c>
      <c r="AD1875" t="s">
        <v>94</v>
      </c>
      <c r="AE1875" t="s">
        <v>60</v>
      </c>
      <c r="AG1875" t="s">
        <v>48</v>
      </c>
    </row>
    <row r="1876" spans="1:33" x14ac:dyDescent="0.3">
      <c r="A1876">
        <v>35064</v>
      </c>
      <c r="B1876" t="s">
        <v>10184</v>
      </c>
      <c r="C1876" t="str">
        <f>""</f>
        <v/>
      </c>
      <c r="D1876" t="str">
        <f>""</f>
        <v/>
      </c>
      <c r="E1876" s="1">
        <v>35551</v>
      </c>
      <c r="F1876" t="s">
        <v>10185</v>
      </c>
      <c r="G1876" t="e">
        <f>INDEX(#REF!,MATCH(P1876,#REF!,0),1)</f>
        <v>#REF!</v>
      </c>
      <c r="H1876" t="s">
        <v>10186</v>
      </c>
      <c r="I1876" t="s">
        <v>10187</v>
      </c>
      <c r="J1876" t="s">
        <v>306</v>
      </c>
      <c r="K1876" t="s">
        <v>307</v>
      </c>
      <c r="L1876">
        <v>46202</v>
      </c>
      <c r="M1876" t="s">
        <v>10188</v>
      </c>
      <c r="N1876">
        <v>36874</v>
      </c>
      <c r="O1876" t="s">
        <v>710</v>
      </c>
      <c r="P1876">
        <v>838044</v>
      </c>
      <c r="Q1876" t="s">
        <v>8109</v>
      </c>
      <c r="R1876" t="s">
        <v>3807</v>
      </c>
      <c r="S1876" t="s">
        <v>3808</v>
      </c>
      <c r="T1876" t="s">
        <v>2277</v>
      </c>
      <c r="U1876" t="s">
        <v>5497</v>
      </c>
      <c r="V1876" t="s">
        <v>1824</v>
      </c>
      <c r="AD1876" t="s">
        <v>94</v>
      </c>
      <c r="AG1876" t="s">
        <v>48</v>
      </c>
    </row>
    <row r="1877" spans="1:33" x14ac:dyDescent="0.3">
      <c r="A1877">
        <v>35159</v>
      </c>
      <c r="B1877" t="s">
        <v>10189</v>
      </c>
      <c r="C1877" t="str">
        <f>""</f>
        <v/>
      </c>
      <c r="D1877" t="str">
        <f>"7FCFGWP00"</f>
        <v>7FCFGWP00</v>
      </c>
      <c r="E1877" s="1">
        <v>35551</v>
      </c>
      <c r="F1877" t="s">
        <v>10190</v>
      </c>
      <c r="G1877" t="e">
        <f>INDEX(#REF!,MATCH(P1877,#REF!,0),1)</f>
        <v>#REF!</v>
      </c>
      <c r="H1877" t="s">
        <v>10191</v>
      </c>
      <c r="J1877" t="s">
        <v>2106</v>
      </c>
      <c r="K1877" t="s">
        <v>99</v>
      </c>
      <c r="L1877" t="s">
        <v>10192</v>
      </c>
      <c r="M1877" t="s">
        <v>10193</v>
      </c>
      <c r="N1877">
        <v>2625226</v>
      </c>
      <c r="O1877" t="s">
        <v>2109</v>
      </c>
      <c r="P1877">
        <v>576</v>
      </c>
      <c r="Q1877" t="s">
        <v>2104</v>
      </c>
      <c r="R1877" t="s">
        <v>434</v>
      </c>
      <c r="S1877" t="s">
        <v>435</v>
      </c>
      <c r="T1877" t="s">
        <v>44</v>
      </c>
      <c r="U1877" t="s">
        <v>6115</v>
      </c>
    </row>
    <row r="1878" spans="1:33" x14ac:dyDescent="0.3">
      <c r="A1878">
        <v>35162</v>
      </c>
      <c r="B1878" t="s">
        <v>10194</v>
      </c>
      <c r="C1878" t="str">
        <f>""</f>
        <v/>
      </c>
      <c r="D1878" t="str">
        <f>"441870OF1"</f>
        <v>441870OF1</v>
      </c>
      <c r="E1878" s="1">
        <v>35551</v>
      </c>
      <c r="F1878" t="s">
        <v>10195</v>
      </c>
      <c r="G1878" t="e">
        <f>INDEX(#REF!,MATCH(P1878,#REF!,0),1)</f>
        <v>#REF!</v>
      </c>
      <c r="H1878" t="s">
        <v>803</v>
      </c>
      <c r="J1878" t="s">
        <v>804</v>
      </c>
      <c r="K1878" t="s">
        <v>261</v>
      </c>
      <c r="L1878" t="s">
        <v>10196</v>
      </c>
      <c r="M1878" t="s">
        <v>10197</v>
      </c>
      <c r="N1878">
        <v>61089</v>
      </c>
      <c r="O1878" t="s">
        <v>745</v>
      </c>
      <c r="P1878">
        <v>202</v>
      </c>
      <c r="Q1878" t="s">
        <v>802</v>
      </c>
      <c r="R1878" t="s">
        <v>3159</v>
      </c>
      <c r="S1878" t="s">
        <v>3160</v>
      </c>
      <c r="T1878" t="s">
        <v>2140</v>
      </c>
      <c r="U1878" t="s">
        <v>2141</v>
      </c>
      <c r="V1878" t="s">
        <v>1824</v>
      </c>
    </row>
    <row r="1879" spans="1:33" x14ac:dyDescent="0.3">
      <c r="A1879">
        <v>35163</v>
      </c>
      <c r="B1879" t="s">
        <v>10198</v>
      </c>
      <c r="C1879" t="str">
        <f>""</f>
        <v/>
      </c>
      <c r="D1879" t="str">
        <f>"B3220XF00"</f>
        <v>B3220XF00</v>
      </c>
      <c r="E1879" s="1">
        <v>35551</v>
      </c>
      <c r="F1879" t="s">
        <v>10199</v>
      </c>
      <c r="G1879" t="e">
        <f>INDEX(#REF!,MATCH(P1879,#REF!,0),1)</f>
        <v>#REF!</v>
      </c>
      <c r="H1879" t="s">
        <v>10200</v>
      </c>
      <c r="J1879" t="s">
        <v>8122</v>
      </c>
      <c r="K1879" t="s">
        <v>1840</v>
      </c>
      <c r="L1879">
        <v>97006</v>
      </c>
      <c r="M1879" t="s">
        <v>10201</v>
      </c>
      <c r="N1879">
        <v>35163</v>
      </c>
      <c r="O1879" t="s">
        <v>10199</v>
      </c>
      <c r="P1879">
        <v>35163</v>
      </c>
      <c r="Q1879" t="s">
        <v>10199</v>
      </c>
      <c r="R1879" t="s">
        <v>4689</v>
      </c>
      <c r="S1879" t="s">
        <v>4690</v>
      </c>
      <c r="T1879" t="s">
        <v>2277</v>
      </c>
      <c r="U1879" t="s">
        <v>2278</v>
      </c>
      <c r="V1879" t="s">
        <v>2215</v>
      </c>
    </row>
    <row r="1880" spans="1:33" x14ac:dyDescent="0.3">
      <c r="A1880">
        <v>35170</v>
      </c>
      <c r="B1880" t="s">
        <v>10202</v>
      </c>
      <c r="C1880" t="str">
        <f>""</f>
        <v/>
      </c>
      <c r="D1880" t="str">
        <f>"70C06WL00"</f>
        <v>70C06WL00</v>
      </c>
      <c r="E1880" s="1">
        <v>35551</v>
      </c>
      <c r="F1880" t="s">
        <v>10203</v>
      </c>
      <c r="G1880" t="e">
        <f>INDEX(#REF!,MATCH(P1880,#REF!,0),1)</f>
        <v>#REF!</v>
      </c>
      <c r="H1880" t="s">
        <v>10204</v>
      </c>
      <c r="J1880" t="s">
        <v>10205</v>
      </c>
      <c r="K1880" t="s">
        <v>111</v>
      </c>
      <c r="L1880" t="s">
        <v>10206</v>
      </c>
      <c r="M1880" t="s">
        <v>10207</v>
      </c>
      <c r="N1880">
        <v>28</v>
      </c>
      <c r="O1880" t="s">
        <v>114</v>
      </c>
      <c r="P1880">
        <v>2386</v>
      </c>
      <c r="Q1880" t="s">
        <v>5292</v>
      </c>
      <c r="R1880" t="s">
        <v>4838</v>
      </c>
      <c r="S1880" t="s">
        <v>4839</v>
      </c>
      <c r="T1880" t="s">
        <v>2277</v>
      </c>
      <c r="U1880" t="s">
        <v>2278</v>
      </c>
      <c r="V1880" t="s">
        <v>1824</v>
      </c>
      <c r="AA1880" t="s">
        <v>119</v>
      </c>
      <c r="AE1880" t="s">
        <v>120</v>
      </c>
    </row>
    <row r="1881" spans="1:33" x14ac:dyDescent="0.3">
      <c r="A1881">
        <v>35171</v>
      </c>
      <c r="B1881" t="s">
        <v>10208</v>
      </c>
      <c r="C1881" t="str">
        <f>""</f>
        <v/>
      </c>
      <c r="D1881" t="str">
        <f>"DKDGKDN00"</f>
        <v>DKDGKDN00</v>
      </c>
      <c r="E1881" s="1">
        <v>35551</v>
      </c>
      <c r="F1881" t="s">
        <v>10209</v>
      </c>
      <c r="G1881" t="e">
        <f>INDEX(#REF!,MATCH(P1881,#REF!,0),1)</f>
        <v>#REF!</v>
      </c>
      <c r="H1881" t="s">
        <v>10210</v>
      </c>
      <c r="J1881" t="s">
        <v>10211</v>
      </c>
      <c r="K1881" t="s">
        <v>111</v>
      </c>
      <c r="L1881" t="s">
        <v>10212</v>
      </c>
      <c r="M1881" t="s">
        <v>10213</v>
      </c>
      <c r="N1881">
        <v>28</v>
      </c>
      <c r="O1881" t="s">
        <v>114</v>
      </c>
      <c r="P1881">
        <v>712</v>
      </c>
      <c r="Q1881" t="s">
        <v>2602</v>
      </c>
      <c r="R1881" t="s">
        <v>4838</v>
      </c>
      <c r="S1881" t="s">
        <v>4839</v>
      </c>
      <c r="T1881" t="s">
        <v>2277</v>
      </c>
      <c r="U1881" t="s">
        <v>2278</v>
      </c>
      <c r="V1881" t="s">
        <v>1824</v>
      </c>
      <c r="AA1881" t="s">
        <v>119</v>
      </c>
      <c r="AE1881" t="s">
        <v>120</v>
      </c>
    </row>
    <row r="1882" spans="1:33" x14ac:dyDescent="0.3">
      <c r="A1882">
        <v>35178</v>
      </c>
      <c r="B1882" t="s">
        <v>10214</v>
      </c>
      <c r="C1882" t="str">
        <f>""</f>
        <v/>
      </c>
      <c r="D1882" t="str">
        <f>""</f>
        <v/>
      </c>
      <c r="E1882" s="1">
        <v>35551</v>
      </c>
      <c r="F1882" t="s">
        <v>10215</v>
      </c>
      <c r="G1882" t="e">
        <f>INDEX(#REF!,MATCH(P1882,#REF!,0),1)</f>
        <v>#REF!</v>
      </c>
      <c r="H1882" t="s">
        <v>10216</v>
      </c>
      <c r="J1882" t="s">
        <v>10217</v>
      </c>
      <c r="K1882" t="s">
        <v>111</v>
      </c>
      <c r="L1882">
        <v>72126</v>
      </c>
      <c r="M1882" t="s">
        <v>10218</v>
      </c>
      <c r="N1882">
        <v>28</v>
      </c>
      <c r="O1882" t="s">
        <v>114</v>
      </c>
      <c r="P1882">
        <v>2386</v>
      </c>
      <c r="Q1882" t="s">
        <v>5292</v>
      </c>
      <c r="R1882" t="s">
        <v>4838</v>
      </c>
      <c r="S1882" t="s">
        <v>4839</v>
      </c>
      <c r="T1882" t="s">
        <v>2277</v>
      </c>
      <c r="U1882" t="s">
        <v>2278</v>
      </c>
      <c r="V1882" t="s">
        <v>1824</v>
      </c>
      <c r="AA1882" t="s">
        <v>119</v>
      </c>
      <c r="AE1882" t="s">
        <v>120</v>
      </c>
    </row>
    <row r="1883" spans="1:33" x14ac:dyDescent="0.3">
      <c r="A1883">
        <v>35179</v>
      </c>
      <c r="B1883" t="s">
        <v>10219</v>
      </c>
      <c r="C1883" t="str">
        <f>""</f>
        <v/>
      </c>
      <c r="D1883" t="str">
        <f>"0BMY3CA00"</f>
        <v>0BMY3CA00</v>
      </c>
      <c r="E1883" s="1">
        <v>35551</v>
      </c>
      <c r="F1883" t="s">
        <v>10220</v>
      </c>
      <c r="G1883" t="e">
        <f>INDEX(#REF!,MATCH(P1883,#REF!,0),1)</f>
        <v>#REF!</v>
      </c>
      <c r="H1883" t="s">
        <v>10221</v>
      </c>
      <c r="J1883" t="s">
        <v>10222</v>
      </c>
      <c r="K1883" t="s">
        <v>111</v>
      </c>
      <c r="L1883" t="s">
        <v>10223</v>
      </c>
      <c r="M1883" t="s">
        <v>10224</v>
      </c>
      <c r="N1883">
        <v>28</v>
      </c>
      <c r="O1883" t="s">
        <v>114</v>
      </c>
      <c r="P1883">
        <v>2386</v>
      </c>
      <c r="Q1883" t="s">
        <v>5292</v>
      </c>
      <c r="R1883" t="s">
        <v>4838</v>
      </c>
      <c r="S1883" t="s">
        <v>4839</v>
      </c>
      <c r="T1883" t="s">
        <v>2277</v>
      </c>
      <c r="U1883" t="s">
        <v>5622</v>
      </c>
      <c r="V1883" t="s">
        <v>1824</v>
      </c>
      <c r="AA1883" t="s">
        <v>119</v>
      </c>
      <c r="AE1883" t="s">
        <v>120</v>
      </c>
    </row>
    <row r="1884" spans="1:33" x14ac:dyDescent="0.3">
      <c r="A1884">
        <v>35181</v>
      </c>
      <c r="B1884" t="s">
        <v>10225</v>
      </c>
      <c r="C1884" t="str">
        <f>""</f>
        <v/>
      </c>
      <c r="D1884" t="str">
        <f>"J8RXQFK00"</f>
        <v>J8RXQFK00</v>
      </c>
      <c r="E1884" s="1">
        <v>35551</v>
      </c>
      <c r="F1884" t="s">
        <v>10226</v>
      </c>
      <c r="G1884" t="e">
        <f>INDEX(#REF!,MATCH(P1884,#REF!,0),1)</f>
        <v>#REF!</v>
      </c>
      <c r="H1884" t="s">
        <v>10227</v>
      </c>
      <c r="J1884" t="s">
        <v>10228</v>
      </c>
      <c r="K1884" t="s">
        <v>111</v>
      </c>
      <c r="L1884" t="s">
        <v>10229</v>
      </c>
      <c r="M1884" t="s">
        <v>10230</v>
      </c>
      <c r="N1884">
        <v>28</v>
      </c>
      <c r="O1884" t="s">
        <v>114</v>
      </c>
      <c r="P1884">
        <v>2386</v>
      </c>
      <c r="Q1884" t="s">
        <v>5292</v>
      </c>
      <c r="R1884" t="s">
        <v>4838</v>
      </c>
      <c r="S1884" t="s">
        <v>4839</v>
      </c>
      <c r="T1884" t="s">
        <v>2277</v>
      </c>
      <c r="U1884" t="s">
        <v>5622</v>
      </c>
      <c r="V1884" t="s">
        <v>1824</v>
      </c>
      <c r="AA1884" t="s">
        <v>119</v>
      </c>
      <c r="AE1884" t="s">
        <v>120</v>
      </c>
    </row>
    <row r="1885" spans="1:33" x14ac:dyDescent="0.3">
      <c r="A1885">
        <v>35187</v>
      </c>
      <c r="B1885" t="s">
        <v>10231</v>
      </c>
      <c r="C1885" t="str">
        <f>""</f>
        <v/>
      </c>
      <c r="D1885" t="str">
        <f>"E6NGB3100"</f>
        <v>E6NGB3100</v>
      </c>
      <c r="E1885" s="1">
        <v>35551</v>
      </c>
      <c r="F1885" t="s">
        <v>10232</v>
      </c>
      <c r="G1885" t="e">
        <f>INDEX(#REF!,MATCH(P1885,#REF!,0),1)</f>
        <v>#REF!</v>
      </c>
      <c r="H1885" t="s">
        <v>10233</v>
      </c>
      <c r="J1885" t="s">
        <v>110</v>
      </c>
      <c r="K1885" t="s">
        <v>111</v>
      </c>
      <c r="L1885" t="s">
        <v>10234</v>
      </c>
      <c r="M1885" t="s">
        <v>10235</v>
      </c>
      <c r="N1885">
        <v>28</v>
      </c>
      <c r="O1885" t="s">
        <v>114</v>
      </c>
      <c r="P1885">
        <v>2386</v>
      </c>
      <c r="Q1885" t="s">
        <v>5292</v>
      </c>
      <c r="R1885" t="s">
        <v>4838</v>
      </c>
      <c r="S1885" t="s">
        <v>4839</v>
      </c>
      <c r="T1885" t="s">
        <v>2277</v>
      </c>
      <c r="U1885" t="s">
        <v>4419</v>
      </c>
      <c r="V1885" t="s">
        <v>1824</v>
      </c>
      <c r="AA1885" t="s">
        <v>119</v>
      </c>
      <c r="AE1885" t="s">
        <v>120</v>
      </c>
    </row>
    <row r="1886" spans="1:33" x14ac:dyDescent="0.3">
      <c r="A1886">
        <v>35190</v>
      </c>
      <c r="B1886" t="s">
        <v>10236</v>
      </c>
      <c r="C1886" t="str">
        <f>""</f>
        <v/>
      </c>
      <c r="D1886" t="str">
        <f>"5815NLR00"</f>
        <v>5815NLR00</v>
      </c>
      <c r="E1886" s="1">
        <v>35551</v>
      </c>
      <c r="F1886" t="s">
        <v>10237</v>
      </c>
      <c r="G1886" t="e">
        <f>INDEX(#REF!,MATCH(P1886,#REF!,0),1)</f>
        <v>#REF!</v>
      </c>
      <c r="H1886" t="s">
        <v>10238</v>
      </c>
      <c r="J1886" t="s">
        <v>663</v>
      </c>
      <c r="K1886" t="s">
        <v>111</v>
      </c>
      <c r="L1886" t="s">
        <v>10239</v>
      </c>
      <c r="M1886" t="s">
        <v>10240</v>
      </c>
      <c r="N1886">
        <v>28</v>
      </c>
      <c r="O1886" t="s">
        <v>114</v>
      </c>
      <c r="P1886">
        <v>2386</v>
      </c>
      <c r="Q1886" t="s">
        <v>5292</v>
      </c>
      <c r="R1886" t="s">
        <v>4838</v>
      </c>
      <c r="S1886" t="s">
        <v>4839</v>
      </c>
      <c r="T1886" t="s">
        <v>2277</v>
      </c>
      <c r="U1886" t="s">
        <v>5622</v>
      </c>
      <c r="V1886" t="s">
        <v>1824</v>
      </c>
      <c r="AA1886" t="s">
        <v>119</v>
      </c>
      <c r="AE1886" t="s">
        <v>120</v>
      </c>
    </row>
    <row r="1887" spans="1:33" x14ac:dyDescent="0.3">
      <c r="A1887">
        <v>35192</v>
      </c>
      <c r="B1887" t="s">
        <v>10241</v>
      </c>
      <c r="C1887" t="str">
        <f>""</f>
        <v/>
      </c>
      <c r="D1887" t="str">
        <f>"NV1EQSF00"</f>
        <v>NV1EQSF00</v>
      </c>
      <c r="E1887" s="1">
        <v>35551</v>
      </c>
      <c r="F1887" t="s">
        <v>10242</v>
      </c>
      <c r="G1887" t="e">
        <f>INDEX(#REF!,MATCH(P1887,#REF!,0),1)</f>
        <v>#REF!</v>
      </c>
      <c r="H1887" t="s">
        <v>10243</v>
      </c>
      <c r="I1887" t="s">
        <v>10244</v>
      </c>
      <c r="J1887" t="s">
        <v>3422</v>
      </c>
      <c r="K1887" t="s">
        <v>111</v>
      </c>
      <c r="L1887" t="s">
        <v>10245</v>
      </c>
      <c r="M1887" t="s">
        <v>10246</v>
      </c>
      <c r="N1887">
        <v>28</v>
      </c>
      <c r="O1887" t="s">
        <v>114</v>
      </c>
      <c r="P1887">
        <v>2386</v>
      </c>
      <c r="Q1887" t="s">
        <v>5292</v>
      </c>
      <c r="R1887" t="s">
        <v>4838</v>
      </c>
      <c r="S1887" t="s">
        <v>4839</v>
      </c>
      <c r="T1887" t="s">
        <v>2277</v>
      </c>
      <c r="U1887" t="s">
        <v>5622</v>
      </c>
      <c r="V1887" t="s">
        <v>1824</v>
      </c>
      <c r="AA1887" t="s">
        <v>119</v>
      </c>
      <c r="AE1887" t="s">
        <v>120</v>
      </c>
    </row>
    <row r="1888" spans="1:33" x14ac:dyDescent="0.3">
      <c r="A1888">
        <v>35193</v>
      </c>
      <c r="B1888" t="s">
        <v>10247</v>
      </c>
      <c r="C1888" t="str">
        <f>""</f>
        <v/>
      </c>
      <c r="D1888" t="str">
        <f>"92W3Y8G00"</f>
        <v>92W3Y8G00</v>
      </c>
      <c r="E1888" s="1">
        <v>35551</v>
      </c>
      <c r="F1888" t="s">
        <v>10248</v>
      </c>
      <c r="G1888" t="e">
        <f>INDEX(#REF!,MATCH(P1888,#REF!,0),1)</f>
        <v>#REF!</v>
      </c>
      <c r="H1888" t="s">
        <v>10249</v>
      </c>
      <c r="J1888" t="s">
        <v>10250</v>
      </c>
      <c r="K1888" t="s">
        <v>111</v>
      </c>
      <c r="L1888" t="s">
        <v>10251</v>
      </c>
      <c r="M1888" t="s">
        <v>10252</v>
      </c>
      <c r="N1888">
        <v>28</v>
      </c>
      <c r="O1888" t="s">
        <v>114</v>
      </c>
      <c r="P1888">
        <v>2386</v>
      </c>
      <c r="Q1888" t="s">
        <v>5292</v>
      </c>
      <c r="R1888" t="s">
        <v>4838</v>
      </c>
      <c r="S1888" t="s">
        <v>4839</v>
      </c>
      <c r="T1888" t="s">
        <v>2277</v>
      </c>
      <c r="U1888" t="s">
        <v>5622</v>
      </c>
      <c r="V1888" t="s">
        <v>1824</v>
      </c>
      <c r="AA1888" t="s">
        <v>119</v>
      </c>
      <c r="AE1888" t="s">
        <v>120</v>
      </c>
    </row>
    <row r="1889" spans="1:33" x14ac:dyDescent="0.3">
      <c r="A1889">
        <v>35195</v>
      </c>
      <c r="B1889" t="s">
        <v>10253</v>
      </c>
      <c r="C1889" t="str">
        <f>""</f>
        <v/>
      </c>
      <c r="D1889" t="str">
        <f>"FLTW70W00"</f>
        <v>FLTW70W00</v>
      </c>
      <c r="E1889" s="1">
        <v>35551</v>
      </c>
      <c r="F1889" t="s">
        <v>10254</v>
      </c>
      <c r="G1889" t="e">
        <f>INDEX(#REF!,MATCH(P1889,#REF!,0),1)</f>
        <v>#REF!</v>
      </c>
      <c r="H1889" t="s">
        <v>10255</v>
      </c>
      <c r="J1889" t="s">
        <v>663</v>
      </c>
      <c r="K1889" t="s">
        <v>111</v>
      </c>
      <c r="L1889" t="s">
        <v>10256</v>
      </c>
      <c r="M1889" t="s">
        <v>10257</v>
      </c>
      <c r="N1889">
        <v>28</v>
      </c>
      <c r="O1889" t="s">
        <v>114</v>
      </c>
      <c r="P1889">
        <v>2386</v>
      </c>
      <c r="Q1889" t="s">
        <v>5292</v>
      </c>
      <c r="R1889" t="s">
        <v>4838</v>
      </c>
      <c r="S1889" t="s">
        <v>4839</v>
      </c>
      <c r="T1889" t="s">
        <v>2277</v>
      </c>
      <c r="U1889" t="s">
        <v>5622</v>
      </c>
      <c r="V1889" t="s">
        <v>1824</v>
      </c>
      <c r="AA1889" t="s">
        <v>119</v>
      </c>
      <c r="AE1889" t="s">
        <v>120</v>
      </c>
    </row>
    <row r="1890" spans="1:33" x14ac:dyDescent="0.3">
      <c r="A1890">
        <v>35196</v>
      </c>
      <c r="B1890" t="s">
        <v>10258</v>
      </c>
      <c r="C1890" t="str">
        <f>""</f>
        <v/>
      </c>
      <c r="D1890" t="str">
        <f>"4W1T42000"</f>
        <v>4W1T42000</v>
      </c>
      <c r="E1890" s="1">
        <v>35551</v>
      </c>
      <c r="F1890" t="s">
        <v>10259</v>
      </c>
      <c r="G1890" t="e">
        <f>INDEX(#REF!,MATCH(P1890,#REF!,0),1)</f>
        <v>#REF!</v>
      </c>
      <c r="H1890" t="s">
        <v>10260</v>
      </c>
      <c r="J1890" t="s">
        <v>4365</v>
      </c>
      <c r="K1890" t="s">
        <v>111</v>
      </c>
      <c r="L1890" t="s">
        <v>10261</v>
      </c>
      <c r="M1890" t="s">
        <v>10262</v>
      </c>
      <c r="N1890">
        <v>28</v>
      </c>
      <c r="O1890" t="s">
        <v>114</v>
      </c>
      <c r="P1890">
        <v>2386</v>
      </c>
      <c r="Q1890" t="s">
        <v>5292</v>
      </c>
      <c r="R1890" t="s">
        <v>4838</v>
      </c>
      <c r="S1890" t="s">
        <v>4839</v>
      </c>
      <c r="T1890" t="s">
        <v>2277</v>
      </c>
      <c r="U1890" t="s">
        <v>5622</v>
      </c>
      <c r="V1890" t="s">
        <v>1824</v>
      </c>
      <c r="AA1890" t="s">
        <v>119</v>
      </c>
      <c r="AE1890" t="s">
        <v>120</v>
      </c>
    </row>
    <row r="1891" spans="1:33" x14ac:dyDescent="0.3">
      <c r="A1891">
        <v>35200</v>
      </c>
      <c r="B1891" t="s">
        <v>10263</v>
      </c>
      <c r="C1891" t="str">
        <f>""</f>
        <v/>
      </c>
      <c r="D1891" t="str">
        <f>"BWQE50G00"</f>
        <v>BWQE50G00</v>
      </c>
      <c r="E1891" s="1">
        <v>35551</v>
      </c>
      <c r="F1891" t="s">
        <v>10264</v>
      </c>
      <c r="G1891" t="e">
        <f>INDEX(#REF!,MATCH(P1891,#REF!,0),1)</f>
        <v>#REF!</v>
      </c>
      <c r="H1891" t="s">
        <v>10265</v>
      </c>
      <c r="J1891" t="s">
        <v>10266</v>
      </c>
      <c r="K1891" t="s">
        <v>111</v>
      </c>
      <c r="L1891" t="s">
        <v>10267</v>
      </c>
      <c r="M1891" t="s">
        <v>10268</v>
      </c>
      <c r="N1891">
        <v>28</v>
      </c>
      <c r="O1891" t="s">
        <v>114</v>
      </c>
      <c r="P1891">
        <v>2386</v>
      </c>
      <c r="Q1891" t="s">
        <v>5292</v>
      </c>
      <c r="R1891" t="s">
        <v>4838</v>
      </c>
      <c r="S1891" t="s">
        <v>4839</v>
      </c>
      <c r="T1891" t="s">
        <v>2277</v>
      </c>
      <c r="U1891" t="s">
        <v>5622</v>
      </c>
      <c r="V1891" t="s">
        <v>1824</v>
      </c>
      <c r="AA1891" t="s">
        <v>119</v>
      </c>
      <c r="AE1891" t="s">
        <v>120</v>
      </c>
    </row>
    <row r="1892" spans="1:33" x14ac:dyDescent="0.3">
      <c r="A1892">
        <v>35231</v>
      </c>
      <c r="B1892" t="s">
        <v>10269</v>
      </c>
      <c r="C1892" t="str">
        <f>"1100004969194"</f>
        <v>1100004969194</v>
      </c>
      <c r="D1892" t="str">
        <f>"M5CFSFP00"</f>
        <v>M5CFSFP00</v>
      </c>
      <c r="E1892" s="1">
        <v>39360</v>
      </c>
      <c r="F1892" t="s">
        <v>10270</v>
      </c>
      <c r="G1892" t="e">
        <f>INDEX(#REF!,MATCH(P1892,#REF!,0),1)</f>
        <v>#REF!</v>
      </c>
      <c r="H1892" t="s">
        <v>10271</v>
      </c>
      <c r="J1892" t="s">
        <v>9083</v>
      </c>
      <c r="K1892" t="s">
        <v>533</v>
      </c>
      <c r="L1892">
        <v>83706</v>
      </c>
      <c r="M1892" t="s">
        <v>10272</v>
      </c>
      <c r="N1892">
        <v>35231</v>
      </c>
      <c r="O1892" t="s">
        <v>10270</v>
      </c>
      <c r="P1892">
        <v>35231</v>
      </c>
      <c r="Q1892" t="s">
        <v>10270</v>
      </c>
      <c r="R1892" t="s">
        <v>4689</v>
      </c>
      <c r="S1892" t="s">
        <v>4690</v>
      </c>
      <c r="T1892" t="s">
        <v>2277</v>
      </c>
      <c r="U1892" t="s">
        <v>9035</v>
      </c>
      <c r="V1892" t="s">
        <v>2215</v>
      </c>
    </row>
    <row r="1893" spans="1:33" x14ac:dyDescent="0.3">
      <c r="A1893">
        <v>35234</v>
      </c>
      <c r="B1893" t="s">
        <v>10273</v>
      </c>
      <c r="C1893" t="str">
        <f>""</f>
        <v/>
      </c>
      <c r="D1893" t="str">
        <f>"LDKLP8000"</f>
        <v>LDKLP8000</v>
      </c>
      <c r="E1893" s="1">
        <v>42583</v>
      </c>
      <c r="F1893" t="s">
        <v>10274</v>
      </c>
      <c r="G1893" t="e">
        <f>INDEX(#REF!,MATCH(P1893,#REF!,0),1)</f>
        <v>#REF!</v>
      </c>
      <c r="H1893" t="s">
        <v>10275</v>
      </c>
      <c r="J1893" t="s">
        <v>2250</v>
      </c>
      <c r="K1893" t="s">
        <v>676</v>
      </c>
      <c r="L1893" t="s">
        <v>10276</v>
      </c>
      <c r="M1893" t="s">
        <v>10277</v>
      </c>
      <c r="N1893">
        <v>2623351</v>
      </c>
      <c r="O1893" t="s">
        <v>2006</v>
      </c>
      <c r="P1893">
        <v>2623351</v>
      </c>
      <c r="Q1893" t="s">
        <v>2006</v>
      </c>
      <c r="R1893" t="s">
        <v>245</v>
      </c>
      <c r="S1893" t="s">
        <v>246</v>
      </c>
      <c r="T1893" t="s">
        <v>44</v>
      </c>
      <c r="U1893" t="s">
        <v>184</v>
      </c>
    </row>
    <row r="1894" spans="1:33" x14ac:dyDescent="0.3">
      <c r="A1894">
        <v>35239</v>
      </c>
      <c r="B1894" t="s">
        <v>10278</v>
      </c>
      <c r="C1894" t="str">
        <f>""</f>
        <v/>
      </c>
      <c r="D1894" t="str">
        <f>"220080C00"</f>
        <v>220080C00</v>
      </c>
      <c r="E1894" s="1">
        <v>42583</v>
      </c>
      <c r="F1894" t="s">
        <v>10279</v>
      </c>
      <c r="G1894" t="e">
        <f>INDEX(#REF!,MATCH(P1894,#REF!,0),1)</f>
        <v>#REF!</v>
      </c>
      <c r="H1894" t="s">
        <v>10280</v>
      </c>
      <c r="J1894" t="s">
        <v>8757</v>
      </c>
      <c r="K1894" t="s">
        <v>251</v>
      </c>
      <c r="L1894" t="str">
        <f>"08112"</f>
        <v>08112</v>
      </c>
      <c r="M1894" t="s">
        <v>8758</v>
      </c>
      <c r="N1894">
        <v>32678</v>
      </c>
      <c r="O1894" t="s">
        <v>8755</v>
      </c>
      <c r="P1894">
        <v>32678</v>
      </c>
      <c r="Q1894" t="s">
        <v>8755</v>
      </c>
      <c r="R1894" t="s">
        <v>245</v>
      </c>
      <c r="S1894" t="s">
        <v>246</v>
      </c>
      <c r="T1894" t="s">
        <v>2277</v>
      </c>
      <c r="U1894" t="s">
        <v>2278</v>
      </c>
    </row>
    <row r="1895" spans="1:33" x14ac:dyDescent="0.3">
      <c r="A1895">
        <v>35270</v>
      </c>
      <c r="B1895" t="s">
        <v>10281</v>
      </c>
      <c r="C1895" t="str">
        <f>""</f>
        <v/>
      </c>
      <c r="D1895" t="str">
        <f>"78A7R6T00"</f>
        <v>78A7R6T00</v>
      </c>
      <c r="E1895" s="1">
        <v>38548</v>
      </c>
      <c r="F1895" t="s">
        <v>10282</v>
      </c>
      <c r="G1895" t="e">
        <f>INDEX(#REF!,MATCH(P1895,#REF!,0),1)</f>
        <v>#REF!</v>
      </c>
      <c r="H1895" t="s">
        <v>10283</v>
      </c>
      <c r="J1895" t="s">
        <v>2716</v>
      </c>
      <c r="K1895" t="s">
        <v>65</v>
      </c>
      <c r="L1895">
        <v>18102</v>
      </c>
      <c r="M1895" t="s">
        <v>10284</v>
      </c>
      <c r="N1895">
        <v>767149</v>
      </c>
      <c r="O1895" t="s">
        <v>1953</v>
      </c>
      <c r="P1895">
        <v>6229940</v>
      </c>
      <c r="Q1895" t="s">
        <v>2719</v>
      </c>
      <c r="R1895" t="s">
        <v>4102</v>
      </c>
      <c r="S1895" t="s">
        <v>4103</v>
      </c>
      <c r="T1895" t="s">
        <v>2140</v>
      </c>
      <c r="U1895" t="s">
        <v>2141</v>
      </c>
      <c r="V1895" t="s">
        <v>1824</v>
      </c>
      <c r="AA1895" t="s">
        <v>105</v>
      </c>
      <c r="AE1895" t="s">
        <v>72</v>
      </c>
      <c r="AG1895" t="s">
        <v>48</v>
      </c>
    </row>
    <row r="1896" spans="1:33" x14ac:dyDescent="0.3">
      <c r="A1896">
        <v>35277</v>
      </c>
      <c r="B1896" t="s">
        <v>10285</v>
      </c>
      <c r="C1896" t="str">
        <f>""</f>
        <v/>
      </c>
      <c r="D1896" t="str">
        <f>"007J52X00"</f>
        <v>007J52X00</v>
      </c>
      <c r="E1896" s="1">
        <v>35573</v>
      </c>
      <c r="F1896" t="s">
        <v>10286</v>
      </c>
      <c r="G1896" t="e">
        <f>INDEX(#REF!,MATCH(P1896,#REF!,0),1)</f>
        <v>#REF!</v>
      </c>
      <c r="H1896" t="s">
        <v>10287</v>
      </c>
      <c r="J1896" t="s">
        <v>4136</v>
      </c>
      <c r="K1896" t="s">
        <v>676</v>
      </c>
      <c r="L1896" t="s">
        <v>4137</v>
      </c>
      <c r="M1896" t="s">
        <v>10288</v>
      </c>
      <c r="N1896">
        <v>35277</v>
      </c>
      <c r="O1896" t="s">
        <v>10286</v>
      </c>
      <c r="P1896">
        <v>35277</v>
      </c>
      <c r="Q1896" t="s">
        <v>10286</v>
      </c>
      <c r="R1896" t="s">
        <v>10289</v>
      </c>
      <c r="S1896" t="s">
        <v>10290</v>
      </c>
      <c r="T1896" t="s">
        <v>3674</v>
      </c>
      <c r="U1896" t="s">
        <v>4139</v>
      </c>
      <c r="V1896" t="s">
        <v>2215</v>
      </c>
    </row>
    <row r="1897" spans="1:33" x14ac:dyDescent="0.3">
      <c r="A1897">
        <v>35279</v>
      </c>
      <c r="B1897" t="s">
        <v>10291</v>
      </c>
      <c r="C1897" t="str">
        <f>"1100005785472"</f>
        <v>1100005785472</v>
      </c>
      <c r="D1897" t="str">
        <f>""</f>
        <v/>
      </c>
      <c r="E1897" s="1">
        <v>35796</v>
      </c>
      <c r="F1897" t="s">
        <v>10292</v>
      </c>
      <c r="G1897" t="e">
        <f>INDEX(#REF!,MATCH(P1897,#REF!,0),1)</f>
        <v>#REF!</v>
      </c>
      <c r="H1897" t="s">
        <v>10293</v>
      </c>
      <c r="J1897" t="s">
        <v>9083</v>
      </c>
      <c r="K1897" t="s">
        <v>533</v>
      </c>
      <c r="L1897">
        <v>83706</v>
      </c>
      <c r="M1897" t="s">
        <v>10294</v>
      </c>
      <c r="N1897">
        <v>35279</v>
      </c>
      <c r="O1897" t="s">
        <v>10292</v>
      </c>
      <c r="P1897">
        <v>35279</v>
      </c>
      <c r="Q1897" t="s">
        <v>10292</v>
      </c>
      <c r="R1897" t="s">
        <v>4689</v>
      </c>
      <c r="S1897" t="s">
        <v>4690</v>
      </c>
      <c r="T1897" t="s">
        <v>2277</v>
      </c>
      <c r="U1897" t="s">
        <v>5497</v>
      </c>
      <c r="V1897" t="s">
        <v>2215</v>
      </c>
    </row>
    <row r="1898" spans="1:33" x14ac:dyDescent="0.3">
      <c r="A1898">
        <v>35282</v>
      </c>
      <c r="B1898" t="s">
        <v>10295</v>
      </c>
      <c r="C1898" t="str">
        <f>""</f>
        <v/>
      </c>
      <c r="D1898" t="str">
        <f>"221090E00"</f>
        <v>221090E00</v>
      </c>
      <c r="E1898" s="1">
        <v>42661</v>
      </c>
      <c r="F1898" t="s">
        <v>10296</v>
      </c>
      <c r="G1898" t="e">
        <f>INDEX(#REF!,MATCH(P1898,#REF!,0),1)</f>
        <v>#REF!</v>
      </c>
      <c r="H1898" t="s">
        <v>10297</v>
      </c>
      <c r="J1898" t="s">
        <v>10298</v>
      </c>
      <c r="K1898" t="s">
        <v>251</v>
      </c>
      <c r="L1898" t="str">
        <f>"07663"</f>
        <v>07663</v>
      </c>
      <c r="M1898" t="s">
        <v>10299</v>
      </c>
      <c r="N1898">
        <v>2755605</v>
      </c>
      <c r="O1898" t="s">
        <v>8878</v>
      </c>
      <c r="P1898">
        <v>2755605</v>
      </c>
      <c r="Q1898" t="s">
        <v>8878</v>
      </c>
      <c r="R1898" t="s">
        <v>8879</v>
      </c>
      <c r="S1898" t="s">
        <v>8880</v>
      </c>
      <c r="T1898" t="s">
        <v>44</v>
      </c>
      <c r="U1898" t="s">
        <v>717</v>
      </c>
      <c r="AE1898" t="s">
        <v>72</v>
      </c>
    </row>
    <row r="1899" spans="1:33" x14ac:dyDescent="0.3">
      <c r="A1899">
        <v>35283</v>
      </c>
      <c r="B1899" t="s">
        <v>10300</v>
      </c>
      <c r="C1899" t="str">
        <f>"1100005162686"</f>
        <v>1100005162686</v>
      </c>
      <c r="D1899" t="str">
        <f>"H4PX09G00"</f>
        <v>H4PX09G00</v>
      </c>
      <c r="E1899" s="1">
        <v>35458</v>
      </c>
      <c r="F1899" t="s">
        <v>10301</v>
      </c>
      <c r="G1899" t="e">
        <f>INDEX(#REF!,MATCH(P1899,#REF!,0),1)</f>
        <v>#REF!</v>
      </c>
      <c r="H1899" t="s">
        <v>10302</v>
      </c>
      <c r="J1899" t="s">
        <v>532</v>
      </c>
      <c r="K1899" t="s">
        <v>533</v>
      </c>
      <c r="L1899" t="s">
        <v>10303</v>
      </c>
      <c r="M1899" t="s">
        <v>10304</v>
      </c>
      <c r="N1899">
        <v>35283</v>
      </c>
      <c r="O1899" t="s">
        <v>10301</v>
      </c>
      <c r="P1899">
        <v>35283</v>
      </c>
      <c r="Q1899" t="s">
        <v>10301</v>
      </c>
      <c r="R1899" t="s">
        <v>4689</v>
      </c>
      <c r="S1899" t="s">
        <v>4690</v>
      </c>
      <c r="T1899" t="s">
        <v>2277</v>
      </c>
      <c r="U1899" t="s">
        <v>2278</v>
      </c>
      <c r="V1899" t="s">
        <v>2215</v>
      </c>
    </row>
    <row r="1900" spans="1:33" x14ac:dyDescent="0.3">
      <c r="A1900">
        <v>35287</v>
      </c>
      <c r="B1900" t="s">
        <v>10305</v>
      </c>
      <c r="C1900" t="str">
        <f>""</f>
        <v/>
      </c>
      <c r="D1900" t="str">
        <f>"341E17U00"</f>
        <v>341E17U00</v>
      </c>
      <c r="E1900" s="1">
        <v>35309</v>
      </c>
      <c r="F1900" t="s">
        <v>10306</v>
      </c>
      <c r="G1900" t="e">
        <f>INDEX(#REF!,MATCH(P1900,#REF!,0),1)</f>
        <v>#REF!</v>
      </c>
      <c r="H1900" t="s">
        <v>10307</v>
      </c>
      <c r="J1900" t="s">
        <v>10308</v>
      </c>
      <c r="K1900" t="s">
        <v>251</v>
      </c>
      <c r="L1900" t="str">
        <f>"08057"</f>
        <v>08057</v>
      </c>
      <c r="M1900" t="s">
        <v>10309</v>
      </c>
      <c r="N1900">
        <v>2628821</v>
      </c>
      <c r="O1900" t="s">
        <v>10310</v>
      </c>
      <c r="P1900">
        <v>3773425</v>
      </c>
      <c r="Q1900" t="s">
        <v>10310</v>
      </c>
      <c r="R1900" t="s">
        <v>7384</v>
      </c>
      <c r="S1900" t="s">
        <v>7385</v>
      </c>
      <c r="T1900" t="s">
        <v>2214</v>
      </c>
      <c r="U1900" t="s">
        <v>2214</v>
      </c>
      <c r="V1900" t="s">
        <v>2215</v>
      </c>
      <c r="AF1900" t="s">
        <v>7552</v>
      </c>
    </row>
    <row r="1901" spans="1:33" x14ac:dyDescent="0.3">
      <c r="A1901">
        <v>35291</v>
      </c>
      <c r="B1901" t="s">
        <v>10311</v>
      </c>
      <c r="C1901" t="str">
        <f>""</f>
        <v/>
      </c>
      <c r="D1901" t="str">
        <f>""</f>
        <v/>
      </c>
      <c r="E1901" s="1">
        <v>42917</v>
      </c>
      <c r="F1901" t="s">
        <v>7924</v>
      </c>
      <c r="G1901" t="e">
        <f>INDEX(#REF!,MATCH(P1901,#REF!,0),1)</f>
        <v>#REF!</v>
      </c>
      <c r="H1901" t="s">
        <v>10312</v>
      </c>
      <c r="J1901" t="s">
        <v>7675</v>
      </c>
      <c r="K1901" t="s">
        <v>251</v>
      </c>
      <c r="L1901" t="str">
        <f>"08002"</f>
        <v>08002</v>
      </c>
      <c r="M1901" t="s">
        <v>10313</v>
      </c>
      <c r="N1901">
        <v>35291</v>
      </c>
      <c r="O1901" t="s">
        <v>7924</v>
      </c>
      <c r="P1901">
        <v>35291</v>
      </c>
      <c r="Q1901" t="s">
        <v>7924</v>
      </c>
      <c r="R1901" t="s">
        <v>7442</v>
      </c>
      <c r="S1901" t="s">
        <v>7443</v>
      </c>
      <c r="T1901" t="s">
        <v>2214</v>
      </c>
      <c r="U1901" t="s">
        <v>2214</v>
      </c>
    </row>
    <row r="1902" spans="1:33" x14ac:dyDescent="0.3">
      <c r="A1902">
        <v>35294</v>
      </c>
      <c r="B1902" t="s">
        <v>10314</v>
      </c>
      <c r="C1902" t="str">
        <f>""</f>
        <v/>
      </c>
      <c r="D1902" t="str">
        <f>""</f>
        <v/>
      </c>
      <c r="E1902" s="1">
        <v>43977</v>
      </c>
      <c r="F1902" t="s">
        <v>10315</v>
      </c>
      <c r="G1902" t="e">
        <f>INDEX(#REF!,MATCH(P1902,#REF!,0),1)</f>
        <v>#REF!</v>
      </c>
      <c r="H1902" t="s">
        <v>10316</v>
      </c>
      <c r="J1902" t="s">
        <v>10317</v>
      </c>
      <c r="K1902" t="s">
        <v>65</v>
      </c>
      <c r="L1902">
        <v>19046</v>
      </c>
      <c r="M1902" t="s">
        <v>10318</v>
      </c>
      <c r="N1902">
        <v>2822004</v>
      </c>
      <c r="O1902" t="s">
        <v>10319</v>
      </c>
      <c r="P1902">
        <v>2822004</v>
      </c>
      <c r="Q1902" t="s">
        <v>10319</v>
      </c>
      <c r="R1902" t="s">
        <v>6187</v>
      </c>
      <c r="S1902" t="s">
        <v>6188</v>
      </c>
      <c r="T1902" t="s">
        <v>2214</v>
      </c>
      <c r="U1902" t="s">
        <v>2214</v>
      </c>
      <c r="V1902" t="s">
        <v>2215</v>
      </c>
    </row>
    <row r="1903" spans="1:33" x14ac:dyDescent="0.3">
      <c r="A1903">
        <v>35304</v>
      </c>
      <c r="B1903" t="s">
        <v>10320</v>
      </c>
      <c r="C1903" t="str">
        <f>""</f>
        <v/>
      </c>
      <c r="D1903" t="str">
        <f>"9KL77B373"</f>
        <v>9KL77B373</v>
      </c>
      <c r="E1903" s="1">
        <v>42917</v>
      </c>
      <c r="F1903" t="s">
        <v>10321</v>
      </c>
      <c r="G1903" t="e">
        <f>INDEX(#REF!,MATCH(P1903,#REF!,0),1)</f>
        <v>#REF!</v>
      </c>
      <c r="H1903" t="s">
        <v>10322</v>
      </c>
      <c r="J1903" t="s">
        <v>8857</v>
      </c>
      <c r="K1903" t="s">
        <v>251</v>
      </c>
      <c r="L1903" t="str">
        <f>"08854"</f>
        <v>08854</v>
      </c>
      <c r="M1903" t="s">
        <v>10323</v>
      </c>
      <c r="N1903">
        <v>35304</v>
      </c>
      <c r="O1903" t="s">
        <v>10321</v>
      </c>
      <c r="P1903">
        <v>35304</v>
      </c>
      <c r="Q1903" t="s">
        <v>10321</v>
      </c>
      <c r="R1903" t="s">
        <v>7442</v>
      </c>
      <c r="S1903" t="s">
        <v>7443</v>
      </c>
      <c r="T1903" t="s">
        <v>117</v>
      </c>
      <c r="U1903" t="s">
        <v>4108</v>
      </c>
    </row>
    <row r="1904" spans="1:33" x14ac:dyDescent="0.3">
      <c r="A1904">
        <v>35306</v>
      </c>
      <c r="B1904" t="s">
        <v>10324</v>
      </c>
      <c r="C1904" t="str">
        <f>"1100003738142"</f>
        <v>1100003738142</v>
      </c>
      <c r="D1904" t="str">
        <f>"A34TEI600"</f>
        <v>A34TEI600</v>
      </c>
      <c r="E1904" s="1">
        <v>38245</v>
      </c>
      <c r="F1904" t="s">
        <v>10325</v>
      </c>
      <c r="G1904" t="e">
        <f>INDEX(#REF!,MATCH(P1904,#REF!,0),1)</f>
        <v>#REF!</v>
      </c>
      <c r="H1904" t="s">
        <v>10326</v>
      </c>
      <c r="J1904" t="s">
        <v>964</v>
      </c>
      <c r="K1904" t="s">
        <v>835</v>
      </c>
      <c r="L1904">
        <v>66604</v>
      </c>
      <c r="M1904" t="s">
        <v>10327</v>
      </c>
      <c r="N1904">
        <v>2407580</v>
      </c>
      <c r="O1904" t="s">
        <v>8638</v>
      </c>
      <c r="P1904">
        <v>2410575</v>
      </c>
      <c r="Q1904" t="s">
        <v>8639</v>
      </c>
      <c r="R1904" t="s">
        <v>8545</v>
      </c>
      <c r="S1904" t="s">
        <v>8546</v>
      </c>
      <c r="T1904" t="s">
        <v>2277</v>
      </c>
      <c r="U1904" t="s">
        <v>9526</v>
      </c>
      <c r="V1904" t="s">
        <v>2215</v>
      </c>
      <c r="AF1904" t="s">
        <v>8640</v>
      </c>
    </row>
    <row r="1905" spans="1:33" x14ac:dyDescent="0.3">
      <c r="A1905">
        <v>35307</v>
      </c>
      <c r="B1905" t="s">
        <v>10328</v>
      </c>
      <c r="C1905" t="str">
        <f>"1100004995247"</f>
        <v>1100004995247</v>
      </c>
      <c r="D1905" t="str">
        <f>"360270I00"</f>
        <v>360270I00</v>
      </c>
      <c r="E1905" s="1">
        <v>42598</v>
      </c>
      <c r="F1905" t="s">
        <v>10329</v>
      </c>
      <c r="G1905" t="e">
        <f>INDEX(#REF!,MATCH(P1905,#REF!,0),1)</f>
        <v>#REF!</v>
      </c>
      <c r="H1905" t="s">
        <v>10330</v>
      </c>
      <c r="J1905" t="s">
        <v>10331</v>
      </c>
      <c r="K1905" t="s">
        <v>384</v>
      </c>
      <c r="L1905">
        <v>27514</v>
      </c>
      <c r="M1905" t="s">
        <v>10332</v>
      </c>
      <c r="N1905">
        <v>2627538</v>
      </c>
      <c r="O1905" t="s">
        <v>4554</v>
      </c>
      <c r="P1905">
        <v>2627538</v>
      </c>
      <c r="Q1905" t="s">
        <v>4554</v>
      </c>
      <c r="R1905" t="s">
        <v>679</v>
      </c>
      <c r="S1905" t="s">
        <v>680</v>
      </c>
      <c r="T1905" t="s">
        <v>44</v>
      </c>
      <c r="U1905" t="s">
        <v>45</v>
      </c>
      <c r="AA1905" t="s">
        <v>93</v>
      </c>
      <c r="AE1905" t="s">
        <v>591</v>
      </c>
      <c r="AG1905" t="s">
        <v>48</v>
      </c>
    </row>
    <row r="1906" spans="1:33" x14ac:dyDescent="0.3">
      <c r="A1906">
        <v>35382</v>
      </c>
      <c r="B1906" t="s">
        <v>10333</v>
      </c>
      <c r="C1906" t="str">
        <f>""</f>
        <v/>
      </c>
      <c r="D1906" t="str">
        <f>""</f>
        <v/>
      </c>
      <c r="E1906" s="1">
        <v>35551</v>
      </c>
      <c r="F1906" t="s">
        <v>10334</v>
      </c>
      <c r="G1906" t="e">
        <f>INDEX(#REF!,MATCH(P1906,#REF!,0),1)</f>
        <v>#REF!</v>
      </c>
      <c r="H1906" t="s">
        <v>10335</v>
      </c>
      <c r="J1906" t="s">
        <v>430</v>
      </c>
      <c r="K1906" t="s">
        <v>139</v>
      </c>
      <c r="L1906">
        <v>37922</v>
      </c>
      <c r="M1906" t="s">
        <v>9837</v>
      </c>
      <c r="N1906">
        <v>7585</v>
      </c>
      <c r="O1906" t="s">
        <v>433</v>
      </c>
      <c r="P1906">
        <v>3505</v>
      </c>
      <c r="Q1906" t="s">
        <v>6770</v>
      </c>
      <c r="R1906" t="s">
        <v>4838</v>
      </c>
      <c r="S1906" t="s">
        <v>4839</v>
      </c>
      <c r="T1906" t="s">
        <v>3141</v>
      </c>
      <c r="U1906" t="s">
        <v>3142</v>
      </c>
      <c r="V1906" t="s">
        <v>1824</v>
      </c>
      <c r="AA1906" t="s">
        <v>119</v>
      </c>
    </row>
    <row r="1907" spans="1:33" x14ac:dyDescent="0.3">
      <c r="A1907">
        <v>35383</v>
      </c>
      <c r="B1907" t="s">
        <v>10336</v>
      </c>
      <c r="C1907" t="str">
        <f>"1100009142387"</f>
        <v>1100009142387</v>
      </c>
      <c r="D1907" t="str">
        <f>"8K8J6QF00"</f>
        <v>8K8J6QF00</v>
      </c>
      <c r="E1907" s="1">
        <v>35551</v>
      </c>
      <c r="F1907" t="s">
        <v>10337</v>
      </c>
      <c r="G1907" t="e">
        <f>INDEX(#REF!,MATCH(P1907,#REF!,0),1)</f>
        <v>#REF!</v>
      </c>
      <c r="H1907" t="s">
        <v>10338</v>
      </c>
      <c r="J1907" t="s">
        <v>3309</v>
      </c>
      <c r="K1907" t="s">
        <v>139</v>
      </c>
      <c r="L1907">
        <v>37813</v>
      </c>
      <c r="M1907" t="s">
        <v>10339</v>
      </c>
      <c r="N1907">
        <v>7585</v>
      </c>
      <c r="O1907" t="s">
        <v>433</v>
      </c>
      <c r="P1907">
        <v>3505</v>
      </c>
      <c r="Q1907" t="s">
        <v>6770</v>
      </c>
      <c r="R1907" t="s">
        <v>4838</v>
      </c>
      <c r="S1907" t="s">
        <v>4839</v>
      </c>
      <c r="T1907" t="s">
        <v>3141</v>
      </c>
      <c r="U1907" t="s">
        <v>3142</v>
      </c>
      <c r="V1907" t="s">
        <v>1824</v>
      </c>
      <c r="AA1907" t="s">
        <v>119</v>
      </c>
      <c r="AE1907" t="s">
        <v>120</v>
      </c>
    </row>
    <row r="1908" spans="1:33" x14ac:dyDescent="0.3">
      <c r="A1908">
        <v>35393</v>
      </c>
      <c r="B1908" t="s">
        <v>10340</v>
      </c>
      <c r="C1908" t="str">
        <f>"1100005451841"</f>
        <v>1100005451841</v>
      </c>
      <c r="D1908" t="str">
        <f>"130070B00"</f>
        <v>130070B00</v>
      </c>
      <c r="E1908" s="1">
        <v>42583</v>
      </c>
      <c r="F1908" t="s">
        <v>10341</v>
      </c>
      <c r="G1908" t="e">
        <f>INDEX(#REF!,MATCH(P1908,#REF!,0),1)</f>
        <v>#REF!</v>
      </c>
      <c r="H1908" t="s">
        <v>10342</v>
      </c>
      <c r="J1908" t="s">
        <v>10343</v>
      </c>
      <c r="K1908" t="s">
        <v>425</v>
      </c>
      <c r="L1908" t="str">
        <f>"05753"</f>
        <v>05753</v>
      </c>
      <c r="M1908" t="s">
        <v>10344</v>
      </c>
      <c r="N1908">
        <v>2108</v>
      </c>
      <c r="O1908" t="s">
        <v>1282</v>
      </c>
      <c r="P1908">
        <v>2108</v>
      </c>
      <c r="Q1908" t="s">
        <v>1282</v>
      </c>
      <c r="R1908" t="s">
        <v>1283</v>
      </c>
      <c r="S1908" t="s">
        <v>1284</v>
      </c>
      <c r="T1908" t="s">
        <v>44</v>
      </c>
      <c r="U1908" t="s">
        <v>45</v>
      </c>
      <c r="AA1908" t="s">
        <v>58</v>
      </c>
      <c r="AC1908" t="s">
        <v>367</v>
      </c>
      <c r="AE1908" t="s">
        <v>60</v>
      </c>
      <c r="AG1908" t="s">
        <v>48</v>
      </c>
    </row>
    <row r="1909" spans="1:33" x14ac:dyDescent="0.3">
      <c r="A1909">
        <v>35556</v>
      </c>
      <c r="B1909" t="s">
        <v>10345</v>
      </c>
      <c r="C1909" t="str">
        <f>""</f>
        <v/>
      </c>
      <c r="D1909" t="str">
        <f>"G4JTBRY00"</f>
        <v>G4JTBRY00</v>
      </c>
      <c r="E1909" s="1">
        <v>35582</v>
      </c>
      <c r="F1909" t="s">
        <v>10346</v>
      </c>
      <c r="G1909" t="e">
        <f>INDEX(#REF!,MATCH(P1909,#REF!,0),1)</f>
        <v>#REF!</v>
      </c>
      <c r="H1909" t="s">
        <v>10347</v>
      </c>
      <c r="J1909" t="s">
        <v>176</v>
      </c>
      <c r="K1909" t="s">
        <v>177</v>
      </c>
      <c r="L1909" t="s">
        <v>10348</v>
      </c>
      <c r="M1909" t="s">
        <v>10349</v>
      </c>
      <c r="N1909">
        <v>6104582</v>
      </c>
      <c r="O1909" t="s">
        <v>180</v>
      </c>
      <c r="P1909">
        <v>78358</v>
      </c>
      <c r="Q1909" t="s">
        <v>10350</v>
      </c>
      <c r="R1909" t="s">
        <v>3152</v>
      </c>
      <c r="S1909" t="s">
        <v>3153</v>
      </c>
      <c r="T1909" t="s">
        <v>2277</v>
      </c>
      <c r="U1909" t="s">
        <v>4502</v>
      </c>
      <c r="V1909" t="s">
        <v>1824</v>
      </c>
      <c r="AA1909" t="s">
        <v>185</v>
      </c>
    </row>
    <row r="1910" spans="1:33" x14ac:dyDescent="0.3">
      <c r="A1910">
        <v>35557</v>
      </c>
      <c r="B1910" t="s">
        <v>10351</v>
      </c>
      <c r="C1910" t="str">
        <f>"1100003352928"</f>
        <v>1100003352928</v>
      </c>
      <c r="D1910" t="str">
        <f>"B9P2EH600"</f>
        <v>B9P2EH600</v>
      </c>
      <c r="E1910" s="1">
        <v>35431</v>
      </c>
      <c r="F1910" t="s">
        <v>10352</v>
      </c>
      <c r="G1910" t="e">
        <f>INDEX(#REF!,MATCH(P1910,#REF!,0),1)</f>
        <v>#REF!</v>
      </c>
      <c r="H1910" t="s">
        <v>10353</v>
      </c>
      <c r="J1910" t="s">
        <v>792</v>
      </c>
      <c r="K1910" t="s">
        <v>307</v>
      </c>
      <c r="L1910" t="s">
        <v>10354</v>
      </c>
      <c r="M1910" t="s">
        <v>10355</v>
      </c>
      <c r="N1910">
        <v>36874</v>
      </c>
      <c r="O1910" t="s">
        <v>710</v>
      </c>
      <c r="P1910">
        <v>401</v>
      </c>
      <c r="Q1910" t="s">
        <v>1476</v>
      </c>
      <c r="R1910" t="s">
        <v>3807</v>
      </c>
      <c r="S1910" t="s">
        <v>3808</v>
      </c>
      <c r="T1910" t="s">
        <v>2140</v>
      </c>
      <c r="U1910" t="s">
        <v>2141</v>
      </c>
      <c r="V1910" t="s">
        <v>1824</v>
      </c>
      <c r="AD1910" t="s">
        <v>94</v>
      </c>
      <c r="AE1910" t="s">
        <v>60</v>
      </c>
      <c r="AG1910" t="s">
        <v>48</v>
      </c>
    </row>
    <row r="1911" spans="1:33" x14ac:dyDescent="0.3">
      <c r="A1911">
        <v>35559</v>
      </c>
      <c r="B1911" t="s">
        <v>10356</v>
      </c>
      <c r="C1911" t="str">
        <f>"1100003516757"</f>
        <v>1100003516757</v>
      </c>
      <c r="D1911" t="str">
        <f>"56FHWY100"</f>
        <v>56FHWY100</v>
      </c>
      <c r="E1911" s="1">
        <v>35431</v>
      </c>
      <c r="F1911" t="s">
        <v>10357</v>
      </c>
      <c r="G1911" t="e">
        <f>INDEX(#REF!,MATCH(P1911,#REF!,0),1)</f>
        <v>#REF!</v>
      </c>
      <c r="H1911" t="s">
        <v>10358</v>
      </c>
      <c r="J1911" t="s">
        <v>1478</v>
      </c>
      <c r="K1911" t="s">
        <v>307</v>
      </c>
      <c r="L1911" t="s">
        <v>10359</v>
      </c>
      <c r="M1911" t="s">
        <v>10360</v>
      </c>
      <c r="N1911">
        <v>36874</v>
      </c>
      <c r="O1911" t="s">
        <v>710</v>
      </c>
      <c r="P1911">
        <v>401</v>
      </c>
      <c r="Q1911" t="s">
        <v>1476</v>
      </c>
      <c r="R1911" t="s">
        <v>3807</v>
      </c>
      <c r="S1911" t="s">
        <v>3808</v>
      </c>
      <c r="T1911" t="s">
        <v>2140</v>
      </c>
      <c r="U1911" t="s">
        <v>2141</v>
      </c>
      <c r="V1911" t="s">
        <v>1824</v>
      </c>
      <c r="AD1911" t="s">
        <v>94</v>
      </c>
      <c r="AE1911" t="s">
        <v>60</v>
      </c>
      <c r="AG1911" t="s">
        <v>48</v>
      </c>
    </row>
    <row r="1912" spans="1:33" x14ac:dyDescent="0.3">
      <c r="A1912">
        <v>35560</v>
      </c>
      <c r="B1912" t="s">
        <v>10361</v>
      </c>
      <c r="C1912" t="str">
        <f>""</f>
        <v/>
      </c>
      <c r="D1912" t="str">
        <f>"HLYHKLMF0"</f>
        <v>HLYHKLMF0</v>
      </c>
      <c r="E1912" s="1">
        <v>35400</v>
      </c>
      <c r="F1912" t="s">
        <v>10362</v>
      </c>
      <c r="G1912" t="e">
        <f>INDEX(#REF!,MATCH(P1912,#REF!,0),1)</f>
        <v>#REF!</v>
      </c>
      <c r="H1912" t="s">
        <v>10363</v>
      </c>
      <c r="J1912" t="s">
        <v>6885</v>
      </c>
      <c r="K1912" t="s">
        <v>307</v>
      </c>
      <c r="L1912" t="s">
        <v>10364</v>
      </c>
      <c r="M1912" t="s">
        <v>10365</v>
      </c>
      <c r="N1912">
        <v>36874</v>
      </c>
      <c r="O1912" t="s">
        <v>710</v>
      </c>
      <c r="P1912">
        <v>401</v>
      </c>
      <c r="Q1912" t="s">
        <v>1476</v>
      </c>
      <c r="R1912" t="s">
        <v>3807</v>
      </c>
      <c r="S1912" t="s">
        <v>3808</v>
      </c>
      <c r="T1912" t="s">
        <v>2140</v>
      </c>
      <c r="U1912" t="s">
        <v>2141</v>
      </c>
      <c r="V1912" t="s">
        <v>1824</v>
      </c>
      <c r="AD1912" t="s">
        <v>94</v>
      </c>
      <c r="AE1912" t="s">
        <v>60</v>
      </c>
      <c r="AG1912" t="s">
        <v>48</v>
      </c>
    </row>
    <row r="1913" spans="1:33" x14ac:dyDescent="0.3">
      <c r="A1913">
        <v>35562</v>
      </c>
      <c r="B1913" t="s">
        <v>10366</v>
      </c>
      <c r="C1913" t="str">
        <f>"1100004546814"</f>
        <v>1100004546814</v>
      </c>
      <c r="D1913" t="str">
        <f>"19D17LG00"</f>
        <v>19D17LG00</v>
      </c>
      <c r="E1913" s="1">
        <v>35490</v>
      </c>
      <c r="F1913" t="s">
        <v>10367</v>
      </c>
      <c r="G1913" t="e">
        <f>INDEX(#REF!,MATCH(P1913,#REF!,0),1)</f>
        <v>#REF!</v>
      </c>
      <c r="H1913" t="s">
        <v>10368</v>
      </c>
      <c r="J1913" t="s">
        <v>148</v>
      </c>
      <c r="K1913" t="s">
        <v>149</v>
      </c>
      <c r="L1913">
        <v>38829</v>
      </c>
      <c r="M1913" t="s">
        <v>10369</v>
      </c>
      <c r="N1913">
        <v>29</v>
      </c>
      <c r="O1913" t="s">
        <v>136</v>
      </c>
      <c r="P1913">
        <v>30</v>
      </c>
      <c r="Q1913" t="s">
        <v>146</v>
      </c>
      <c r="R1913" t="s">
        <v>4838</v>
      </c>
      <c r="S1913" t="s">
        <v>4839</v>
      </c>
      <c r="T1913" t="s">
        <v>2277</v>
      </c>
      <c r="U1913" t="s">
        <v>2278</v>
      </c>
      <c r="V1913" t="s">
        <v>1824</v>
      </c>
      <c r="Y1913" t="s">
        <v>104</v>
      </c>
      <c r="Z1913" s="1">
        <v>44593</v>
      </c>
      <c r="AA1913" t="s">
        <v>93</v>
      </c>
      <c r="AE1913" t="s">
        <v>144</v>
      </c>
      <c r="AG1913" t="s">
        <v>48</v>
      </c>
    </row>
    <row r="1914" spans="1:33" x14ac:dyDescent="0.3">
      <c r="A1914">
        <v>35563</v>
      </c>
      <c r="B1914" t="s">
        <v>10370</v>
      </c>
      <c r="C1914" t="str">
        <f>"1100003203039"</f>
        <v>1100003203039</v>
      </c>
      <c r="D1914" t="str">
        <f>""</f>
        <v/>
      </c>
      <c r="E1914" s="1">
        <v>35339</v>
      </c>
      <c r="F1914" t="s">
        <v>10371</v>
      </c>
      <c r="G1914" t="e">
        <f>INDEX(#REF!,MATCH(P1914,#REF!,0),1)</f>
        <v>#REF!</v>
      </c>
      <c r="H1914" t="s">
        <v>10372</v>
      </c>
      <c r="J1914" t="s">
        <v>10373</v>
      </c>
      <c r="K1914" t="s">
        <v>149</v>
      </c>
      <c r="L1914" t="s">
        <v>10374</v>
      </c>
      <c r="M1914" t="s">
        <v>10375</v>
      </c>
      <c r="N1914">
        <v>29</v>
      </c>
      <c r="O1914" t="s">
        <v>136</v>
      </c>
      <c r="P1914">
        <v>30</v>
      </c>
      <c r="Q1914" t="s">
        <v>146</v>
      </c>
      <c r="R1914" t="s">
        <v>4838</v>
      </c>
      <c r="S1914" t="s">
        <v>4839</v>
      </c>
      <c r="T1914" t="s">
        <v>2277</v>
      </c>
      <c r="U1914" t="s">
        <v>5622</v>
      </c>
      <c r="V1914" t="s">
        <v>1824</v>
      </c>
      <c r="Y1914" t="s">
        <v>104</v>
      </c>
      <c r="Z1914" s="1">
        <v>44593</v>
      </c>
      <c r="AA1914" t="s">
        <v>93</v>
      </c>
      <c r="AG1914" t="s">
        <v>48</v>
      </c>
    </row>
    <row r="1915" spans="1:33" x14ac:dyDescent="0.3">
      <c r="A1915">
        <v>35569</v>
      </c>
      <c r="B1915" t="s">
        <v>10376</v>
      </c>
      <c r="C1915" t="str">
        <f>"1100003557170"</f>
        <v>1100003557170</v>
      </c>
      <c r="D1915" t="str">
        <f>"LML4TC100"</f>
        <v>LML4TC100</v>
      </c>
      <c r="E1915" s="1">
        <v>39846</v>
      </c>
      <c r="F1915" t="s">
        <v>10377</v>
      </c>
      <c r="G1915" t="e">
        <f>INDEX(#REF!,MATCH(P1915,#REF!,0),1)</f>
        <v>#REF!</v>
      </c>
      <c r="H1915" t="s">
        <v>6467</v>
      </c>
      <c r="J1915" t="s">
        <v>2741</v>
      </c>
      <c r="K1915" t="s">
        <v>384</v>
      </c>
      <c r="L1915">
        <v>28025</v>
      </c>
      <c r="M1915" t="s">
        <v>10378</v>
      </c>
      <c r="N1915">
        <v>5949</v>
      </c>
      <c r="O1915" t="s">
        <v>2330</v>
      </c>
      <c r="P1915">
        <v>3269</v>
      </c>
      <c r="Q1915" t="s">
        <v>6466</v>
      </c>
      <c r="R1915" t="s">
        <v>2331</v>
      </c>
      <c r="S1915" t="s">
        <v>2332</v>
      </c>
      <c r="T1915" t="s">
        <v>2140</v>
      </c>
      <c r="U1915" t="s">
        <v>2141</v>
      </c>
      <c r="V1915" t="s">
        <v>2215</v>
      </c>
      <c r="AC1915" t="s">
        <v>2333</v>
      </c>
    </row>
    <row r="1916" spans="1:33" x14ac:dyDescent="0.3">
      <c r="A1916">
        <v>35592</v>
      </c>
      <c r="B1916" t="s">
        <v>10379</v>
      </c>
      <c r="C1916" t="str">
        <f>""</f>
        <v/>
      </c>
      <c r="D1916" t="str">
        <f>"35AGABJF1"</f>
        <v>35AGABJF1</v>
      </c>
      <c r="E1916" s="1">
        <v>35278</v>
      </c>
      <c r="F1916" t="s">
        <v>10380</v>
      </c>
      <c r="G1916" t="e">
        <f>INDEX(#REF!,MATCH(P1916,#REF!,0),1)</f>
        <v>#REF!</v>
      </c>
      <c r="H1916" t="s">
        <v>1446</v>
      </c>
      <c r="I1916" t="s">
        <v>10381</v>
      </c>
      <c r="J1916" t="s">
        <v>1447</v>
      </c>
      <c r="K1916" t="s">
        <v>65</v>
      </c>
      <c r="L1916" t="s">
        <v>1448</v>
      </c>
      <c r="M1916" t="s">
        <v>10382</v>
      </c>
      <c r="N1916">
        <v>1922</v>
      </c>
      <c r="O1916" t="s">
        <v>883</v>
      </c>
      <c r="P1916">
        <v>1922</v>
      </c>
      <c r="Q1916" t="s">
        <v>883</v>
      </c>
      <c r="R1916" t="s">
        <v>884</v>
      </c>
      <c r="S1916" t="s">
        <v>885</v>
      </c>
      <c r="T1916" t="s">
        <v>2140</v>
      </c>
      <c r="U1916" t="s">
        <v>2141</v>
      </c>
      <c r="AA1916" t="s">
        <v>119</v>
      </c>
      <c r="AE1916" t="s">
        <v>564</v>
      </c>
      <c r="AG1916" t="s">
        <v>48</v>
      </c>
    </row>
    <row r="1917" spans="1:33" x14ac:dyDescent="0.3">
      <c r="A1917">
        <v>35593</v>
      </c>
      <c r="B1917" t="s">
        <v>10383</v>
      </c>
      <c r="C1917" t="str">
        <f>"1100005148437"</f>
        <v>1100005148437</v>
      </c>
      <c r="D1917" t="str">
        <f>"90KZGU200"</f>
        <v>90KZGU200</v>
      </c>
      <c r="E1917" s="1">
        <v>40008</v>
      </c>
      <c r="F1917" t="s">
        <v>10384</v>
      </c>
      <c r="G1917" t="e">
        <f>INDEX(#REF!,MATCH(P1917,#REF!,0),1)</f>
        <v>#REF!</v>
      </c>
      <c r="H1917" t="s">
        <v>10385</v>
      </c>
      <c r="J1917" t="s">
        <v>10386</v>
      </c>
      <c r="K1917" t="s">
        <v>167</v>
      </c>
      <c r="L1917" t="s">
        <v>10387</v>
      </c>
      <c r="M1917" t="s">
        <v>10388</v>
      </c>
      <c r="N1917">
        <v>35593</v>
      </c>
      <c r="O1917" t="s">
        <v>10384</v>
      </c>
      <c r="P1917">
        <v>35593</v>
      </c>
      <c r="Q1917" t="s">
        <v>10384</v>
      </c>
      <c r="R1917" t="s">
        <v>3101</v>
      </c>
      <c r="S1917" t="s">
        <v>3102</v>
      </c>
      <c r="T1917" t="s">
        <v>2277</v>
      </c>
      <c r="U1917" t="s">
        <v>2278</v>
      </c>
      <c r="V1917" t="s">
        <v>2215</v>
      </c>
    </row>
    <row r="1918" spans="1:33" x14ac:dyDescent="0.3">
      <c r="A1918">
        <v>35599</v>
      </c>
      <c r="B1918" t="s">
        <v>10389</v>
      </c>
      <c r="C1918" t="str">
        <f>"1100004619730"</f>
        <v>1100004619730</v>
      </c>
      <c r="D1918" t="str">
        <f>"22XPQGW00"</f>
        <v>22XPQGW00</v>
      </c>
      <c r="E1918" s="1">
        <v>35278</v>
      </c>
      <c r="F1918" t="s">
        <v>10390</v>
      </c>
      <c r="G1918" t="e">
        <f>INDEX(#REF!,MATCH(P1918,#REF!,0),1)</f>
        <v>#REF!</v>
      </c>
      <c r="H1918" t="s">
        <v>10391</v>
      </c>
      <c r="J1918" t="s">
        <v>1795</v>
      </c>
      <c r="K1918" t="s">
        <v>99</v>
      </c>
      <c r="L1918" t="s">
        <v>10392</v>
      </c>
      <c r="M1918" t="s">
        <v>10393</v>
      </c>
      <c r="N1918">
        <v>43807</v>
      </c>
      <c r="O1918" t="s">
        <v>1798</v>
      </c>
      <c r="P1918">
        <v>566</v>
      </c>
      <c r="Q1918" t="s">
        <v>2063</v>
      </c>
      <c r="R1918" t="s">
        <v>4838</v>
      </c>
      <c r="S1918" t="s">
        <v>4839</v>
      </c>
      <c r="T1918" t="s">
        <v>2140</v>
      </c>
      <c r="U1918" t="s">
        <v>2141</v>
      </c>
      <c r="V1918" t="s">
        <v>1824</v>
      </c>
      <c r="AA1918" t="s">
        <v>105</v>
      </c>
      <c r="AE1918" t="s">
        <v>106</v>
      </c>
    </row>
    <row r="1919" spans="1:33" x14ac:dyDescent="0.3">
      <c r="A1919">
        <v>35605</v>
      </c>
      <c r="B1919" t="s">
        <v>10394</v>
      </c>
      <c r="C1919" t="str">
        <f>""</f>
        <v/>
      </c>
      <c r="D1919" t="str">
        <f>"17PFWDLH1"</f>
        <v>17PFWDLH1</v>
      </c>
      <c r="E1919" s="1">
        <v>35370</v>
      </c>
      <c r="F1919" t="s">
        <v>10395</v>
      </c>
      <c r="G1919" t="e">
        <f>INDEX(#REF!,MATCH(P1919,#REF!,0),1)</f>
        <v>#REF!</v>
      </c>
      <c r="H1919" t="s">
        <v>10396</v>
      </c>
      <c r="J1919" t="s">
        <v>10397</v>
      </c>
      <c r="K1919" t="s">
        <v>53</v>
      </c>
      <c r="L1919" t="str">
        <f>"03106-2625"</f>
        <v>03106-2625</v>
      </c>
      <c r="M1919" t="s">
        <v>9275</v>
      </c>
      <c r="N1919">
        <v>155</v>
      </c>
      <c r="O1919" t="s">
        <v>55</v>
      </c>
      <c r="P1919">
        <v>38265</v>
      </c>
      <c r="Q1919" t="s">
        <v>10398</v>
      </c>
      <c r="R1919" t="s">
        <v>2138</v>
      </c>
      <c r="S1919" t="s">
        <v>2139</v>
      </c>
      <c r="T1919" t="s">
        <v>44</v>
      </c>
      <c r="U1919" t="s">
        <v>10399</v>
      </c>
      <c r="V1919" t="s">
        <v>1824</v>
      </c>
      <c r="AA1919" t="s">
        <v>58</v>
      </c>
      <c r="AE1919" t="s">
        <v>60</v>
      </c>
      <c r="AG1919" t="s">
        <v>48</v>
      </c>
    </row>
    <row r="1920" spans="1:33" x14ac:dyDescent="0.3">
      <c r="A1920">
        <v>35607</v>
      </c>
      <c r="B1920" t="s">
        <v>10400</v>
      </c>
      <c r="C1920" t="str">
        <f>""</f>
        <v/>
      </c>
      <c r="D1920" t="str">
        <f>"L21EF5M00"</f>
        <v>L21EF5M00</v>
      </c>
      <c r="E1920" s="1">
        <v>40722</v>
      </c>
      <c r="F1920" t="s">
        <v>10401</v>
      </c>
      <c r="G1920" t="e">
        <f>INDEX(#REF!,MATCH(P1920,#REF!,0),1)</f>
        <v>#REF!</v>
      </c>
      <c r="H1920" t="s">
        <v>10402</v>
      </c>
      <c r="J1920" t="s">
        <v>616</v>
      </c>
      <c r="K1920" t="s">
        <v>307</v>
      </c>
      <c r="L1920" t="s">
        <v>10403</v>
      </c>
      <c r="M1920" t="s">
        <v>10404</v>
      </c>
      <c r="N1920">
        <v>153</v>
      </c>
      <c r="O1920" t="s">
        <v>614</v>
      </c>
      <c r="P1920">
        <v>153</v>
      </c>
      <c r="Q1920" t="s">
        <v>614</v>
      </c>
      <c r="R1920" t="s">
        <v>3159</v>
      </c>
      <c r="S1920" t="s">
        <v>3160</v>
      </c>
      <c r="T1920" t="s">
        <v>2277</v>
      </c>
      <c r="U1920" t="s">
        <v>2278</v>
      </c>
      <c r="V1920" t="s">
        <v>1824</v>
      </c>
      <c r="AA1920" t="s">
        <v>337</v>
      </c>
      <c r="AD1920" t="s">
        <v>94</v>
      </c>
      <c r="AE1920" t="s">
        <v>404</v>
      </c>
    </row>
    <row r="1921" spans="1:33" x14ac:dyDescent="0.3">
      <c r="A1921">
        <v>35625</v>
      </c>
      <c r="B1921" t="s">
        <v>10405</v>
      </c>
      <c r="C1921" t="str">
        <f>"1100003762024"</f>
        <v>1100003762024</v>
      </c>
      <c r="D1921" t="str">
        <f>"430140CF1"</f>
        <v>430140CF1</v>
      </c>
      <c r="E1921" s="1">
        <v>35490</v>
      </c>
      <c r="F1921" t="s">
        <v>10406</v>
      </c>
      <c r="G1921" t="e">
        <f>INDEX(#REF!,MATCH(P1921,#REF!,0),1)</f>
        <v>#REF!</v>
      </c>
      <c r="H1921" t="s">
        <v>8220</v>
      </c>
      <c r="J1921" t="s">
        <v>408</v>
      </c>
      <c r="K1921" t="s">
        <v>342</v>
      </c>
      <c r="L1921" t="s">
        <v>8221</v>
      </c>
      <c r="M1921" t="s">
        <v>10407</v>
      </c>
      <c r="N1921">
        <v>6104582</v>
      </c>
      <c r="O1921" t="s">
        <v>180</v>
      </c>
      <c r="P1921">
        <v>919320</v>
      </c>
      <c r="Q1921" t="s">
        <v>10408</v>
      </c>
      <c r="R1921" t="s">
        <v>3152</v>
      </c>
      <c r="S1921" t="s">
        <v>3153</v>
      </c>
      <c r="T1921" t="s">
        <v>2140</v>
      </c>
      <c r="U1921" t="s">
        <v>2141</v>
      </c>
      <c r="V1921" t="s">
        <v>1824</v>
      </c>
      <c r="AA1921" t="s">
        <v>185</v>
      </c>
      <c r="AE1921" t="s">
        <v>186</v>
      </c>
    </row>
    <row r="1922" spans="1:33" x14ac:dyDescent="0.3">
      <c r="A1922">
        <v>35628</v>
      </c>
      <c r="B1922" t="s">
        <v>10409</v>
      </c>
      <c r="C1922" t="str">
        <f>"1100095836719"</f>
        <v>1100095836719</v>
      </c>
      <c r="D1922" t="str">
        <f>"442260IF1"</f>
        <v>442260IF1</v>
      </c>
      <c r="E1922" s="1">
        <v>35353</v>
      </c>
      <c r="F1922" t="s">
        <v>10410</v>
      </c>
      <c r="G1922" t="e">
        <f>INDEX(#REF!,MATCH(P1922,#REF!,0),1)</f>
        <v>#REF!</v>
      </c>
      <c r="H1922" t="s">
        <v>8190</v>
      </c>
      <c r="J1922" t="s">
        <v>5175</v>
      </c>
      <c r="K1922" t="s">
        <v>261</v>
      </c>
      <c r="L1922">
        <v>48183</v>
      </c>
      <c r="M1922" t="s">
        <v>10411</v>
      </c>
      <c r="N1922">
        <v>4168349</v>
      </c>
      <c r="O1922" t="s">
        <v>264</v>
      </c>
      <c r="P1922">
        <v>281</v>
      </c>
      <c r="Q1922" t="s">
        <v>758</v>
      </c>
      <c r="R1922" t="s">
        <v>2550</v>
      </c>
      <c r="S1922" t="s">
        <v>2551</v>
      </c>
      <c r="T1922" t="s">
        <v>2140</v>
      </c>
      <c r="U1922" t="s">
        <v>2141</v>
      </c>
      <c r="V1922" t="s">
        <v>1824</v>
      </c>
      <c r="Y1922" t="s">
        <v>46</v>
      </c>
      <c r="Z1922" s="1">
        <v>45709</v>
      </c>
      <c r="AE1922" t="s">
        <v>269</v>
      </c>
      <c r="AG1922" t="s">
        <v>48</v>
      </c>
    </row>
    <row r="1923" spans="1:33" x14ac:dyDescent="0.3">
      <c r="A1923">
        <v>35630</v>
      </c>
      <c r="B1923" t="s">
        <v>10412</v>
      </c>
      <c r="C1923" t="str">
        <f>""</f>
        <v/>
      </c>
      <c r="D1923" t="str">
        <f>"4YL73EB00"</f>
        <v>4YL73EB00</v>
      </c>
      <c r="E1923" s="1">
        <v>35431</v>
      </c>
      <c r="F1923" t="s">
        <v>10413</v>
      </c>
      <c r="G1923" t="e">
        <f>INDEX(#REF!,MATCH(P1923,#REF!,0),1)</f>
        <v>#REF!</v>
      </c>
      <c r="H1923" t="s">
        <v>10414</v>
      </c>
      <c r="J1923" t="s">
        <v>10415</v>
      </c>
      <c r="K1923" t="s">
        <v>353</v>
      </c>
      <c r="L1923" t="s">
        <v>10416</v>
      </c>
      <c r="M1923" t="s">
        <v>3226</v>
      </c>
      <c r="N1923">
        <v>2623348</v>
      </c>
      <c r="O1923" t="s">
        <v>773</v>
      </c>
      <c r="P1923">
        <v>1133</v>
      </c>
      <c r="Q1923" t="s">
        <v>3203</v>
      </c>
      <c r="R1923" t="s">
        <v>3372</v>
      </c>
      <c r="S1923" t="s">
        <v>3373</v>
      </c>
      <c r="T1923" t="s">
        <v>2277</v>
      </c>
      <c r="U1923" t="s">
        <v>2278</v>
      </c>
      <c r="V1923" t="s">
        <v>1824</v>
      </c>
      <c r="AA1923" t="s">
        <v>93</v>
      </c>
      <c r="AE1923" t="s">
        <v>220</v>
      </c>
      <c r="AG1923" t="s">
        <v>48</v>
      </c>
    </row>
    <row r="1924" spans="1:33" x14ac:dyDescent="0.3">
      <c r="A1924">
        <v>35632</v>
      </c>
      <c r="B1924" t="s">
        <v>10417</v>
      </c>
      <c r="C1924" t="str">
        <f>"1100003748462"</f>
        <v>1100003748462</v>
      </c>
      <c r="D1924" t="str">
        <f>"G4FYLXF00"</f>
        <v>G4FYLXF00</v>
      </c>
      <c r="E1924" s="1">
        <v>35462</v>
      </c>
      <c r="F1924" t="s">
        <v>10418</v>
      </c>
      <c r="G1924" t="e">
        <f>INDEX(#REF!,MATCH(P1924,#REF!,0),1)</f>
        <v>#REF!</v>
      </c>
      <c r="H1924" t="s">
        <v>10419</v>
      </c>
      <c r="J1924" t="s">
        <v>10420</v>
      </c>
      <c r="K1924" t="s">
        <v>353</v>
      </c>
      <c r="L1924" t="s">
        <v>10421</v>
      </c>
      <c r="M1924" t="s">
        <v>3226</v>
      </c>
      <c r="N1924">
        <v>2623348</v>
      </c>
      <c r="O1924" t="s">
        <v>773</v>
      </c>
      <c r="P1924">
        <v>193</v>
      </c>
      <c r="Q1924" t="s">
        <v>773</v>
      </c>
      <c r="R1924" t="s">
        <v>3372</v>
      </c>
      <c r="S1924" t="s">
        <v>3373</v>
      </c>
      <c r="T1924" t="s">
        <v>2277</v>
      </c>
      <c r="U1924" t="s">
        <v>2278</v>
      </c>
      <c r="V1924" t="s">
        <v>1824</v>
      </c>
      <c r="AA1924" t="s">
        <v>93</v>
      </c>
      <c r="AE1924" t="s">
        <v>220</v>
      </c>
      <c r="AG1924" t="s">
        <v>48</v>
      </c>
    </row>
    <row r="1925" spans="1:33" x14ac:dyDescent="0.3">
      <c r="A1925">
        <v>35633</v>
      </c>
      <c r="B1925" t="s">
        <v>10422</v>
      </c>
      <c r="C1925" t="str">
        <f>""</f>
        <v/>
      </c>
      <c r="D1925" t="str">
        <f>"66DA55900"</f>
        <v>66DA55900</v>
      </c>
      <c r="E1925" s="1">
        <v>35462</v>
      </c>
      <c r="F1925" t="s">
        <v>10423</v>
      </c>
      <c r="G1925" t="e">
        <f>INDEX(#REF!,MATCH(P1925,#REF!,0),1)</f>
        <v>#REF!</v>
      </c>
      <c r="H1925" t="s">
        <v>10424</v>
      </c>
      <c r="J1925" t="s">
        <v>10425</v>
      </c>
      <c r="K1925" t="s">
        <v>353</v>
      </c>
      <c r="L1925">
        <v>70373</v>
      </c>
      <c r="M1925" t="s">
        <v>3226</v>
      </c>
      <c r="N1925">
        <v>2623348</v>
      </c>
      <c r="O1925" t="s">
        <v>773</v>
      </c>
      <c r="P1925">
        <v>1133</v>
      </c>
      <c r="Q1925" t="s">
        <v>3203</v>
      </c>
      <c r="R1925" t="s">
        <v>3372</v>
      </c>
      <c r="S1925" t="s">
        <v>3373</v>
      </c>
      <c r="T1925" t="s">
        <v>2277</v>
      </c>
      <c r="U1925" t="s">
        <v>2278</v>
      </c>
      <c r="V1925" t="s">
        <v>1824</v>
      </c>
      <c r="AA1925" t="s">
        <v>93</v>
      </c>
      <c r="AE1925" t="s">
        <v>220</v>
      </c>
      <c r="AG1925" t="s">
        <v>48</v>
      </c>
    </row>
    <row r="1926" spans="1:33" x14ac:dyDescent="0.3">
      <c r="A1926">
        <v>35652</v>
      </c>
      <c r="B1926" t="s">
        <v>10426</v>
      </c>
      <c r="C1926" t="str">
        <f>""</f>
        <v/>
      </c>
      <c r="D1926" t="str">
        <f>"KF44KD400"</f>
        <v>KF44KD400</v>
      </c>
      <c r="E1926" s="1">
        <v>35490</v>
      </c>
      <c r="F1926" t="s">
        <v>10427</v>
      </c>
      <c r="G1926" t="e">
        <f>INDEX(#REF!,MATCH(P1926,#REF!,0),1)</f>
        <v>#REF!</v>
      </c>
      <c r="H1926" t="s">
        <v>913</v>
      </c>
      <c r="J1926" t="s">
        <v>914</v>
      </c>
      <c r="K1926" t="s">
        <v>99</v>
      </c>
      <c r="L1926" t="s">
        <v>10428</v>
      </c>
      <c r="M1926" t="s">
        <v>10429</v>
      </c>
      <c r="N1926">
        <v>232</v>
      </c>
      <c r="O1926" t="s">
        <v>912</v>
      </c>
      <c r="P1926">
        <v>232</v>
      </c>
      <c r="Q1926" t="s">
        <v>912</v>
      </c>
      <c r="R1926" t="s">
        <v>3751</v>
      </c>
      <c r="S1926" t="s">
        <v>3752</v>
      </c>
      <c r="T1926" t="s">
        <v>2140</v>
      </c>
      <c r="U1926" t="s">
        <v>2141</v>
      </c>
      <c r="V1926" t="s">
        <v>1824</v>
      </c>
      <c r="AA1926" t="s">
        <v>105</v>
      </c>
      <c r="AE1926" t="s">
        <v>106</v>
      </c>
    </row>
    <row r="1927" spans="1:33" x14ac:dyDescent="0.3">
      <c r="A1927">
        <v>35654</v>
      </c>
      <c r="B1927" t="s">
        <v>10430</v>
      </c>
      <c r="C1927" t="str">
        <f>"1100004719386"</f>
        <v>1100004719386</v>
      </c>
      <c r="D1927" t="str">
        <f>"430940KF1"</f>
        <v>430940KF1</v>
      </c>
      <c r="E1927" s="1">
        <v>35339</v>
      </c>
      <c r="F1927" t="s">
        <v>10431</v>
      </c>
      <c r="G1927" t="e">
        <f>INDEX(#REF!,MATCH(P1927,#REF!,0),1)</f>
        <v>#REF!</v>
      </c>
      <c r="H1927" t="s">
        <v>10432</v>
      </c>
      <c r="J1927" t="s">
        <v>1926</v>
      </c>
      <c r="K1927" t="s">
        <v>342</v>
      </c>
      <c r="L1927">
        <v>60625</v>
      </c>
      <c r="M1927" t="s">
        <v>4880</v>
      </c>
      <c r="N1927">
        <v>90</v>
      </c>
      <c r="O1927" t="s">
        <v>391</v>
      </c>
      <c r="P1927">
        <v>2131</v>
      </c>
      <c r="Q1927" t="s">
        <v>4877</v>
      </c>
      <c r="R1927" t="s">
        <v>2550</v>
      </c>
      <c r="S1927" t="s">
        <v>2551</v>
      </c>
      <c r="T1927" t="s">
        <v>117</v>
      </c>
      <c r="U1927" t="s">
        <v>2479</v>
      </c>
      <c r="V1927" t="s">
        <v>1824</v>
      </c>
      <c r="AA1927" t="s">
        <v>119</v>
      </c>
      <c r="AE1927" t="s">
        <v>120</v>
      </c>
    </row>
    <row r="1928" spans="1:33" x14ac:dyDescent="0.3">
      <c r="A1928">
        <v>35655</v>
      </c>
      <c r="B1928" t="s">
        <v>10433</v>
      </c>
      <c r="C1928" t="str">
        <f>""</f>
        <v/>
      </c>
      <c r="D1928" t="str">
        <f>"B0D1DY000"</f>
        <v>B0D1DY000</v>
      </c>
      <c r="E1928" s="1">
        <v>35400</v>
      </c>
      <c r="F1928" t="s">
        <v>10434</v>
      </c>
      <c r="G1928" t="e">
        <f>INDEX(#REF!,MATCH(P1928,#REF!,0),1)</f>
        <v>#REF!</v>
      </c>
      <c r="H1928" t="s">
        <v>10435</v>
      </c>
      <c r="J1928" t="s">
        <v>10436</v>
      </c>
      <c r="K1928" t="s">
        <v>307</v>
      </c>
      <c r="L1928" t="s">
        <v>10437</v>
      </c>
      <c r="M1928" t="s">
        <v>10438</v>
      </c>
      <c r="N1928">
        <v>1803</v>
      </c>
      <c r="O1928" t="s">
        <v>4318</v>
      </c>
      <c r="P1928">
        <v>1803</v>
      </c>
      <c r="Q1928" t="s">
        <v>4318</v>
      </c>
      <c r="R1928" t="s">
        <v>1821</v>
      </c>
      <c r="S1928" t="s">
        <v>1822</v>
      </c>
      <c r="T1928" t="s">
        <v>2277</v>
      </c>
      <c r="U1928" t="s">
        <v>2278</v>
      </c>
      <c r="V1928" t="s">
        <v>1824</v>
      </c>
    </row>
    <row r="1929" spans="1:33" x14ac:dyDescent="0.3">
      <c r="A1929">
        <v>35668</v>
      </c>
      <c r="B1929" t="s">
        <v>10439</v>
      </c>
      <c r="C1929" t="str">
        <f>""</f>
        <v/>
      </c>
      <c r="D1929" t="str">
        <f>"9N5TW8Y00"</f>
        <v>9N5TW8Y00</v>
      </c>
      <c r="E1929" s="1">
        <v>35490</v>
      </c>
      <c r="F1929" t="s">
        <v>10440</v>
      </c>
      <c r="G1929" t="e">
        <f>INDEX(#REF!,MATCH(P1929,#REF!,0),1)</f>
        <v>#REF!</v>
      </c>
      <c r="H1929" t="s">
        <v>10441</v>
      </c>
      <c r="J1929" t="s">
        <v>862</v>
      </c>
      <c r="K1929" t="s">
        <v>261</v>
      </c>
      <c r="L1929" t="s">
        <v>10442</v>
      </c>
      <c r="M1929" t="s">
        <v>10443</v>
      </c>
      <c r="N1929">
        <v>46431</v>
      </c>
      <c r="O1929" t="s">
        <v>865</v>
      </c>
      <c r="P1929">
        <v>217</v>
      </c>
      <c r="Q1929" t="s">
        <v>860</v>
      </c>
      <c r="R1929" t="s">
        <v>3159</v>
      </c>
      <c r="S1929" t="s">
        <v>3160</v>
      </c>
      <c r="T1929" t="s">
        <v>3141</v>
      </c>
      <c r="U1929" t="s">
        <v>3738</v>
      </c>
      <c r="V1929" t="s">
        <v>1824</v>
      </c>
      <c r="AA1929" t="s">
        <v>119</v>
      </c>
      <c r="AE1929" t="s">
        <v>120</v>
      </c>
    </row>
    <row r="1930" spans="1:33" x14ac:dyDescent="0.3">
      <c r="A1930">
        <v>35671</v>
      </c>
      <c r="B1930" t="s">
        <v>10444</v>
      </c>
      <c r="C1930" t="str">
        <f>"1100003047596"</f>
        <v>1100003047596</v>
      </c>
      <c r="D1930" t="str">
        <f>"CAYQJKD00"</f>
        <v>CAYQJKD00</v>
      </c>
      <c r="E1930" s="1">
        <v>35370</v>
      </c>
      <c r="F1930" t="s">
        <v>10445</v>
      </c>
      <c r="G1930" t="e">
        <f>INDEX(#REF!,MATCH(P1930,#REF!,0),1)</f>
        <v>#REF!</v>
      </c>
      <c r="H1930" t="s">
        <v>10446</v>
      </c>
      <c r="J1930" t="s">
        <v>2581</v>
      </c>
      <c r="K1930" t="s">
        <v>307</v>
      </c>
      <c r="L1930">
        <v>46805</v>
      </c>
      <c r="M1930" t="s">
        <v>3836</v>
      </c>
      <c r="N1930">
        <v>3087</v>
      </c>
      <c r="O1930" t="s">
        <v>491</v>
      </c>
      <c r="P1930">
        <v>705</v>
      </c>
      <c r="Q1930" t="s">
        <v>2579</v>
      </c>
      <c r="R1930" t="s">
        <v>3837</v>
      </c>
      <c r="S1930" t="s">
        <v>3838</v>
      </c>
      <c r="T1930" t="s">
        <v>2214</v>
      </c>
      <c r="U1930" t="s">
        <v>2552</v>
      </c>
      <c r="V1930" t="s">
        <v>1824</v>
      </c>
      <c r="AA1930" t="s">
        <v>328</v>
      </c>
      <c r="AE1930" t="s">
        <v>269</v>
      </c>
    </row>
    <row r="1931" spans="1:33" x14ac:dyDescent="0.3">
      <c r="A1931">
        <v>35672</v>
      </c>
      <c r="B1931" t="s">
        <v>10447</v>
      </c>
      <c r="C1931" t="str">
        <f>""</f>
        <v/>
      </c>
      <c r="D1931" t="str">
        <f>"FKK4VFX00"</f>
        <v>FKK4VFX00</v>
      </c>
      <c r="E1931" s="1">
        <v>35462</v>
      </c>
      <c r="F1931" t="s">
        <v>10448</v>
      </c>
      <c r="G1931" t="e">
        <f>INDEX(#REF!,MATCH(P1931,#REF!,0),1)</f>
        <v>#REF!</v>
      </c>
      <c r="H1931" t="s">
        <v>10449</v>
      </c>
      <c r="J1931" t="s">
        <v>1540</v>
      </c>
      <c r="K1931" t="s">
        <v>65</v>
      </c>
      <c r="L1931">
        <v>17601</v>
      </c>
      <c r="M1931" t="s">
        <v>10450</v>
      </c>
      <c r="N1931">
        <v>4007</v>
      </c>
      <c r="O1931" t="s">
        <v>276</v>
      </c>
      <c r="P1931">
        <v>2139</v>
      </c>
      <c r="Q1931" t="s">
        <v>1999</v>
      </c>
      <c r="R1931" t="s">
        <v>4102</v>
      </c>
      <c r="S1931" t="s">
        <v>4103</v>
      </c>
      <c r="T1931" t="s">
        <v>3141</v>
      </c>
      <c r="U1931" t="s">
        <v>3738</v>
      </c>
      <c r="V1931" t="s">
        <v>1824</v>
      </c>
      <c r="AG1931" t="s">
        <v>48</v>
      </c>
    </row>
    <row r="1932" spans="1:33" x14ac:dyDescent="0.3">
      <c r="A1932">
        <v>35673</v>
      </c>
      <c r="B1932" t="s">
        <v>10451</v>
      </c>
      <c r="C1932" t="str">
        <f>""</f>
        <v/>
      </c>
      <c r="D1932" t="str">
        <f>"GDFXXKM00"</f>
        <v>GDFXXKM00</v>
      </c>
      <c r="E1932" s="1">
        <v>35462</v>
      </c>
      <c r="F1932" t="s">
        <v>10452</v>
      </c>
      <c r="G1932" t="e">
        <f>INDEX(#REF!,MATCH(P1932,#REF!,0),1)</f>
        <v>#REF!</v>
      </c>
      <c r="H1932" t="s">
        <v>10453</v>
      </c>
      <c r="J1932" t="s">
        <v>1540</v>
      </c>
      <c r="K1932" t="s">
        <v>65</v>
      </c>
      <c r="L1932">
        <v>17601</v>
      </c>
      <c r="M1932" t="s">
        <v>10454</v>
      </c>
      <c r="N1932">
        <v>4007</v>
      </c>
      <c r="O1932" t="s">
        <v>276</v>
      </c>
      <c r="P1932">
        <v>544</v>
      </c>
      <c r="Q1932" t="s">
        <v>1995</v>
      </c>
      <c r="R1932" t="s">
        <v>4102</v>
      </c>
      <c r="S1932" t="s">
        <v>4103</v>
      </c>
      <c r="T1932" t="s">
        <v>2140</v>
      </c>
      <c r="U1932" t="s">
        <v>2141</v>
      </c>
      <c r="V1932" t="s">
        <v>1824</v>
      </c>
      <c r="AG1932" t="s">
        <v>48</v>
      </c>
    </row>
    <row r="1933" spans="1:33" x14ac:dyDescent="0.3">
      <c r="A1933">
        <v>35676</v>
      </c>
      <c r="B1933" t="s">
        <v>10455</v>
      </c>
      <c r="C1933" t="str">
        <f>""</f>
        <v/>
      </c>
      <c r="D1933" t="str">
        <f>"380770P00"</f>
        <v>380770P00</v>
      </c>
      <c r="E1933" s="1">
        <v>35400</v>
      </c>
      <c r="F1933" t="s">
        <v>5781</v>
      </c>
      <c r="G1933" t="e">
        <f>INDEX(#REF!,MATCH(P1933,#REF!,0),1)</f>
        <v>#REF!</v>
      </c>
      <c r="H1933" t="s">
        <v>10456</v>
      </c>
      <c r="J1933" t="s">
        <v>446</v>
      </c>
      <c r="K1933" t="s">
        <v>99</v>
      </c>
      <c r="L1933" t="s">
        <v>10457</v>
      </c>
      <c r="M1933" t="s">
        <v>10458</v>
      </c>
      <c r="N1933">
        <v>2623343</v>
      </c>
      <c r="O1933" t="s">
        <v>1513</v>
      </c>
      <c r="P1933">
        <v>2623343</v>
      </c>
      <c r="Q1933" t="s">
        <v>1513</v>
      </c>
      <c r="R1933" t="s">
        <v>1514</v>
      </c>
      <c r="S1933" t="s">
        <v>1515</v>
      </c>
      <c r="T1933" t="s">
        <v>44</v>
      </c>
      <c r="U1933" t="s">
        <v>45</v>
      </c>
      <c r="AD1933" t="s">
        <v>94</v>
      </c>
      <c r="AE1933" t="s">
        <v>72</v>
      </c>
    </row>
    <row r="1934" spans="1:33" x14ac:dyDescent="0.3">
      <c r="A1934">
        <v>35682</v>
      </c>
      <c r="B1934" t="s">
        <v>10459</v>
      </c>
      <c r="C1934" t="str">
        <f>"1100002657758"</f>
        <v>1100002657758</v>
      </c>
      <c r="D1934" t="str">
        <f>"KKLA6TY00"</f>
        <v>KKLA6TY00</v>
      </c>
      <c r="E1934" s="1">
        <v>30558</v>
      </c>
      <c r="F1934" t="s">
        <v>528</v>
      </c>
      <c r="G1934" t="e">
        <f>INDEX(#REF!,MATCH(P1934,#REF!,0),1)</f>
        <v>#REF!</v>
      </c>
      <c r="H1934" t="s">
        <v>10460</v>
      </c>
      <c r="J1934" t="s">
        <v>525</v>
      </c>
      <c r="K1934" t="s">
        <v>99</v>
      </c>
      <c r="L1934" t="s">
        <v>10461</v>
      </c>
      <c r="M1934" t="s">
        <v>10462</v>
      </c>
      <c r="N1934">
        <v>35682</v>
      </c>
      <c r="O1934" t="s">
        <v>528</v>
      </c>
      <c r="P1934">
        <v>35682</v>
      </c>
      <c r="Q1934" t="s">
        <v>528</v>
      </c>
      <c r="R1934" t="s">
        <v>434</v>
      </c>
      <c r="S1934" t="s">
        <v>435</v>
      </c>
      <c r="T1934" t="s">
        <v>44</v>
      </c>
      <c r="U1934" t="s">
        <v>81</v>
      </c>
      <c r="AA1934" t="s">
        <v>105</v>
      </c>
      <c r="AE1934" t="s">
        <v>106</v>
      </c>
    </row>
    <row r="1935" spans="1:33" x14ac:dyDescent="0.3">
      <c r="A1935">
        <v>35683</v>
      </c>
      <c r="B1935" t="s">
        <v>10463</v>
      </c>
      <c r="C1935" t="str">
        <f>"1100002838300"</f>
        <v>1100002838300</v>
      </c>
      <c r="D1935" t="str">
        <f>"D7YKWLH00"</f>
        <v>D7YKWLH00</v>
      </c>
      <c r="E1935" s="1">
        <v>42583</v>
      </c>
      <c r="F1935" t="s">
        <v>931</v>
      </c>
      <c r="G1935" t="e">
        <f>INDEX(#REF!,MATCH(P1935,#REF!,0),1)</f>
        <v>#REF!</v>
      </c>
      <c r="H1935" t="s">
        <v>10464</v>
      </c>
      <c r="I1935" t="s">
        <v>10465</v>
      </c>
      <c r="J1935" t="s">
        <v>7665</v>
      </c>
      <c r="K1935" t="s">
        <v>251</v>
      </c>
      <c r="L1935" t="str">
        <f>"08837-2206"</f>
        <v>08837-2206</v>
      </c>
      <c r="M1935" t="s">
        <v>10466</v>
      </c>
      <c r="N1935">
        <v>35683</v>
      </c>
      <c r="O1935" t="s">
        <v>931</v>
      </c>
      <c r="P1935">
        <v>35683</v>
      </c>
      <c r="Q1935" t="s">
        <v>931</v>
      </c>
      <c r="R1935" t="s">
        <v>254</v>
      </c>
      <c r="S1935" t="s">
        <v>255</v>
      </c>
      <c r="T1935" t="s">
        <v>44</v>
      </c>
      <c r="U1935" t="s">
        <v>81</v>
      </c>
    </row>
    <row r="1936" spans="1:33" x14ac:dyDescent="0.3">
      <c r="A1936">
        <v>35687</v>
      </c>
      <c r="B1936" t="s">
        <v>10467</v>
      </c>
      <c r="C1936" t="str">
        <f>"1100002676377"</f>
        <v>1100002676377</v>
      </c>
      <c r="D1936" t="str">
        <f>"361560L00"</f>
        <v>361560L00</v>
      </c>
      <c r="E1936" s="1">
        <v>42583</v>
      </c>
      <c r="F1936" t="s">
        <v>10468</v>
      </c>
      <c r="G1936" t="e">
        <f>INDEX(#REF!,MATCH(P1936,#REF!,0),1)</f>
        <v>#REF!</v>
      </c>
      <c r="H1936" t="s">
        <v>10469</v>
      </c>
      <c r="J1936" t="s">
        <v>10470</v>
      </c>
      <c r="K1936" t="s">
        <v>384</v>
      </c>
      <c r="L1936">
        <v>28170</v>
      </c>
      <c r="M1936" t="s">
        <v>10471</v>
      </c>
      <c r="N1936">
        <v>5949</v>
      </c>
      <c r="O1936" t="s">
        <v>2330</v>
      </c>
      <c r="P1936">
        <v>5949</v>
      </c>
      <c r="Q1936" t="s">
        <v>2330</v>
      </c>
      <c r="R1936" t="s">
        <v>2331</v>
      </c>
      <c r="S1936" t="s">
        <v>2332</v>
      </c>
      <c r="T1936" t="s">
        <v>44</v>
      </c>
      <c r="U1936" t="s">
        <v>45</v>
      </c>
      <c r="AC1936" t="s">
        <v>2333</v>
      </c>
    </row>
    <row r="1937" spans="1:33" x14ac:dyDescent="0.3">
      <c r="A1937">
        <v>35688</v>
      </c>
      <c r="B1937" t="s">
        <v>10472</v>
      </c>
      <c r="C1937" t="str">
        <f>""</f>
        <v/>
      </c>
      <c r="D1937" t="str">
        <f>"950210H00"</f>
        <v>950210H00</v>
      </c>
      <c r="E1937" s="1">
        <v>35582</v>
      </c>
      <c r="F1937" t="s">
        <v>10473</v>
      </c>
      <c r="G1937" t="e">
        <f>INDEX(#REF!,MATCH(P1937,#REF!,0),1)</f>
        <v>#REF!</v>
      </c>
      <c r="H1937" t="s">
        <v>10474</v>
      </c>
      <c r="J1937" t="s">
        <v>10475</v>
      </c>
      <c r="K1937" t="s">
        <v>1454</v>
      </c>
      <c r="L1937">
        <v>96748</v>
      </c>
      <c r="M1937" t="s">
        <v>10476</v>
      </c>
      <c r="N1937">
        <v>717069</v>
      </c>
      <c r="O1937" t="s">
        <v>1457</v>
      </c>
      <c r="P1937">
        <v>717069</v>
      </c>
      <c r="Q1937" t="s">
        <v>1457</v>
      </c>
      <c r="R1937" t="s">
        <v>1458</v>
      </c>
      <c r="S1937" t="s">
        <v>1459</v>
      </c>
      <c r="T1937" t="s">
        <v>44</v>
      </c>
      <c r="U1937" t="s">
        <v>45</v>
      </c>
      <c r="AA1937" t="s">
        <v>1032</v>
      </c>
      <c r="AD1937" t="s">
        <v>94</v>
      </c>
      <c r="AE1937" t="s">
        <v>1033</v>
      </c>
      <c r="AG1937" t="s">
        <v>48</v>
      </c>
    </row>
    <row r="1938" spans="1:33" x14ac:dyDescent="0.3">
      <c r="A1938">
        <v>35691</v>
      </c>
      <c r="B1938" t="s">
        <v>10477</v>
      </c>
      <c r="C1938" t="str">
        <f>"1100005753235"</f>
        <v>1100005753235</v>
      </c>
      <c r="D1938" t="str">
        <f>"720070G00"</f>
        <v>720070G00</v>
      </c>
      <c r="E1938" s="1">
        <v>44501</v>
      </c>
      <c r="F1938" t="s">
        <v>10478</v>
      </c>
      <c r="G1938" t="e">
        <f>INDEX(#REF!,MATCH(P1938,#REF!,0),1)</f>
        <v>#REF!</v>
      </c>
      <c r="H1938" t="s">
        <v>10479</v>
      </c>
      <c r="J1938" t="s">
        <v>10480</v>
      </c>
      <c r="K1938" t="s">
        <v>353</v>
      </c>
      <c r="L1938" t="s">
        <v>10481</v>
      </c>
      <c r="M1938" t="s">
        <v>10482</v>
      </c>
      <c r="N1938">
        <v>35691</v>
      </c>
      <c r="O1938" t="s">
        <v>10478</v>
      </c>
      <c r="P1938">
        <v>35691</v>
      </c>
      <c r="Q1938" t="s">
        <v>10478</v>
      </c>
      <c r="R1938" t="s">
        <v>356</v>
      </c>
      <c r="S1938" t="s">
        <v>357</v>
      </c>
      <c r="T1938" t="s">
        <v>44</v>
      </c>
      <c r="U1938" t="s">
        <v>45</v>
      </c>
      <c r="AC1938" t="s">
        <v>1100</v>
      </c>
    </row>
    <row r="1939" spans="1:33" x14ac:dyDescent="0.3">
      <c r="A1939">
        <v>35695</v>
      </c>
      <c r="B1939" t="s">
        <v>10483</v>
      </c>
      <c r="C1939" t="str">
        <f>"1100005616288"</f>
        <v>1100005616288</v>
      </c>
      <c r="D1939" t="str">
        <f>"29TYFS900"</f>
        <v>29TYFS900</v>
      </c>
      <c r="E1939" s="1">
        <v>35582</v>
      </c>
      <c r="F1939" t="s">
        <v>10484</v>
      </c>
      <c r="G1939" t="e">
        <f>INDEX(#REF!,MATCH(P1939,#REF!,0),1)</f>
        <v>#REF!</v>
      </c>
      <c r="H1939" t="s">
        <v>10485</v>
      </c>
      <c r="J1939" t="s">
        <v>10486</v>
      </c>
      <c r="K1939" t="s">
        <v>177</v>
      </c>
      <c r="L1939" t="s">
        <v>10487</v>
      </c>
      <c r="M1939" t="s">
        <v>10488</v>
      </c>
      <c r="N1939">
        <v>6104582</v>
      </c>
      <c r="O1939" t="s">
        <v>180</v>
      </c>
      <c r="P1939">
        <v>1351</v>
      </c>
      <c r="Q1939" t="s">
        <v>181</v>
      </c>
      <c r="R1939" t="s">
        <v>3152</v>
      </c>
      <c r="S1939" t="s">
        <v>3153</v>
      </c>
      <c r="T1939" t="s">
        <v>2214</v>
      </c>
      <c r="U1939" t="s">
        <v>2214</v>
      </c>
      <c r="V1939" t="s">
        <v>1824</v>
      </c>
      <c r="AA1939" t="s">
        <v>185</v>
      </c>
      <c r="AE1939" t="s">
        <v>186</v>
      </c>
    </row>
    <row r="1940" spans="1:33" x14ac:dyDescent="0.3">
      <c r="A1940">
        <v>35701</v>
      </c>
      <c r="B1940" t="s">
        <v>10489</v>
      </c>
      <c r="C1940" t="str">
        <f>""</f>
        <v/>
      </c>
      <c r="D1940" t="str">
        <f>"34HRUKT00"</f>
        <v>34HRUKT00</v>
      </c>
      <c r="E1940" s="1">
        <v>39953</v>
      </c>
      <c r="F1940" t="s">
        <v>10490</v>
      </c>
      <c r="G1940" t="e">
        <f>INDEX(#REF!,MATCH(P1940,#REF!,0),1)</f>
        <v>#REF!</v>
      </c>
      <c r="H1940" t="s">
        <v>10491</v>
      </c>
      <c r="J1940" t="s">
        <v>10492</v>
      </c>
      <c r="K1940" t="s">
        <v>251</v>
      </c>
      <c r="L1940" t="str">
        <f>"07036"</f>
        <v>07036</v>
      </c>
      <c r="M1940" t="s">
        <v>10493</v>
      </c>
      <c r="N1940">
        <v>35701</v>
      </c>
      <c r="O1940" t="s">
        <v>10490</v>
      </c>
      <c r="P1940">
        <v>35701</v>
      </c>
      <c r="Q1940" t="s">
        <v>10490</v>
      </c>
      <c r="R1940" t="s">
        <v>7384</v>
      </c>
      <c r="S1940" t="s">
        <v>7385</v>
      </c>
      <c r="T1940" t="s">
        <v>2214</v>
      </c>
      <c r="U1940" t="s">
        <v>2552</v>
      </c>
      <c r="V1940" t="s">
        <v>2215</v>
      </c>
      <c r="AF1940" t="s">
        <v>7552</v>
      </c>
    </row>
    <row r="1941" spans="1:33" x14ac:dyDescent="0.3">
      <c r="A1941">
        <v>35702</v>
      </c>
      <c r="B1941" t="s">
        <v>10494</v>
      </c>
      <c r="C1941" t="str">
        <f>""</f>
        <v/>
      </c>
      <c r="D1941" t="str">
        <f>"34HUXN200"</f>
        <v>34HUXN200</v>
      </c>
      <c r="E1941" s="1">
        <v>39953</v>
      </c>
      <c r="F1941" t="s">
        <v>10495</v>
      </c>
      <c r="G1941" t="e">
        <f>INDEX(#REF!,MATCH(P1941,#REF!,0),1)</f>
        <v>#REF!</v>
      </c>
      <c r="H1941" t="s">
        <v>10496</v>
      </c>
      <c r="J1941" t="s">
        <v>7841</v>
      </c>
      <c r="K1941" t="s">
        <v>251</v>
      </c>
      <c r="L1941" t="str">
        <f>"07922"</f>
        <v>07922</v>
      </c>
      <c r="M1941" t="s">
        <v>10497</v>
      </c>
      <c r="N1941">
        <v>839245</v>
      </c>
      <c r="O1941" t="s">
        <v>7460</v>
      </c>
      <c r="P1941">
        <v>839245</v>
      </c>
      <c r="Q1941" t="s">
        <v>7460</v>
      </c>
      <c r="R1941" t="s">
        <v>6187</v>
      </c>
      <c r="S1941" t="s">
        <v>6188</v>
      </c>
      <c r="T1941" t="s">
        <v>2214</v>
      </c>
      <c r="U1941" t="s">
        <v>2552</v>
      </c>
      <c r="V1941" t="s">
        <v>2215</v>
      </c>
    </row>
    <row r="1942" spans="1:33" x14ac:dyDescent="0.3">
      <c r="A1942">
        <v>35703</v>
      </c>
      <c r="B1942" t="s">
        <v>10498</v>
      </c>
      <c r="C1942" t="str">
        <f>"1100004309938"</f>
        <v>1100004309938</v>
      </c>
      <c r="D1942" t="str">
        <f>""</f>
        <v/>
      </c>
      <c r="E1942" s="1">
        <v>35582</v>
      </c>
      <c r="F1942" t="s">
        <v>10499</v>
      </c>
      <c r="G1942" t="e">
        <f>INDEX(#REF!,MATCH(P1942,#REF!,0),1)</f>
        <v>#REF!</v>
      </c>
      <c r="H1942" t="s">
        <v>10500</v>
      </c>
      <c r="J1942" t="s">
        <v>430</v>
      </c>
      <c r="K1942" t="s">
        <v>139</v>
      </c>
      <c r="L1942">
        <v>37922</v>
      </c>
      <c r="M1942" t="s">
        <v>10501</v>
      </c>
      <c r="N1942">
        <v>7585</v>
      </c>
      <c r="O1942" t="s">
        <v>433</v>
      </c>
      <c r="P1942">
        <v>7585</v>
      </c>
      <c r="Q1942" t="s">
        <v>433</v>
      </c>
      <c r="R1942" t="s">
        <v>4838</v>
      </c>
      <c r="S1942" t="s">
        <v>4839</v>
      </c>
      <c r="T1942" t="s">
        <v>3674</v>
      </c>
      <c r="U1942" t="s">
        <v>10502</v>
      </c>
      <c r="V1942" t="s">
        <v>1824</v>
      </c>
      <c r="AA1942" t="s">
        <v>119</v>
      </c>
    </row>
    <row r="1943" spans="1:33" x14ac:dyDescent="0.3">
      <c r="A1943">
        <v>35705</v>
      </c>
      <c r="B1943" t="s">
        <v>10503</v>
      </c>
      <c r="C1943" t="str">
        <f>"1100005983786"</f>
        <v>1100005983786</v>
      </c>
      <c r="D1943" t="str">
        <f>"92K38DJ00"</f>
        <v>92K38DJ00</v>
      </c>
      <c r="E1943" s="1">
        <v>35582</v>
      </c>
      <c r="F1943" t="s">
        <v>10504</v>
      </c>
      <c r="G1943" t="e">
        <f>INDEX(#REF!,MATCH(P1943,#REF!,0),1)</f>
        <v>#REF!</v>
      </c>
      <c r="H1943" t="s">
        <v>10505</v>
      </c>
      <c r="I1943" t="s">
        <v>10506</v>
      </c>
      <c r="J1943" t="s">
        <v>430</v>
      </c>
      <c r="K1943" t="s">
        <v>139</v>
      </c>
      <c r="L1943">
        <v>37922</v>
      </c>
      <c r="M1943" t="s">
        <v>10507</v>
      </c>
      <c r="N1943">
        <v>7585</v>
      </c>
      <c r="O1943" t="s">
        <v>433</v>
      </c>
      <c r="P1943">
        <v>7585</v>
      </c>
      <c r="Q1943" t="s">
        <v>433</v>
      </c>
      <c r="R1943" t="s">
        <v>4838</v>
      </c>
      <c r="S1943" t="s">
        <v>4839</v>
      </c>
      <c r="T1943" t="s">
        <v>2214</v>
      </c>
      <c r="U1943" t="s">
        <v>2552</v>
      </c>
      <c r="V1943" t="s">
        <v>1824</v>
      </c>
      <c r="AA1943" t="s">
        <v>119</v>
      </c>
      <c r="AE1943" t="s">
        <v>120</v>
      </c>
    </row>
    <row r="1944" spans="1:33" x14ac:dyDescent="0.3">
      <c r="A1944">
        <v>35708</v>
      </c>
      <c r="B1944" t="s">
        <v>10508</v>
      </c>
      <c r="C1944" t="str">
        <f>""</f>
        <v/>
      </c>
      <c r="D1944" t="str">
        <f>"11MTPY400"</f>
        <v>11MTPY400</v>
      </c>
      <c r="E1944" s="1">
        <v>35582</v>
      </c>
      <c r="F1944" t="s">
        <v>10509</v>
      </c>
      <c r="G1944" t="e">
        <f>INDEX(#REF!,MATCH(P1944,#REF!,0),1)</f>
        <v>#REF!</v>
      </c>
      <c r="H1944" t="s">
        <v>10510</v>
      </c>
      <c r="J1944" t="s">
        <v>1453</v>
      </c>
      <c r="K1944" t="s">
        <v>1454</v>
      </c>
      <c r="L1944">
        <v>96813</v>
      </c>
      <c r="M1944" t="s">
        <v>10511</v>
      </c>
      <c r="N1944">
        <v>717069</v>
      </c>
      <c r="O1944" t="s">
        <v>1457</v>
      </c>
      <c r="P1944">
        <v>717069</v>
      </c>
      <c r="Q1944" t="s">
        <v>1457</v>
      </c>
      <c r="R1944" t="s">
        <v>5924</v>
      </c>
      <c r="S1944" t="s">
        <v>5925</v>
      </c>
      <c r="T1944" t="s">
        <v>2277</v>
      </c>
      <c r="U1944" t="s">
        <v>2278</v>
      </c>
      <c r="V1944" t="s">
        <v>1824</v>
      </c>
      <c r="AA1944" t="s">
        <v>1032</v>
      </c>
      <c r="AD1944" t="s">
        <v>94</v>
      </c>
      <c r="AE1944" t="s">
        <v>1033</v>
      </c>
      <c r="AG1944" t="s">
        <v>48</v>
      </c>
    </row>
    <row r="1945" spans="1:33" x14ac:dyDescent="0.3">
      <c r="A1945">
        <v>35709</v>
      </c>
      <c r="B1945" t="s">
        <v>10512</v>
      </c>
      <c r="C1945" t="str">
        <f>""</f>
        <v/>
      </c>
      <c r="D1945" t="str">
        <f>"6RFAHJM00"</f>
        <v>6RFAHJM00</v>
      </c>
      <c r="E1945" s="1">
        <v>35582</v>
      </c>
      <c r="F1945" t="s">
        <v>10513</v>
      </c>
      <c r="G1945" t="e">
        <f>INDEX(#REF!,MATCH(P1945,#REF!,0),1)</f>
        <v>#REF!</v>
      </c>
      <c r="H1945" t="s">
        <v>10514</v>
      </c>
      <c r="J1945" t="s">
        <v>176</v>
      </c>
      <c r="K1945" t="s">
        <v>177</v>
      </c>
      <c r="L1945">
        <v>63110</v>
      </c>
      <c r="M1945" t="s">
        <v>10515</v>
      </c>
      <c r="N1945">
        <v>6104582</v>
      </c>
      <c r="O1945" t="s">
        <v>180</v>
      </c>
      <c r="P1945">
        <v>78358</v>
      </c>
      <c r="Q1945" t="s">
        <v>10350</v>
      </c>
      <c r="R1945" t="s">
        <v>3152</v>
      </c>
      <c r="S1945" t="s">
        <v>3153</v>
      </c>
      <c r="T1945" t="s">
        <v>44</v>
      </c>
      <c r="U1945" t="s">
        <v>10516</v>
      </c>
      <c r="V1945" t="s">
        <v>1824</v>
      </c>
      <c r="AA1945" t="s">
        <v>185</v>
      </c>
    </row>
    <row r="1946" spans="1:33" x14ac:dyDescent="0.3">
      <c r="A1946">
        <v>35710</v>
      </c>
      <c r="B1946" t="s">
        <v>10517</v>
      </c>
      <c r="C1946" t="str">
        <f>""</f>
        <v/>
      </c>
      <c r="D1946" t="str">
        <f>"634WFTH00"</f>
        <v>634WFTH00</v>
      </c>
      <c r="E1946" s="1">
        <v>35582</v>
      </c>
      <c r="F1946" t="s">
        <v>10518</v>
      </c>
      <c r="G1946" t="e">
        <f>INDEX(#REF!,MATCH(P1946,#REF!,0),1)</f>
        <v>#REF!</v>
      </c>
      <c r="H1946" t="s">
        <v>10519</v>
      </c>
      <c r="I1946" t="s">
        <v>10520</v>
      </c>
      <c r="J1946" t="s">
        <v>176</v>
      </c>
      <c r="K1946" t="s">
        <v>177</v>
      </c>
      <c r="L1946" t="s">
        <v>10521</v>
      </c>
      <c r="M1946" t="s">
        <v>10522</v>
      </c>
      <c r="N1946">
        <v>6104582</v>
      </c>
      <c r="O1946" t="s">
        <v>180</v>
      </c>
      <c r="P1946">
        <v>78358</v>
      </c>
      <c r="Q1946" t="s">
        <v>10350</v>
      </c>
      <c r="R1946" t="s">
        <v>3152</v>
      </c>
      <c r="S1946" t="s">
        <v>3153</v>
      </c>
      <c r="T1946" t="s">
        <v>117</v>
      </c>
      <c r="U1946" t="s">
        <v>6951</v>
      </c>
      <c r="V1946" t="s">
        <v>1824</v>
      </c>
      <c r="AA1946" t="s">
        <v>185</v>
      </c>
    </row>
    <row r="1947" spans="1:33" x14ac:dyDescent="0.3">
      <c r="A1947">
        <v>35711</v>
      </c>
      <c r="B1947" t="s">
        <v>10523</v>
      </c>
      <c r="C1947" t="str">
        <f>""</f>
        <v/>
      </c>
      <c r="D1947" t="str">
        <f>"D3T1FD200"</f>
        <v>D3T1FD200</v>
      </c>
      <c r="E1947" s="1">
        <v>35582</v>
      </c>
      <c r="F1947" t="s">
        <v>10524</v>
      </c>
      <c r="G1947" t="e">
        <f>INDEX(#REF!,MATCH(P1947,#REF!,0),1)</f>
        <v>#REF!</v>
      </c>
      <c r="H1947" t="s">
        <v>10525</v>
      </c>
      <c r="J1947" t="s">
        <v>1772</v>
      </c>
      <c r="K1947" t="s">
        <v>177</v>
      </c>
      <c r="L1947" t="s">
        <v>10526</v>
      </c>
      <c r="M1947" t="s">
        <v>10527</v>
      </c>
      <c r="N1947">
        <v>6104582</v>
      </c>
      <c r="O1947" t="s">
        <v>180</v>
      </c>
      <c r="P1947">
        <v>1351</v>
      </c>
      <c r="Q1947" t="s">
        <v>181</v>
      </c>
      <c r="R1947" t="s">
        <v>1821</v>
      </c>
      <c r="S1947" t="s">
        <v>1822</v>
      </c>
      <c r="T1947" t="s">
        <v>2277</v>
      </c>
      <c r="U1947" t="s">
        <v>4502</v>
      </c>
      <c r="V1947" t="s">
        <v>2215</v>
      </c>
    </row>
    <row r="1948" spans="1:33" x14ac:dyDescent="0.3">
      <c r="A1948">
        <v>35713</v>
      </c>
      <c r="B1948" t="s">
        <v>10528</v>
      </c>
      <c r="C1948" t="str">
        <f>""</f>
        <v/>
      </c>
      <c r="D1948" t="str">
        <f>""</f>
        <v/>
      </c>
      <c r="E1948" s="1">
        <v>43348</v>
      </c>
      <c r="F1948" t="s">
        <v>10529</v>
      </c>
      <c r="G1948" t="e">
        <f>INDEX(#REF!,MATCH(P1948,#REF!,0),1)</f>
        <v>#REF!</v>
      </c>
      <c r="H1948" t="s">
        <v>10530</v>
      </c>
      <c r="J1948" t="s">
        <v>176</v>
      </c>
      <c r="K1948" t="s">
        <v>177</v>
      </c>
      <c r="L1948">
        <v>63110</v>
      </c>
      <c r="M1948" t="s">
        <v>10531</v>
      </c>
      <c r="N1948">
        <v>6104582</v>
      </c>
      <c r="O1948" t="s">
        <v>180</v>
      </c>
      <c r="P1948">
        <v>78358</v>
      </c>
      <c r="Q1948" t="s">
        <v>10350</v>
      </c>
      <c r="R1948" t="s">
        <v>3152</v>
      </c>
      <c r="S1948" t="s">
        <v>3153</v>
      </c>
      <c r="T1948" t="s">
        <v>2277</v>
      </c>
      <c r="U1948" t="s">
        <v>3103</v>
      </c>
      <c r="V1948" t="s">
        <v>1824</v>
      </c>
      <c r="AA1948" t="s">
        <v>185</v>
      </c>
    </row>
    <row r="1949" spans="1:33" x14ac:dyDescent="0.3">
      <c r="A1949">
        <v>35714</v>
      </c>
      <c r="B1949" t="s">
        <v>10532</v>
      </c>
      <c r="C1949" t="str">
        <f>""</f>
        <v/>
      </c>
      <c r="D1949" t="str">
        <f>"CKM1AYR00"</f>
        <v>CKM1AYR00</v>
      </c>
      <c r="E1949" s="1">
        <v>43348</v>
      </c>
      <c r="F1949" t="s">
        <v>10533</v>
      </c>
      <c r="G1949" t="e">
        <f>INDEX(#REF!,MATCH(P1949,#REF!,0),1)</f>
        <v>#REF!</v>
      </c>
      <c r="H1949" t="s">
        <v>10534</v>
      </c>
      <c r="J1949" t="s">
        <v>176</v>
      </c>
      <c r="K1949" t="s">
        <v>177</v>
      </c>
      <c r="L1949" t="s">
        <v>178</v>
      </c>
      <c r="M1949" t="s">
        <v>10535</v>
      </c>
      <c r="N1949">
        <v>6104582</v>
      </c>
      <c r="O1949" t="s">
        <v>180</v>
      </c>
      <c r="P1949">
        <v>78358</v>
      </c>
      <c r="Q1949" t="s">
        <v>10350</v>
      </c>
      <c r="R1949" t="s">
        <v>3152</v>
      </c>
      <c r="S1949" t="s">
        <v>3153</v>
      </c>
      <c r="T1949" t="s">
        <v>117</v>
      </c>
      <c r="U1949" t="s">
        <v>2479</v>
      </c>
      <c r="V1949" t="s">
        <v>1824</v>
      </c>
      <c r="AA1949" t="s">
        <v>185</v>
      </c>
    </row>
    <row r="1950" spans="1:33" x14ac:dyDescent="0.3">
      <c r="A1950">
        <v>35715</v>
      </c>
      <c r="B1950" t="s">
        <v>10536</v>
      </c>
      <c r="C1950" t="str">
        <f>""</f>
        <v/>
      </c>
      <c r="D1950" t="str">
        <f>""</f>
        <v/>
      </c>
      <c r="E1950" s="1">
        <v>43348</v>
      </c>
      <c r="F1950" t="s">
        <v>10537</v>
      </c>
      <c r="G1950" t="e">
        <f>INDEX(#REF!,MATCH(P1950,#REF!,0),1)</f>
        <v>#REF!</v>
      </c>
      <c r="H1950" t="s">
        <v>10538</v>
      </c>
      <c r="J1950" t="s">
        <v>176</v>
      </c>
      <c r="K1950" t="s">
        <v>177</v>
      </c>
      <c r="L1950" t="s">
        <v>10539</v>
      </c>
      <c r="M1950" t="s">
        <v>10540</v>
      </c>
      <c r="N1950">
        <v>6104582</v>
      </c>
      <c r="O1950" t="s">
        <v>180</v>
      </c>
      <c r="P1950">
        <v>78358</v>
      </c>
      <c r="Q1950" t="s">
        <v>10350</v>
      </c>
      <c r="R1950" t="s">
        <v>3152</v>
      </c>
      <c r="S1950" t="s">
        <v>3153</v>
      </c>
      <c r="T1950" t="s">
        <v>2277</v>
      </c>
      <c r="U1950" t="s">
        <v>4419</v>
      </c>
      <c r="V1950" t="s">
        <v>1824</v>
      </c>
      <c r="AA1950" t="s">
        <v>185</v>
      </c>
    </row>
    <row r="1951" spans="1:33" x14ac:dyDescent="0.3">
      <c r="A1951">
        <v>35716</v>
      </c>
      <c r="B1951" t="s">
        <v>10541</v>
      </c>
      <c r="C1951" t="str">
        <f>""</f>
        <v/>
      </c>
      <c r="D1951" t="str">
        <f>"6RFAHJMF5"</f>
        <v>6RFAHJMF5</v>
      </c>
      <c r="E1951" s="1">
        <v>43348</v>
      </c>
      <c r="F1951" t="s">
        <v>10542</v>
      </c>
      <c r="G1951" t="e">
        <f>INDEX(#REF!,MATCH(P1951,#REF!,0),1)</f>
        <v>#REF!</v>
      </c>
      <c r="H1951" t="s">
        <v>10543</v>
      </c>
      <c r="J1951" t="s">
        <v>176</v>
      </c>
      <c r="K1951" t="s">
        <v>177</v>
      </c>
      <c r="L1951">
        <v>63110</v>
      </c>
      <c r="M1951" t="s">
        <v>10544</v>
      </c>
      <c r="N1951">
        <v>6104582</v>
      </c>
      <c r="O1951" t="s">
        <v>180</v>
      </c>
      <c r="P1951">
        <v>78358</v>
      </c>
      <c r="Q1951" t="s">
        <v>10350</v>
      </c>
      <c r="R1951" t="s">
        <v>3152</v>
      </c>
      <c r="S1951" t="s">
        <v>3153</v>
      </c>
      <c r="T1951" t="s">
        <v>2277</v>
      </c>
      <c r="U1951" t="s">
        <v>10545</v>
      </c>
      <c r="V1951" t="s">
        <v>1824</v>
      </c>
      <c r="AA1951" t="s">
        <v>185</v>
      </c>
    </row>
    <row r="1952" spans="1:33" x14ac:dyDescent="0.3">
      <c r="A1952">
        <v>35717</v>
      </c>
      <c r="B1952" t="s">
        <v>10546</v>
      </c>
      <c r="C1952" t="str">
        <f>""</f>
        <v/>
      </c>
      <c r="D1952" t="str">
        <f>""</f>
        <v/>
      </c>
      <c r="E1952" s="1">
        <v>35582</v>
      </c>
      <c r="F1952" t="s">
        <v>10547</v>
      </c>
      <c r="G1952" t="e">
        <f>INDEX(#REF!,MATCH(P1952,#REF!,0),1)</f>
        <v>#REF!</v>
      </c>
      <c r="H1952" t="s">
        <v>10548</v>
      </c>
      <c r="I1952" t="s">
        <v>10549</v>
      </c>
      <c r="J1952" t="s">
        <v>176</v>
      </c>
      <c r="K1952" t="s">
        <v>177</v>
      </c>
      <c r="L1952">
        <v>63110</v>
      </c>
      <c r="M1952" t="s">
        <v>10550</v>
      </c>
      <c r="N1952">
        <v>6104582</v>
      </c>
      <c r="O1952" t="s">
        <v>180</v>
      </c>
      <c r="P1952">
        <v>1351</v>
      </c>
      <c r="Q1952" t="s">
        <v>181</v>
      </c>
      <c r="R1952" t="s">
        <v>1821</v>
      </c>
      <c r="S1952" t="s">
        <v>1822</v>
      </c>
      <c r="T1952" t="s">
        <v>2277</v>
      </c>
      <c r="U1952" t="s">
        <v>2278</v>
      </c>
      <c r="V1952" t="s">
        <v>2215</v>
      </c>
    </row>
    <row r="1953" spans="1:33" x14ac:dyDescent="0.3">
      <c r="A1953">
        <v>35719</v>
      </c>
      <c r="B1953" t="s">
        <v>10551</v>
      </c>
      <c r="C1953" t="str">
        <f>""</f>
        <v/>
      </c>
      <c r="D1953" t="str">
        <f>""</f>
        <v/>
      </c>
      <c r="E1953" s="1">
        <v>35582</v>
      </c>
      <c r="F1953" t="s">
        <v>10552</v>
      </c>
      <c r="G1953" t="e">
        <f>INDEX(#REF!,MATCH(P1953,#REF!,0),1)</f>
        <v>#REF!</v>
      </c>
      <c r="H1953" t="s">
        <v>10553</v>
      </c>
      <c r="J1953" t="s">
        <v>176</v>
      </c>
      <c r="K1953" t="s">
        <v>177</v>
      </c>
      <c r="L1953" t="s">
        <v>10554</v>
      </c>
      <c r="M1953" t="s">
        <v>10555</v>
      </c>
      <c r="N1953">
        <v>6104582</v>
      </c>
      <c r="O1953" t="s">
        <v>180</v>
      </c>
      <c r="P1953">
        <v>78358</v>
      </c>
      <c r="Q1953" t="s">
        <v>10350</v>
      </c>
      <c r="R1953" t="s">
        <v>3152</v>
      </c>
      <c r="S1953" t="s">
        <v>3153</v>
      </c>
      <c r="T1953" t="s">
        <v>117</v>
      </c>
      <c r="U1953" t="s">
        <v>10556</v>
      </c>
      <c r="V1953" t="s">
        <v>1824</v>
      </c>
      <c r="AA1953" t="s">
        <v>185</v>
      </c>
    </row>
    <row r="1954" spans="1:33" x14ac:dyDescent="0.3">
      <c r="A1954">
        <v>35837</v>
      </c>
      <c r="B1954" t="s">
        <v>10557</v>
      </c>
      <c r="C1954" t="str">
        <f>""</f>
        <v/>
      </c>
      <c r="D1954" t="str">
        <f>"81DKJ1QF0"</f>
        <v>81DKJ1QF0</v>
      </c>
      <c r="E1954" s="1">
        <v>35551</v>
      </c>
      <c r="F1954" t="s">
        <v>10558</v>
      </c>
      <c r="G1954" t="e">
        <f>INDEX(#REF!,MATCH(P1954,#REF!,0),1)</f>
        <v>#REF!</v>
      </c>
      <c r="H1954" t="s">
        <v>10559</v>
      </c>
      <c r="J1954" t="s">
        <v>7037</v>
      </c>
      <c r="K1954" t="s">
        <v>283</v>
      </c>
      <c r="L1954" t="s">
        <v>10560</v>
      </c>
      <c r="M1954" t="s">
        <v>10561</v>
      </c>
      <c r="N1954">
        <v>559</v>
      </c>
      <c r="O1954" t="s">
        <v>2041</v>
      </c>
      <c r="P1954">
        <v>3834</v>
      </c>
      <c r="Q1954" t="s">
        <v>4510</v>
      </c>
      <c r="R1954" t="s">
        <v>3864</v>
      </c>
      <c r="S1954" t="s">
        <v>3865</v>
      </c>
      <c r="T1954" t="s">
        <v>2140</v>
      </c>
      <c r="U1954" t="s">
        <v>2141</v>
      </c>
      <c r="V1954" t="s">
        <v>1824</v>
      </c>
      <c r="AD1954" t="s">
        <v>94</v>
      </c>
      <c r="AE1954" t="s">
        <v>120</v>
      </c>
    </row>
    <row r="1955" spans="1:33" x14ac:dyDescent="0.3">
      <c r="A1955">
        <v>35899</v>
      </c>
      <c r="B1955" t="s">
        <v>10562</v>
      </c>
      <c r="C1955" t="str">
        <f>"1100007600230"</f>
        <v>1100007600230</v>
      </c>
      <c r="D1955" t="str">
        <f>"160140C00"</f>
        <v>160140C00</v>
      </c>
      <c r="E1955" s="1">
        <v>42583</v>
      </c>
      <c r="F1955" t="s">
        <v>10563</v>
      </c>
      <c r="G1955" t="e">
        <f>INDEX(#REF!,MATCH(P1955,#REF!,0),1)</f>
        <v>#REF!</v>
      </c>
      <c r="H1955" t="s">
        <v>10564</v>
      </c>
      <c r="J1955" t="s">
        <v>10565</v>
      </c>
      <c r="K1955" t="s">
        <v>1109</v>
      </c>
      <c r="L1955" t="str">
        <f>"06117"</f>
        <v>06117</v>
      </c>
      <c r="M1955" t="s">
        <v>10566</v>
      </c>
      <c r="N1955">
        <v>35899</v>
      </c>
      <c r="O1955" t="s">
        <v>10563</v>
      </c>
      <c r="P1955">
        <v>35899</v>
      </c>
      <c r="Q1955" t="s">
        <v>10563</v>
      </c>
      <c r="R1955" t="s">
        <v>1301</v>
      </c>
      <c r="S1955" t="s">
        <v>1302</v>
      </c>
      <c r="T1955" t="s">
        <v>44</v>
      </c>
      <c r="U1955" t="s">
        <v>45</v>
      </c>
    </row>
    <row r="1956" spans="1:33" x14ac:dyDescent="0.3">
      <c r="A1956">
        <v>35921</v>
      </c>
      <c r="B1956" t="s">
        <v>10567</v>
      </c>
      <c r="C1956" t="str">
        <f>"1100004364524"</f>
        <v>1100004364524</v>
      </c>
      <c r="D1956" t="str">
        <f>"141180F00"</f>
        <v>141180F00</v>
      </c>
      <c r="E1956" s="1">
        <v>42583</v>
      </c>
      <c r="F1956" t="s">
        <v>10568</v>
      </c>
      <c r="G1956" t="e">
        <f>INDEX(#REF!,MATCH(P1956,#REF!,0),1)</f>
        <v>#REF!</v>
      </c>
      <c r="H1956" t="s">
        <v>10569</v>
      </c>
      <c r="J1956" t="s">
        <v>10570</v>
      </c>
      <c r="K1956" t="s">
        <v>2004</v>
      </c>
      <c r="L1956" t="str">
        <f>"01247"</f>
        <v>01247</v>
      </c>
      <c r="M1956" t="s">
        <v>10571</v>
      </c>
      <c r="N1956">
        <v>35921</v>
      </c>
      <c r="O1956" t="s">
        <v>10568</v>
      </c>
      <c r="P1956">
        <v>35921</v>
      </c>
      <c r="Q1956" t="s">
        <v>10568</v>
      </c>
      <c r="R1956" t="s">
        <v>245</v>
      </c>
      <c r="S1956" t="s">
        <v>246</v>
      </c>
      <c r="T1956" t="s">
        <v>44</v>
      </c>
      <c r="U1956" t="s">
        <v>45</v>
      </c>
    </row>
    <row r="1957" spans="1:33" x14ac:dyDescent="0.3">
      <c r="A1957">
        <v>35938</v>
      </c>
      <c r="B1957" t="s">
        <v>10572</v>
      </c>
      <c r="C1957" t="str">
        <f>"1100002008031"</f>
        <v>1100002008031</v>
      </c>
      <c r="D1957" t="str">
        <f>"810330F00"</f>
        <v>810330F00</v>
      </c>
      <c r="E1957" s="1">
        <v>44501</v>
      </c>
      <c r="F1957" t="s">
        <v>10573</v>
      </c>
      <c r="G1957" t="e">
        <f>INDEX(#REF!,MATCH(P1957,#REF!,0),1)</f>
        <v>#REF!</v>
      </c>
      <c r="H1957" t="s">
        <v>10574</v>
      </c>
      <c r="J1957" t="s">
        <v>1314</v>
      </c>
      <c r="K1957" t="s">
        <v>2088</v>
      </c>
      <c r="L1957" t="s">
        <v>10575</v>
      </c>
      <c r="M1957" t="s">
        <v>10576</v>
      </c>
      <c r="N1957">
        <v>35938</v>
      </c>
      <c r="O1957" t="s">
        <v>10573</v>
      </c>
      <c r="P1957">
        <v>35938</v>
      </c>
      <c r="Q1957" t="s">
        <v>10573</v>
      </c>
      <c r="R1957" t="s">
        <v>1263</v>
      </c>
      <c r="S1957" t="s">
        <v>1264</v>
      </c>
      <c r="T1957" t="s">
        <v>44</v>
      </c>
      <c r="U1957" t="s">
        <v>45</v>
      </c>
      <c r="AA1957" t="s">
        <v>211</v>
      </c>
    </row>
    <row r="1958" spans="1:33" x14ac:dyDescent="0.3">
      <c r="A1958">
        <v>35951</v>
      </c>
      <c r="B1958" t="s">
        <v>10577</v>
      </c>
      <c r="C1958" t="str">
        <f>"1100002909246"</f>
        <v>1100002909246</v>
      </c>
      <c r="D1958" t="str">
        <f>"361480MF0"</f>
        <v>361480MF0</v>
      </c>
      <c r="E1958" s="1">
        <v>42583</v>
      </c>
      <c r="F1958" t="s">
        <v>10578</v>
      </c>
      <c r="G1958" t="e">
        <f>INDEX(#REF!,MATCH(P1958,#REF!,0),1)</f>
        <v>#REF!</v>
      </c>
      <c r="H1958" t="s">
        <v>10579</v>
      </c>
      <c r="J1958" t="s">
        <v>10580</v>
      </c>
      <c r="K1958" t="s">
        <v>384</v>
      </c>
      <c r="L1958">
        <v>28677</v>
      </c>
      <c r="M1958" t="s">
        <v>10581</v>
      </c>
      <c r="N1958">
        <v>35951</v>
      </c>
      <c r="O1958" t="s">
        <v>10578</v>
      </c>
      <c r="P1958">
        <v>35951</v>
      </c>
      <c r="Q1958" t="s">
        <v>10578</v>
      </c>
      <c r="R1958" t="s">
        <v>2331</v>
      </c>
      <c r="S1958" t="s">
        <v>2332</v>
      </c>
      <c r="T1958" t="s">
        <v>44</v>
      </c>
      <c r="U1958" t="s">
        <v>45</v>
      </c>
      <c r="AC1958" t="s">
        <v>2333</v>
      </c>
    </row>
    <row r="1959" spans="1:33" x14ac:dyDescent="0.3">
      <c r="A1959">
        <v>35956</v>
      </c>
      <c r="B1959" t="s">
        <v>10582</v>
      </c>
      <c r="C1959" t="str">
        <f>""</f>
        <v/>
      </c>
      <c r="D1959" t="str">
        <f>""</f>
        <v/>
      </c>
      <c r="E1959" s="1">
        <v>42583</v>
      </c>
      <c r="F1959" t="s">
        <v>10583</v>
      </c>
      <c r="G1959" t="e">
        <f>INDEX(#REF!,MATCH(P1959,#REF!,0),1)</f>
        <v>#REF!</v>
      </c>
      <c r="H1959" t="s">
        <v>10584</v>
      </c>
      <c r="J1959" t="s">
        <v>10585</v>
      </c>
      <c r="K1959" t="s">
        <v>307</v>
      </c>
      <c r="L1959">
        <v>47025</v>
      </c>
      <c r="M1959" t="s">
        <v>10586</v>
      </c>
      <c r="N1959">
        <v>2472707</v>
      </c>
      <c r="O1959" t="s">
        <v>10587</v>
      </c>
      <c r="P1959">
        <v>2472707</v>
      </c>
      <c r="Q1959" t="s">
        <v>10587</v>
      </c>
      <c r="R1959" t="s">
        <v>69</v>
      </c>
      <c r="S1959" t="s">
        <v>70</v>
      </c>
      <c r="T1959" t="s">
        <v>44</v>
      </c>
      <c r="U1959" t="s">
        <v>45</v>
      </c>
      <c r="AA1959" t="s">
        <v>105</v>
      </c>
      <c r="AE1959" t="s">
        <v>106</v>
      </c>
    </row>
    <row r="1960" spans="1:33" x14ac:dyDescent="0.3">
      <c r="A1960">
        <v>35957</v>
      </c>
      <c r="B1960" t="s">
        <v>10588</v>
      </c>
      <c r="C1960" t="str">
        <f>"1100004392626"</f>
        <v>1100004392626</v>
      </c>
      <c r="D1960" t="str">
        <f>"140720E00"</f>
        <v>140720E00</v>
      </c>
      <c r="E1960" s="1">
        <v>42583</v>
      </c>
      <c r="F1960" t="s">
        <v>10589</v>
      </c>
      <c r="G1960" t="e">
        <f>INDEX(#REF!,MATCH(P1960,#REF!,0),1)</f>
        <v>#REF!</v>
      </c>
      <c r="H1960" t="s">
        <v>10590</v>
      </c>
      <c r="J1960" t="s">
        <v>10591</v>
      </c>
      <c r="K1960" t="s">
        <v>2004</v>
      </c>
      <c r="L1960" t="str">
        <f>"01230"</f>
        <v>01230</v>
      </c>
      <c r="M1960" t="s">
        <v>10592</v>
      </c>
      <c r="N1960">
        <v>76059</v>
      </c>
      <c r="O1960" t="s">
        <v>10593</v>
      </c>
      <c r="P1960">
        <v>76059</v>
      </c>
      <c r="Q1960" t="s">
        <v>10593</v>
      </c>
      <c r="R1960" t="s">
        <v>1301</v>
      </c>
      <c r="S1960" t="s">
        <v>1302</v>
      </c>
      <c r="T1960" t="s">
        <v>44</v>
      </c>
      <c r="U1960" t="s">
        <v>45</v>
      </c>
    </row>
    <row r="1961" spans="1:33" x14ac:dyDescent="0.3">
      <c r="A1961">
        <v>35979</v>
      </c>
      <c r="B1961" t="s">
        <v>10594</v>
      </c>
      <c r="C1961" t="str">
        <f>"1100003208225"</f>
        <v>1100003208225</v>
      </c>
      <c r="D1961" t="str">
        <f>"361720J00"</f>
        <v>361720J00</v>
      </c>
      <c r="E1961" s="1">
        <v>43234</v>
      </c>
      <c r="F1961" t="s">
        <v>10595</v>
      </c>
      <c r="G1961" t="e">
        <f>INDEX(#REF!,MATCH(P1961,#REF!,0),1)</f>
        <v>#REF!</v>
      </c>
      <c r="H1961" t="s">
        <v>10596</v>
      </c>
      <c r="J1961" t="s">
        <v>383</v>
      </c>
      <c r="K1961" t="s">
        <v>384</v>
      </c>
      <c r="L1961">
        <v>27157</v>
      </c>
      <c r="M1961" t="s">
        <v>10597</v>
      </c>
      <c r="N1961">
        <v>55403</v>
      </c>
      <c r="O1961" t="s">
        <v>6835</v>
      </c>
      <c r="P1961">
        <v>55403</v>
      </c>
      <c r="Q1961" t="s">
        <v>6835</v>
      </c>
      <c r="R1961" t="s">
        <v>6836</v>
      </c>
      <c r="S1961" t="s">
        <v>6837</v>
      </c>
      <c r="T1961" t="s">
        <v>44</v>
      </c>
      <c r="U1961" t="s">
        <v>45</v>
      </c>
      <c r="AC1961" t="s">
        <v>590</v>
      </c>
      <c r="AG1961" t="s">
        <v>48</v>
      </c>
    </row>
    <row r="1962" spans="1:33" x14ac:dyDescent="0.3">
      <c r="A1962">
        <v>35986</v>
      </c>
      <c r="B1962" t="s">
        <v>10598</v>
      </c>
      <c r="C1962" t="str">
        <f>""</f>
        <v/>
      </c>
      <c r="D1962" t="str">
        <f>"360050E00"</f>
        <v>360050E00</v>
      </c>
      <c r="E1962" s="1">
        <v>42583</v>
      </c>
      <c r="F1962" t="s">
        <v>10599</v>
      </c>
      <c r="G1962" t="e">
        <f>INDEX(#REF!,MATCH(P1962,#REF!,0),1)</f>
        <v>#REF!</v>
      </c>
      <c r="H1962" t="s">
        <v>10600</v>
      </c>
      <c r="J1962" t="s">
        <v>10601</v>
      </c>
      <c r="K1962" t="s">
        <v>384</v>
      </c>
      <c r="L1962">
        <v>27203</v>
      </c>
      <c r="M1962" t="s">
        <v>10602</v>
      </c>
      <c r="N1962">
        <v>35986</v>
      </c>
      <c r="O1962" t="s">
        <v>10599</v>
      </c>
      <c r="P1962">
        <v>35986</v>
      </c>
      <c r="Q1962" t="s">
        <v>10599</v>
      </c>
      <c r="R1962" t="s">
        <v>2331</v>
      </c>
      <c r="S1962" t="s">
        <v>2332</v>
      </c>
      <c r="T1962" t="s">
        <v>44</v>
      </c>
      <c r="U1962" t="s">
        <v>45</v>
      </c>
      <c r="AC1962" t="s">
        <v>2333</v>
      </c>
    </row>
    <row r="1963" spans="1:33" x14ac:dyDescent="0.3">
      <c r="A1963">
        <v>35988</v>
      </c>
      <c r="B1963" t="s">
        <v>10603</v>
      </c>
      <c r="C1963" t="str">
        <f>""</f>
        <v/>
      </c>
      <c r="D1963" t="str">
        <f>"210810C00"</f>
        <v>210810C00</v>
      </c>
      <c r="E1963" s="1">
        <v>36586</v>
      </c>
      <c r="F1963" t="s">
        <v>10604</v>
      </c>
      <c r="G1963" t="e">
        <f>INDEX(#REF!,MATCH(P1963,#REF!,0),1)</f>
        <v>#REF!</v>
      </c>
      <c r="H1963" t="s">
        <v>10605</v>
      </c>
      <c r="J1963" t="s">
        <v>4021</v>
      </c>
      <c r="K1963" t="s">
        <v>2244</v>
      </c>
      <c r="L1963" t="s">
        <v>10606</v>
      </c>
      <c r="M1963" t="s">
        <v>10607</v>
      </c>
      <c r="N1963">
        <v>35988</v>
      </c>
      <c r="O1963" t="s">
        <v>10604</v>
      </c>
      <c r="P1963">
        <v>35988</v>
      </c>
      <c r="Q1963" t="s">
        <v>10604</v>
      </c>
      <c r="R1963" t="s">
        <v>884</v>
      </c>
      <c r="S1963" t="s">
        <v>885</v>
      </c>
      <c r="T1963" t="s">
        <v>44</v>
      </c>
      <c r="U1963" t="s">
        <v>6635</v>
      </c>
      <c r="AA1963" t="s">
        <v>337</v>
      </c>
      <c r="AD1963" t="s">
        <v>94</v>
      </c>
      <c r="AE1963" t="s">
        <v>564</v>
      </c>
      <c r="AG1963" t="s">
        <v>48</v>
      </c>
    </row>
    <row r="1964" spans="1:33" x14ac:dyDescent="0.3">
      <c r="A1964">
        <v>35992</v>
      </c>
      <c r="B1964" t="s">
        <v>10608</v>
      </c>
      <c r="C1964" t="str">
        <f>"1100004122575"</f>
        <v>1100004122575</v>
      </c>
      <c r="D1964" t="str">
        <f>""</f>
        <v/>
      </c>
      <c r="E1964" s="1">
        <v>38322</v>
      </c>
      <c r="F1964" t="s">
        <v>10609</v>
      </c>
      <c r="G1964" t="e">
        <f>INDEX(#REF!,MATCH(P1964,#REF!,0),1)</f>
        <v>#REF!</v>
      </c>
      <c r="H1964" t="s">
        <v>10610</v>
      </c>
      <c r="J1964" t="s">
        <v>176</v>
      </c>
      <c r="K1964" t="s">
        <v>177</v>
      </c>
      <c r="L1964">
        <v>63141</v>
      </c>
      <c r="M1964" t="s">
        <v>10611</v>
      </c>
      <c r="N1964">
        <v>104586</v>
      </c>
      <c r="O1964" t="s">
        <v>10612</v>
      </c>
      <c r="P1964">
        <v>104586</v>
      </c>
      <c r="Q1964" t="s">
        <v>10612</v>
      </c>
      <c r="R1964" t="s">
        <v>3101</v>
      </c>
      <c r="S1964" t="s">
        <v>3102</v>
      </c>
      <c r="T1964" t="s">
        <v>2277</v>
      </c>
      <c r="U1964" t="s">
        <v>2278</v>
      </c>
      <c r="V1964" t="s">
        <v>2215</v>
      </c>
    </row>
    <row r="1965" spans="1:33" x14ac:dyDescent="0.3">
      <c r="A1965">
        <v>35997</v>
      </c>
      <c r="B1965" t="s">
        <v>10613</v>
      </c>
      <c r="C1965" t="str">
        <f>""</f>
        <v/>
      </c>
      <c r="D1965" t="str">
        <f>""</f>
        <v/>
      </c>
      <c r="E1965" s="1">
        <v>36739</v>
      </c>
      <c r="F1965" t="s">
        <v>10614</v>
      </c>
      <c r="G1965" t="e">
        <f>INDEX(#REF!,MATCH(P1965,#REF!,0),1)</f>
        <v>#REF!</v>
      </c>
      <c r="H1965" t="s">
        <v>10615</v>
      </c>
      <c r="J1965" t="s">
        <v>10616</v>
      </c>
      <c r="K1965" t="s">
        <v>982</v>
      </c>
      <c r="L1965">
        <v>21921</v>
      </c>
      <c r="M1965" t="s">
        <v>3226</v>
      </c>
      <c r="N1965">
        <v>105870</v>
      </c>
      <c r="O1965" t="s">
        <v>10617</v>
      </c>
      <c r="P1965">
        <v>105870</v>
      </c>
      <c r="Q1965" t="s">
        <v>10617</v>
      </c>
      <c r="R1965" t="s">
        <v>245</v>
      </c>
      <c r="S1965" t="s">
        <v>246</v>
      </c>
      <c r="T1965" t="s">
        <v>44</v>
      </c>
      <c r="U1965" t="s">
        <v>45</v>
      </c>
      <c r="AE1965" t="s">
        <v>72</v>
      </c>
      <c r="AG1965" t="s">
        <v>48</v>
      </c>
    </row>
    <row r="1966" spans="1:33" x14ac:dyDescent="0.3">
      <c r="A1966">
        <v>36007</v>
      </c>
      <c r="B1966" t="s">
        <v>10618</v>
      </c>
      <c r="C1966" t="str">
        <f>""</f>
        <v/>
      </c>
      <c r="D1966" t="str">
        <f>""</f>
        <v/>
      </c>
      <c r="E1966" s="1">
        <v>44593</v>
      </c>
      <c r="F1966" t="s">
        <v>10619</v>
      </c>
      <c r="G1966" t="e">
        <f>INDEX(#REF!,MATCH(P1966,#REF!,0),1)</f>
        <v>#REF!</v>
      </c>
      <c r="H1966" t="s">
        <v>10620</v>
      </c>
      <c r="J1966" t="s">
        <v>10621</v>
      </c>
      <c r="K1966" t="s">
        <v>342</v>
      </c>
      <c r="L1966" t="s">
        <v>10622</v>
      </c>
      <c r="M1966" t="s">
        <v>10623</v>
      </c>
      <c r="N1966">
        <v>36007</v>
      </c>
      <c r="O1966" t="s">
        <v>10619</v>
      </c>
      <c r="P1966">
        <v>36007</v>
      </c>
      <c r="Q1966" t="s">
        <v>10619</v>
      </c>
      <c r="R1966" t="s">
        <v>492</v>
      </c>
      <c r="S1966" t="s">
        <v>493</v>
      </c>
      <c r="T1966" t="s">
        <v>44</v>
      </c>
      <c r="U1966" t="s">
        <v>45</v>
      </c>
    </row>
    <row r="1967" spans="1:33" x14ac:dyDescent="0.3">
      <c r="A1967">
        <v>36011</v>
      </c>
      <c r="B1967" t="s">
        <v>10624</v>
      </c>
      <c r="C1967" t="str">
        <f>"1100004901545"</f>
        <v>1100004901545</v>
      </c>
      <c r="D1967" t="str">
        <f>"320390H00"</f>
        <v>320390H00</v>
      </c>
      <c r="E1967" s="1">
        <v>43615</v>
      </c>
      <c r="F1967" t="s">
        <v>10625</v>
      </c>
      <c r="G1967" t="e">
        <f>INDEX(#REF!,MATCH(P1967,#REF!,0),1)</f>
        <v>#REF!</v>
      </c>
      <c r="H1967" t="s">
        <v>10626</v>
      </c>
      <c r="J1967" t="s">
        <v>10627</v>
      </c>
      <c r="K1967" t="s">
        <v>982</v>
      </c>
      <c r="L1967">
        <v>20814</v>
      </c>
      <c r="M1967" t="s">
        <v>10628</v>
      </c>
      <c r="N1967">
        <v>2449824</v>
      </c>
      <c r="O1967" t="s">
        <v>1005</v>
      </c>
      <c r="P1967">
        <v>2449824</v>
      </c>
      <c r="Q1967" t="s">
        <v>1005</v>
      </c>
      <c r="R1967" t="s">
        <v>1006</v>
      </c>
      <c r="S1967" t="s">
        <v>1007</v>
      </c>
      <c r="T1967" t="s">
        <v>44</v>
      </c>
      <c r="U1967" t="s">
        <v>45</v>
      </c>
      <c r="AE1967" t="s">
        <v>186</v>
      </c>
      <c r="AG1967" t="s">
        <v>48</v>
      </c>
    </row>
    <row r="1968" spans="1:33" x14ac:dyDescent="0.3">
      <c r="A1968">
        <v>36013</v>
      </c>
      <c r="B1968" t="s">
        <v>10629</v>
      </c>
      <c r="C1968" t="str">
        <f>"1100002275785"</f>
        <v>1100002275785</v>
      </c>
      <c r="D1968" t="str">
        <f>""</f>
        <v/>
      </c>
      <c r="E1968" s="1">
        <v>42583</v>
      </c>
      <c r="F1968" t="s">
        <v>10630</v>
      </c>
      <c r="G1968" t="e">
        <f>INDEX(#REF!,MATCH(P1968,#REF!,0),1)</f>
        <v>#REF!</v>
      </c>
      <c r="H1968" t="s">
        <v>10631</v>
      </c>
      <c r="J1968" t="s">
        <v>1340</v>
      </c>
      <c r="K1968" t="s">
        <v>77</v>
      </c>
      <c r="L1968" t="s">
        <v>10632</v>
      </c>
      <c r="M1968" t="s">
        <v>10633</v>
      </c>
      <c r="N1968">
        <v>709151</v>
      </c>
      <c r="O1968" t="s">
        <v>5504</v>
      </c>
      <c r="P1968">
        <v>709151</v>
      </c>
      <c r="Q1968" t="s">
        <v>5504</v>
      </c>
      <c r="R1968" t="s">
        <v>1193</v>
      </c>
      <c r="S1968" t="s">
        <v>1194</v>
      </c>
      <c r="T1968" t="s">
        <v>44</v>
      </c>
      <c r="U1968" t="s">
        <v>45</v>
      </c>
    </row>
    <row r="1969" spans="1:33" x14ac:dyDescent="0.3">
      <c r="A1969">
        <v>36014</v>
      </c>
      <c r="B1969" t="s">
        <v>10634</v>
      </c>
      <c r="C1969" t="str">
        <f>"1100004676207"</f>
        <v>1100004676207</v>
      </c>
      <c r="D1969" t="str">
        <f>"140910F00"</f>
        <v>140910F00</v>
      </c>
      <c r="E1969" s="1">
        <v>42583</v>
      </c>
      <c r="F1969" t="s">
        <v>10635</v>
      </c>
      <c r="G1969" t="e">
        <f>INDEX(#REF!,MATCH(P1969,#REF!,0),1)</f>
        <v>#REF!</v>
      </c>
      <c r="H1969" t="s">
        <v>3355</v>
      </c>
      <c r="J1969" t="s">
        <v>2094</v>
      </c>
      <c r="K1969" t="s">
        <v>2004</v>
      </c>
      <c r="L1969" t="str">
        <f>"01852"</f>
        <v>01852</v>
      </c>
      <c r="M1969" t="s">
        <v>10636</v>
      </c>
      <c r="N1969">
        <v>1065072</v>
      </c>
      <c r="O1969" t="s">
        <v>2096</v>
      </c>
      <c r="P1969">
        <v>1065072</v>
      </c>
      <c r="Q1969" t="s">
        <v>2096</v>
      </c>
      <c r="R1969" t="s">
        <v>1301</v>
      </c>
      <c r="S1969" t="s">
        <v>1302</v>
      </c>
      <c r="T1969" t="s">
        <v>44</v>
      </c>
      <c r="U1969" t="s">
        <v>45</v>
      </c>
    </row>
    <row r="1970" spans="1:33" x14ac:dyDescent="0.3">
      <c r="A1970">
        <v>36029</v>
      </c>
      <c r="B1970" t="s">
        <v>10637</v>
      </c>
      <c r="C1970" t="str">
        <f>""</f>
        <v/>
      </c>
      <c r="D1970" t="str">
        <f>""</f>
        <v/>
      </c>
      <c r="E1970" s="1">
        <v>44013</v>
      </c>
      <c r="F1970" t="s">
        <v>10638</v>
      </c>
      <c r="G1970" t="e">
        <f>INDEX(#REF!,MATCH(P1970,#REF!,0),1)</f>
        <v>#REF!</v>
      </c>
      <c r="H1970" t="s">
        <v>10639</v>
      </c>
      <c r="J1970" t="s">
        <v>10640</v>
      </c>
      <c r="K1970" t="s">
        <v>88</v>
      </c>
      <c r="L1970">
        <v>94015</v>
      </c>
      <c r="M1970" t="s">
        <v>10641</v>
      </c>
      <c r="N1970">
        <v>2623308</v>
      </c>
      <c r="O1970" t="s">
        <v>1536</v>
      </c>
      <c r="P1970">
        <v>2623308</v>
      </c>
      <c r="Q1970" t="s">
        <v>1536</v>
      </c>
      <c r="R1970" t="s">
        <v>536</v>
      </c>
      <c r="S1970" t="s">
        <v>537</v>
      </c>
      <c r="T1970" t="s">
        <v>44</v>
      </c>
      <c r="U1970" t="s">
        <v>45</v>
      </c>
      <c r="AE1970" t="s">
        <v>1033</v>
      </c>
    </row>
    <row r="1971" spans="1:33" x14ac:dyDescent="0.3">
      <c r="A1971">
        <v>36034</v>
      </c>
      <c r="B1971" t="s">
        <v>10642</v>
      </c>
      <c r="C1971" t="str">
        <f>"1100004196507"</f>
        <v>1100004196507</v>
      </c>
      <c r="D1971" t="str">
        <f>""</f>
        <v/>
      </c>
      <c r="E1971" s="1">
        <v>42583</v>
      </c>
      <c r="F1971" t="s">
        <v>10643</v>
      </c>
      <c r="G1971" t="e">
        <f>INDEX(#REF!,MATCH(P1971,#REF!,0),1)</f>
        <v>#REF!</v>
      </c>
      <c r="H1971" t="s">
        <v>10644</v>
      </c>
      <c r="J1971" t="s">
        <v>176</v>
      </c>
      <c r="K1971" t="s">
        <v>177</v>
      </c>
      <c r="L1971">
        <v>63128</v>
      </c>
      <c r="M1971" t="s">
        <v>10645</v>
      </c>
      <c r="N1971">
        <v>36034</v>
      </c>
      <c r="O1971" t="s">
        <v>10643</v>
      </c>
      <c r="P1971">
        <v>36034</v>
      </c>
      <c r="Q1971" t="s">
        <v>10643</v>
      </c>
      <c r="R1971" t="s">
        <v>1401</v>
      </c>
      <c r="S1971" t="s">
        <v>1402</v>
      </c>
      <c r="T1971" t="s">
        <v>44</v>
      </c>
      <c r="U1971" t="s">
        <v>45</v>
      </c>
    </row>
    <row r="1972" spans="1:33" x14ac:dyDescent="0.3">
      <c r="A1972">
        <v>36044</v>
      </c>
      <c r="B1972" t="s">
        <v>10646</v>
      </c>
      <c r="C1972" t="str">
        <f>"1100002556341"</f>
        <v>1100002556341</v>
      </c>
      <c r="D1972" t="str">
        <f>"360690O00"</f>
        <v>360690O00</v>
      </c>
      <c r="E1972" s="1">
        <v>44805</v>
      </c>
      <c r="F1972" t="s">
        <v>10647</v>
      </c>
      <c r="G1972" t="e">
        <f>INDEX(#REF!,MATCH(P1972,#REF!,0),1)</f>
        <v>#REF!</v>
      </c>
      <c r="H1972" t="s">
        <v>10648</v>
      </c>
      <c r="J1972" t="s">
        <v>10649</v>
      </c>
      <c r="K1972" t="s">
        <v>384</v>
      </c>
      <c r="L1972">
        <v>27534</v>
      </c>
      <c r="M1972" t="s">
        <v>10650</v>
      </c>
      <c r="N1972">
        <v>2627538</v>
      </c>
      <c r="O1972" t="s">
        <v>4554</v>
      </c>
      <c r="P1972">
        <v>2627538</v>
      </c>
      <c r="Q1972" t="s">
        <v>4554</v>
      </c>
      <c r="R1972" t="s">
        <v>679</v>
      </c>
      <c r="S1972" t="s">
        <v>680</v>
      </c>
      <c r="T1972" t="s">
        <v>44</v>
      </c>
      <c r="U1972" t="s">
        <v>45</v>
      </c>
      <c r="AA1972" t="s">
        <v>93</v>
      </c>
      <c r="AE1972" t="s">
        <v>591</v>
      </c>
      <c r="AG1972" t="s">
        <v>48</v>
      </c>
    </row>
    <row r="1973" spans="1:33" x14ac:dyDescent="0.3">
      <c r="A1973">
        <v>36054</v>
      </c>
      <c r="B1973" t="s">
        <v>10651</v>
      </c>
      <c r="C1973" t="str">
        <f>"1100002647421"</f>
        <v>1100002647421</v>
      </c>
      <c r="D1973" t="str">
        <f>"920420H00"</f>
        <v>920420H00</v>
      </c>
      <c r="E1973" s="1">
        <v>42614</v>
      </c>
      <c r="F1973" t="s">
        <v>10652</v>
      </c>
      <c r="G1973" t="e">
        <f>INDEX(#REF!,MATCH(P1973,#REF!,0),1)</f>
        <v>#REF!</v>
      </c>
      <c r="H1973" t="s">
        <v>10653</v>
      </c>
      <c r="J1973" t="s">
        <v>645</v>
      </c>
      <c r="K1973" t="s">
        <v>1840</v>
      </c>
      <c r="L1973" t="s">
        <v>10654</v>
      </c>
      <c r="M1973" t="s">
        <v>10655</v>
      </c>
      <c r="N1973">
        <v>2623290</v>
      </c>
      <c r="O1973" t="s">
        <v>10656</v>
      </c>
      <c r="P1973">
        <v>2624998</v>
      </c>
      <c r="Q1973" t="s">
        <v>10657</v>
      </c>
      <c r="R1973" t="s">
        <v>536</v>
      </c>
      <c r="S1973" t="s">
        <v>537</v>
      </c>
      <c r="T1973" t="s">
        <v>44</v>
      </c>
      <c r="U1973" t="s">
        <v>45</v>
      </c>
      <c r="Y1973" t="s">
        <v>46</v>
      </c>
      <c r="Z1973" s="1">
        <v>44866</v>
      </c>
      <c r="AD1973" t="s">
        <v>94</v>
      </c>
      <c r="AE1973" t="s">
        <v>144</v>
      </c>
    </row>
    <row r="1974" spans="1:33" x14ac:dyDescent="0.3">
      <c r="A1974">
        <v>36055</v>
      </c>
      <c r="B1974" t="s">
        <v>10658</v>
      </c>
      <c r="C1974" t="str">
        <f>""</f>
        <v/>
      </c>
      <c r="D1974" t="str">
        <f>"451640K00"</f>
        <v>451640K00</v>
      </c>
      <c r="E1974" s="1">
        <v>38991</v>
      </c>
      <c r="F1974" t="s">
        <v>10659</v>
      </c>
      <c r="G1974" t="e">
        <f>INDEX(#REF!,MATCH(P1974,#REF!,0),1)</f>
        <v>#REF!</v>
      </c>
      <c r="H1974" t="s">
        <v>10660</v>
      </c>
      <c r="J1974" t="s">
        <v>10661</v>
      </c>
      <c r="K1974" t="s">
        <v>208</v>
      </c>
      <c r="L1974" t="s">
        <v>10662</v>
      </c>
      <c r="M1974" t="s">
        <v>10663</v>
      </c>
      <c r="N1974">
        <v>722704</v>
      </c>
      <c r="O1974" t="s">
        <v>648</v>
      </c>
      <c r="P1974">
        <v>722704</v>
      </c>
      <c r="Q1974" t="s">
        <v>648</v>
      </c>
      <c r="R1974" t="s">
        <v>649</v>
      </c>
      <c r="S1974" t="s">
        <v>650</v>
      </c>
      <c r="T1974" t="s">
        <v>44</v>
      </c>
      <c r="U1974" t="s">
        <v>45</v>
      </c>
      <c r="AA1974" t="s">
        <v>119</v>
      </c>
      <c r="AE1974" t="s">
        <v>120</v>
      </c>
    </row>
    <row r="1975" spans="1:33" x14ac:dyDescent="0.3">
      <c r="A1975">
        <v>36075</v>
      </c>
      <c r="B1975" t="s">
        <v>10664</v>
      </c>
      <c r="C1975" t="str">
        <f>"1100003506062"</f>
        <v>1100003506062</v>
      </c>
      <c r="D1975" t="str">
        <f>"37AFVB500"</f>
        <v>37AFVB500</v>
      </c>
      <c r="E1975" s="1">
        <v>35458</v>
      </c>
      <c r="F1975" t="s">
        <v>10665</v>
      </c>
      <c r="G1975" t="e">
        <f>INDEX(#REF!,MATCH(P1975,#REF!,0),1)</f>
        <v>#REF!</v>
      </c>
      <c r="H1975" t="s">
        <v>10666</v>
      </c>
      <c r="J1975" t="s">
        <v>532</v>
      </c>
      <c r="K1975" t="s">
        <v>533</v>
      </c>
      <c r="L1975" t="s">
        <v>10667</v>
      </c>
      <c r="M1975" t="s">
        <v>3226</v>
      </c>
      <c r="N1975">
        <v>36075</v>
      </c>
      <c r="O1975" t="s">
        <v>10665</v>
      </c>
      <c r="P1975">
        <v>36075</v>
      </c>
      <c r="Q1975" t="s">
        <v>10665</v>
      </c>
      <c r="R1975" t="s">
        <v>4689</v>
      </c>
      <c r="S1975" t="s">
        <v>4690</v>
      </c>
      <c r="T1975" t="s">
        <v>2277</v>
      </c>
      <c r="U1975" t="s">
        <v>5651</v>
      </c>
      <c r="V1975" t="s">
        <v>2215</v>
      </c>
    </row>
    <row r="1976" spans="1:33" x14ac:dyDescent="0.3">
      <c r="A1976">
        <v>36080</v>
      </c>
      <c r="B1976" t="s">
        <v>10668</v>
      </c>
      <c r="C1976" t="str">
        <f>""</f>
        <v/>
      </c>
      <c r="D1976" t="str">
        <f>"LGYR3E700"</f>
        <v>LGYR3E700</v>
      </c>
      <c r="E1976" s="1">
        <v>35458</v>
      </c>
      <c r="F1976" t="s">
        <v>10669</v>
      </c>
      <c r="G1976" t="e">
        <f>INDEX(#REF!,MATCH(P1976,#REF!,0),1)</f>
        <v>#REF!</v>
      </c>
      <c r="H1976" t="s">
        <v>10670</v>
      </c>
      <c r="J1976" t="s">
        <v>9584</v>
      </c>
      <c r="K1976" t="s">
        <v>533</v>
      </c>
      <c r="L1976">
        <v>83854</v>
      </c>
      <c r="M1976" t="s">
        <v>10671</v>
      </c>
      <c r="N1976">
        <v>36080</v>
      </c>
      <c r="O1976" t="s">
        <v>10669</v>
      </c>
      <c r="P1976">
        <v>36080</v>
      </c>
      <c r="Q1976" t="s">
        <v>10669</v>
      </c>
      <c r="R1976" t="s">
        <v>4689</v>
      </c>
      <c r="S1976" t="s">
        <v>4690</v>
      </c>
      <c r="T1976" t="s">
        <v>2277</v>
      </c>
      <c r="U1976" t="s">
        <v>5497</v>
      </c>
      <c r="V1976" t="s">
        <v>2215</v>
      </c>
    </row>
    <row r="1977" spans="1:33" x14ac:dyDescent="0.3">
      <c r="A1977">
        <v>36085</v>
      </c>
      <c r="B1977" t="s">
        <v>10672</v>
      </c>
      <c r="C1977" t="str">
        <f>"1100005765276"</f>
        <v>1100005765276</v>
      </c>
      <c r="D1977" t="str">
        <f>"E9L11FP00"</f>
        <v>E9L11FP00</v>
      </c>
      <c r="E1977" s="1">
        <v>35458</v>
      </c>
      <c r="F1977" t="s">
        <v>10673</v>
      </c>
      <c r="G1977" t="e">
        <f>INDEX(#REF!,MATCH(P1977,#REF!,0),1)</f>
        <v>#REF!</v>
      </c>
      <c r="H1977" t="s">
        <v>10674</v>
      </c>
      <c r="J1977" t="s">
        <v>9584</v>
      </c>
      <c r="K1977" t="s">
        <v>533</v>
      </c>
      <c r="L1977" t="s">
        <v>10675</v>
      </c>
      <c r="M1977" t="s">
        <v>10676</v>
      </c>
      <c r="N1977">
        <v>36085</v>
      </c>
      <c r="O1977" t="s">
        <v>10673</v>
      </c>
      <c r="P1977">
        <v>36085</v>
      </c>
      <c r="Q1977" t="s">
        <v>10673</v>
      </c>
      <c r="R1977" t="s">
        <v>4689</v>
      </c>
      <c r="S1977" t="s">
        <v>4690</v>
      </c>
      <c r="T1977" t="s">
        <v>2277</v>
      </c>
      <c r="U1977" t="s">
        <v>2278</v>
      </c>
      <c r="V1977" t="s">
        <v>2215</v>
      </c>
    </row>
    <row r="1978" spans="1:33" x14ac:dyDescent="0.3">
      <c r="A1978">
        <v>36087</v>
      </c>
      <c r="B1978" t="s">
        <v>10677</v>
      </c>
      <c r="C1978" t="str">
        <f>""</f>
        <v/>
      </c>
      <c r="D1978" t="str">
        <f>""</f>
        <v/>
      </c>
      <c r="E1978" s="1">
        <v>45197</v>
      </c>
      <c r="F1978" t="s">
        <v>10678</v>
      </c>
      <c r="G1978" t="e">
        <f>INDEX(#REF!,MATCH(P1978,#REF!,0),1)</f>
        <v>#REF!</v>
      </c>
      <c r="H1978" t="s">
        <v>10679</v>
      </c>
      <c r="J1978" t="s">
        <v>10680</v>
      </c>
      <c r="K1978" t="s">
        <v>2004</v>
      </c>
      <c r="L1978" t="str">
        <f>"02190"</f>
        <v>02190</v>
      </c>
      <c r="M1978" t="s">
        <v>10681</v>
      </c>
      <c r="N1978">
        <v>74360</v>
      </c>
      <c r="O1978" t="s">
        <v>5882</v>
      </c>
      <c r="P1978">
        <v>74360</v>
      </c>
      <c r="Q1978" t="s">
        <v>5882</v>
      </c>
      <c r="R1978" t="s">
        <v>6187</v>
      </c>
      <c r="S1978" t="s">
        <v>6188</v>
      </c>
      <c r="T1978" t="s">
        <v>117</v>
      </c>
      <c r="U1978" t="s">
        <v>2479</v>
      </c>
      <c r="V1978" t="s">
        <v>2215</v>
      </c>
      <c r="AF1978" t="s">
        <v>5886</v>
      </c>
    </row>
    <row r="1979" spans="1:33" x14ac:dyDescent="0.3">
      <c r="A1979">
        <v>36120</v>
      </c>
      <c r="B1979" t="s">
        <v>10682</v>
      </c>
      <c r="C1979" t="str">
        <f>"1100002569457"</f>
        <v>1100002569457</v>
      </c>
      <c r="D1979" t="str">
        <f>"A6GGG0S00"</f>
        <v>A6GGG0S00</v>
      </c>
      <c r="E1979" s="1">
        <v>35125</v>
      </c>
      <c r="F1979" t="s">
        <v>10683</v>
      </c>
      <c r="G1979" t="e">
        <f>INDEX(#REF!,MATCH(P1979,#REF!,0),1)</f>
        <v>#REF!</v>
      </c>
      <c r="H1979" t="s">
        <v>10684</v>
      </c>
      <c r="J1979" t="s">
        <v>5861</v>
      </c>
      <c r="K1979" t="s">
        <v>727</v>
      </c>
      <c r="L1979">
        <v>68847</v>
      </c>
      <c r="M1979" t="s">
        <v>10685</v>
      </c>
      <c r="N1979">
        <v>26249</v>
      </c>
      <c r="O1979" t="s">
        <v>8542</v>
      </c>
      <c r="P1979">
        <v>26249</v>
      </c>
      <c r="Q1979" t="s">
        <v>8542</v>
      </c>
      <c r="R1979" t="s">
        <v>8545</v>
      </c>
      <c r="S1979" t="s">
        <v>8546</v>
      </c>
      <c r="T1979" t="s">
        <v>2277</v>
      </c>
      <c r="U1979" t="s">
        <v>2278</v>
      </c>
      <c r="V1979" t="s">
        <v>2215</v>
      </c>
    </row>
    <row r="1980" spans="1:33" x14ac:dyDescent="0.3">
      <c r="A1980">
        <v>36357</v>
      </c>
      <c r="B1980" t="s">
        <v>10686</v>
      </c>
      <c r="C1980" t="str">
        <f>""</f>
        <v/>
      </c>
      <c r="D1980" t="str">
        <f>""</f>
        <v/>
      </c>
      <c r="E1980" s="1">
        <v>36069</v>
      </c>
      <c r="F1980" t="s">
        <v>10687</v>
      </c>
      <c r="G1980" t="e">
        <f>INDEX(#REF!,MATCH(P1980,#REF!,0),1)</f>
        <v>#REF!</v>
      </c>
      <c r="H1980" t="s">
        <v>10688</v>
      </c>
      <c r="J1980" t="s">
        <v>10689</v>
      </c>
      <c r="K1980" t="s">
        <v>2127</v>
      </c>
      <c r="L1980" t="s">
        <v>10690</v>
      </c>
      <c r="M1980" t="s">
        <v>10691</v>
      </c>
      <c r="N1980">
        <v>6194264</v>
      </c>
      <c r="O1980" t="s">
        <v>10692</v>
      </c>
      <c r="P1980">
        <v>6194264</v>
      </c>
      <c r="Q1980" t="s">
        <v>10692</v>
      </c>
      <c r="R1980" t="s">
        <v>7384</v>
      </c>
      <c r="S1980" t="s">
        <v>7385</v>
      </c>
      <c r="T1980" t="s">
        <v>2277</v>
      </c>
      <c r="U1980" t="s">
        <v>2278</v>
      </c>
      <c r="V1980" t="s">
        <v>2215</v>
      </c>
      <c r="AF1980" t="s">
        <v>10693</v>
      </c>
    </row>
    <row r="1981" spans="1:33" x14ac:dyDescent="0.3">
      <c r="A1981">
        <v>36405</v>
      </c>
      <c r="B1981" t="s">
        <v>10694</v>
      </c>
      <c r="C1981" t="str">
        <f>""</f>
        <v/>
      </c>
      <c r="D1981" t="str">
        <f>""</f>
        <v/>
      </c>
      <c r="E1981" s="1">
        <v>42979</v>
      </c>
      <c r="F1981" t="s">
        <v>10695</v>
      </c>
      <c r="G1981" t="e">
        <f>INDEX(#REF!,MATCH(P1981,#REF!,0),1)</f>
        <v>#REF!</v>
      </c>
      <c r="H1981" t="s">
        <v>10696</v>
      </c>
      <c r="J1981" t="s">
        <v>10697</v>
      </c>
      <c r="K1981" t="s">
        <v>99</v>
      </c>
      <c r="L1981">
        <v>30240</v>
      </c>
      <c r="M1981" t="s">
        <v>10698</v>
      </c>
      <c r="N1981">
        <v>43807</v>
      </c>
      <c r="O1981" t="s">
        <v>1798</v>
      </c>
      <c r="P1981">
        <v>43807</v>
      </c>
      <c r="Q1981" t="s">
        <v>1798</v>
      </c>
      <c r="R1981" t="s">
        <v>1799</v>
      </c>
      <c r="S1981" t="s">
        <v>1800</v>
      </c>
      <c r="T1981" t="s">
        <v>44</v>
      </c>
      <c r="U1981" t="s">
        <v>45</v>
      </c>
      <c r="AA1981" t="s">
        <v>105</v>
      </c>
      <c r="AE1981" t="s">
        <v>106</v>
      </c>
    </row>
    <row r="1982" spans="1:33" x14ac:dyDescent="0.3">
      <c r="A1982">
        <v>36406</v>
      </c>
      <c r="B1982" t="s">
        <v>10699</v>
      </c>
      <c r="C1982" t="str">
        <f>""</f>
        <v/>
      </c>
      <c r="D1982" t="str">
        <f>""</f>
        <v/>
      </c>
      <c r="E1982" s="1">
        <v>42583</v>
      </c>
      <c r="F1982" t="s">
        <v>10700</v>
      </c>
      <c r="G1982" t="e">
        <f>INDEX(#REF!,MATCH(P1982,#REF!,0),1)</f>
        <v>#REF!</v>
      </c>
      <c r="H1982" t="s">
        <v>10701</v>
      </c>
      <c r="J1982" t="s">
        <v>1026</v>
      </c>
      <c r="K1982" t="s">
        <v>577</v>
      </c>
      <c r="L1982" t="s">
        <v>10702</v>
      </c>
      <c r="M1982" t="s">
        <v>10703</v>
      </c>
      <c r="N1982">
        <v>36406</v>
      </c>
      <c r="O1982" t="s">
        <v>10700</v>
      </c>
      <c r="P1982">
        <v>36406</v>
      </c>
      <c r="Q1982" t="s">
        <v>10700</v>
      </c>
      <c r="R1982" t="s">
        <v>499</v>
      </c>
      <c r="S1982" t="s">
        <v>500</v>
      </c>
      <c r="T1982" t="s">
        <v>44</v>
      </c>
      <c r="U1982" t="s">
        <v>81</v>
      </c>
    </row>
    <row r="1983" spans="1:33" x14ac:dyDescent="0.3">
      <c r="A1983">
        <v>36570</v>
      </c>
      <c r="B1983" t="s">
        <v>10704</v>
      </c>
      <c r="C1983" t="str">
        <f>"1100007782844"</f>
        <v>1100007782844</v>
      </c>
      <c r="D1983" t="str">
        <f>"370130E00"</f>
        <v>370130E00</v>
      </c>
      <c r="E1983" s="1">
        <v>42278</v>
      </c>
      <c r="F1983" t="s">
        <v>6127</v>
      </c>
      <c r="G1983" t="e">
        <f>INDEX(#REF!,MATCH(P1983,#REF!,0),1)</f>
        <v>#REF!</v>
      </c>
      <c r="H1983" t="s">
        <v>10705</v>
      </c>
      <c r="J1983" t="s">
        <v>2367</v>
      </c>
      <c r="K1983" t="s">
        <v>2368</v>
      </c>
      <c r="L1983" t="s">
        <v>10706</v>
      </c>
      <c r="M1983" t="s">
        <v>10707</v>
      </c>
      <c r="N1983">
        <v>36570</v>
      </c>
      <c r="O1983" t="s">
        <v>6127</v>
      </c>
      <c r="P1983">
        <v>36570</v>
      </c>
      <c r="Q1983" t="s">
        <v>6127</v>
      </c>
      <c r="R1983" t="s">
        <v>79</v>
      </c>
      <c r="S1983" t="s">
        <v>80</v>
      </c>
      <c r="T1983" t="s">
        <v>44</v>
      </c>
      <c r="U1983" t="s">
        <v>45</v>
      </c>
      <c r="AA1983" t="s">
        <v>119</v>
      </c>
      <c r="AE1983" t="s">
        <v>120</v>
      </c>
      <c r="AG1983" t="s">
        <v>48</v>
      </c>
    </row>
    <row r="1984" spans="1:33" x14ac:dyDescent="0.3">
      <c r="A1984">
        <v>36608</v>
      </c>
      <c r="B1984" t="s">
        <v>10708</v>
      </c>
      <c r="C1984" t="str">
        <f>"1100002969288"</f>
        <v>1100002969288</v>
      </c>
      <c r="D1984" t="str">
        <f>"B0CN6L100"</f>
        <v>B0CN6L100</v>
      </c>
      <c r="E1984" s="1">
        <v>35431</v>
      </c>
      <c r="F1984" t="s">
        <v>10709</v>
      </c>
      <c r="G1984" t="e">
        <f>INDEX(#REF!,MATCH(P1984,#REF!,0),1)</f>
        <v>#REF!</v>
      </c>
      <c r="H1984" t="s">
        <v>10710</v>
      </c>
      <c r="J1984" t="s">
        <v>869</v>
      </c>
      <c r="K1984" t="s">
        <v>88</v>
      </c>
      <c r="L1984" t="s">
        <v>10711</v>
      </c>
      <c r="M1984" t="s">
        <v>10712</v>
      </c>
      <c r="N1984">
        <v>2472681</v>
      </c>
      <c r="O1984" t="s">
        <v>3237</v>
      </c>
      <c r="P1984">
        <v>40298</v>
      </c>
      <c r="Q1984" t="s">
        <v>10713</v>
      </c>
      <c r="R1984" t="s">
        <v>3238</v>
      </c>
      <c r="S1984" t="s">
        <v>3239</v>
      </c>
      <c r="T1984" t="s">
        <v>44</v>
      </c>
      <c r="U1984" t="s">
        <v>9762</v>
      </c>
      <c r="AC1984" t="s">
        <v>3240</v>
      </c>
      <c r="AD1984" t="s">
        <v>94</v>
      </c>
      <c r="AE1984" t="s">
        <v>72</v>
      </c>
      <c r="AG1984" t="s">
        <v>48</v>
      </c>
    </row>
    <row r="1985" spans="1:33" x14ac:dyDescent="0.3">
      <c r="A1985">
        <v>36615</v>
      </c>
      <c r="B1985" t="s">
        <v>10714</v>
      </c>
      <c r="C1985" t="str">
        <f>""</f>
        <v/>
      </c>
      <c r="D1985" t="str">
        <f>"440990Q00"</f>
        <v>440990Q00</v>
      </c>
      <c r="E1985" s="1">
        <v>39343</v>
      </c>
      <c r="F1985" t="s">
        <v>10715</v>
      </c>
      <c r="G1985" t="e">
        <f>INDEX(#REF!,MATCH(P1985,#REF!,0),1)</f>
        <v>#REF!</v>
      </c>
      <c r="H1985" t="s">
        <v>10716</v>
      </c>
      <c r="J1985" t="s">
        <v>260</v>
      </c>
      <c r="K1985" t="s">
        <v>261</v>
      </c>
      <c r="L1985" t="s">
        <v>10717</v>
      </c>
      <c r="M1985" t="s">
        <v>10718</v>
      </c>
      <c r="N1985">
        <v>4168349</v>
      </c>
      <c r="O1985" t="s">
        <v>264</v>
      </c>
      <c r="P1985">
        <v>4283426</v>
      </c>
      <c r="Q1985" t="s">
        <v>10719</v>
      </c>
      <c r="R1985" t="s">
        <v>266</v>
      </c>
      <c r="S1985" t="s">
        <v>267</v>
      </c>
      <c r="T1985" t="s">
        <v>44</v>
      </c>
      <c r="U1985" t="s">
        <v>1823</v>
      </c>
      <c r="Y1985" t="s">
        <v>46</v>
      </c>
      <c r="Z1985" s="1">
        <v>44835</v>
      </c>
      <c r="AC1985" t="s">
        <v>268</v>
      </c>
      <c r="AE1985" t="s">
        <v>269</v>
      </c>
    </row>
    <row r="1986" spans="1:33" x14ac:dyDescent="0.3">
      <c r="A1986">
        <v>36643</v>
      </c>
      <c r="B1986" t="s">
        <v>10720</v>
      </c>
      <c r="C1986" t="str">
        <f>""</f>
        <v/>
      </c>
      <c r="D1986" t="str">
        <f>"147JQJ400"</f>
        <v>147JQJ400</v>
      </c>
      <c r="E1986" s="1">
        <v>42647</v>
      </c>
      <c r="F1986" t="s">
        <v>7591</v>
      </c>
      <c r="G1986" t="e">
        <f>INDEX(#REF!,MATCH(P1986,#REF!,0),1)</f>
        <v>#REF!</v>
      </c>
      <c r="H1986" t="s">
        <v>10721</v>
      </c>
      <c r="I1986" t="s">
        <v>10722</v>
      </c>
      <c r="J1986" t="s">
        <v>124</v>
      </c>
      <c r="K1986" t="s">
        <v>125</v>
      </c>
      <c r="L1986" t="s">
        <v>10723</v>
      </c>
      <c r="M1986" t="s">
        <v>10724</v>
      </c>
      <c r="N1986">
        <v>36643</v>
      </c>
      <c r="O1986" t="s">
        <v>7591</v>
      </c>
      <c r="P1986">
        <v>36643</v>
      </c>
      <c r="Q1986" t="s">
        <v>7591</v>
      </c>
      <c r="R1986" t="s">
        <v>1193</v>
      </c>
      <c r="S1986" t="s">
        <v>1194</v>
      </c>
      <c r="T1986" t="s">
        <v>44</v>
      </c>
      <c r="U1986" t="s">
        <v>81</v>
      </c>
      <c r="AD1986" t="s">
        <v>94</v>
      </c>
    </row>
    <row r="1987" spans="1:33" x14ac:dyDescent="0.3">
      <c r="A1987">
        <v>36735</v>
      </c>
      <c r="B1987" t="s">
        <v>10725</v>
      </c>
      <c r="C1987" t="str">
        <f>""</f>
        <v/>
      </c>
      <c r="D1987" t="str">
        <f>"J7KRKYJ00"</f>
        <v>J7KRKYJ00</v>
      </c>
      <c r="E1987" s="1">
        <v>35612</v>
      </c>
      <c r="F1987" t="s">
        <v>10726</v>
      </c>
      <c r="G1987" t="e">
        <f>INDEX(#REF!,MATCH(P1987,#REF!,0),1)</f>
        <v>#REF!</v>
      </c>
      <c r="H1987" t="s">
        <v>1102</v>
      </c>
      <c r="J1987" t="s">
        <v>922</v>
      </c>
      <c r="K1987" t="s">
        <v>353</v>
      </c>
      <c r="L1987" t="s">
        <v>1103</v>
      </c>
      <c r="M1987" t="s">
        <v>10727</v>
      </c>
      <c r="N1987">
        <v>284</v>
      </c>
      <c r="O1987" t="s">
        <v>925</v>
      </c>
      <c r="P1987">
        <v>284</v>
      </c>
      <c r="Q1987" t="s">
        <v>925</v>
      </c>
      <c r="R1987" t="s">
        <v>3159</v>
      </c>
      <c r="S1987" t="s">
        <v>3160</v>
      </c>
      <c r="T1987" t="s">
        <v>4245</v>
      </c>
      <c r="U1987" t="s">
        <v>4832</v>
      </c>
      <c r="V1987" t="s">
        <v>1824</v>
      </c>
      <c r="AA1987" t="s">
        <v>105</v>
      </c>
      <c r="AE1987" t="s">
        <v>106</v>
      </c>
    </row>
    <row r="1988" spans="1:33" x14ac:dyDescent="0.3">
      <c r="A1988">
        <v>36757</v>
      </c>
      <c r="B1988" t="s">
        <v>10728</v>
      </c>
      <c r="C1988" t="str">
        <f>""</f>
        <v/>
      </c>
      <c r="D1988" t="str">
        <f>"212320A00"</f>
        <v>212320A00</v>
      </c>
      <c r="E1988" s="1">
        <v>35886</v>
      </c>
      <c r="F1988" t="s">
        <v>10729</v>
      </c>
      <c r="G1988" t="e">
        <f>INDEX(#REF!,MATCH(P1988,#REF!,0),1)</f>
        <v>#REF!</v>
      </c>
      <c r="H1988" t="s">
        <v>10730</v>
      </c>
      <c r="J1988" t="s">
        <v>10731</v>
      </c>
      <c r="K1988" t="s">
        <v>2244</v>
      </c>
      <c r="L1988" t="s">
        <v>10732</v>
      </c>
      <c r="M1988" t="s">
        <v>10733</v>
      </c>
      <c r="N1988">
        <v>36757</v>
      </c>
      <c r="O1988" t="s">
        <v>10729</v>
      </c>
      <c r="P1988">
        <v>36757</v>
      </c>
      <c r="Q1988" t="s">
        <v>10729</v>
      </c>
      <c r="R1988" t="s">
        <v>1301</v>
      </c>
      <c r="S1988" t="s">
        <v>1302</v>
      </c>
      <c r="T1988" t="s">
        <v>44</v>
      </c>
      <c r="U1988" t="s">
        <v>45</v>
      </c>
    </row>
    <row r="1989" spans="1:33" x14ac:dyDescent="0.3">
      <c r="A1989">
        <v>36782</v>
      </c>
      <c r="B1989" t="s">
        <v>10734</v>
      </c>
      <c r="C1989" t="str">
        <f>"1100005957886"</f>
        <v>1100005957886</v>
      </c>
      <c r="D1989" t="str">
        <f>"360740K00"</f>
        <v>360740K00</v>
      </c>
      <c r="E1989" s="1">
        <v>42583</v>
      </c>
      <c r="F1989" t="s">
        <v>10735</v>
      </c>
      <c r="G1989" t="e">
        <f>INDEX(#REF!,MATCH(P1989,#REF!,0),1)</f>
        <v>#REF!</v>
      </c>
      <c r="H1989" t="s">
        <v>4323</v>
      </c>
      <c r="J1989" t="s">
        <v>2337</v>
      </c>
      <c r="K1989" t="s">
        <v>384</v>
      </c>
      <c r="L1989" t="s">
        <v>10736</v>
      </c>
      <c r="M1989" t="s">
        <v>4325</v>
      </c>
      <c r="N1989">
        <v>2472612</v>
      </c>
      <c r="O1989" t="s">
        <v>2340</v>
      </c>
      <c r="P1989">
        <v>1805</v>
      </c>
      <c r="Q1989" t="s">
        <v>2341</v>
      </c>
      <c r="R1989" t="s">
        <v>2342</v>
      </c>
      <c r="S1989" t="s">
        <v>2343</v>
      </c>
      <c r="T1989" t="s">
        <v>44</v>
      </c>
      <c r="U1989" t="s">
        <v>45</v>
      </c>
    </row>
    <row r="1990" spans="1:33" x14ac:dyDescent="0.3">
      <c r="A1990">
        <v>36825</v>
      </c>
      <c r="B1990" t="s">
        <v>10737</v>
      </c>
      <c r="C1990" t="str">
        <f>""</f>
        <v/>
      </c>
      <c r="D1990" t="str">
        <f>""</f>
        <v/>
      </c>
      <c r="E1990" s="1">
        <v>42614</v>
      </c>
      <c r="F1990" t="s">
        <v>10738</v>
      </c>
      <c r="G1990" t="e">
        <f>INDEX(#REF!,MATCH(P1990,#REF!,0),1)</f>
        <v>#REF!</v>
      </c>
      <c r="H1990" t="s">
        <v>10739</v>
      </c>
      <c r="J1990" t="s">
        <v>1089</v>
      </c>
      <c r="K1990" t="s">
        <v>139</v>
      </c>
      <c r="L1990" t="s">
        <v>10740</v>
      </c>
      <c r="M1990" t="s">
        <v>10741</v>
      </c>
      <c r="N1990">
        <v>3043221</v>
      </c>
      <c r="O1990" t="s">
        <v>10742</v>
      </c>
      <c r="P1990">
        <v>2829035</v>
      </c>
      <c r="Q1990" t="s">
        <v>10743</v>
      </c>
      <c r="R1990" t="s">
        <v>6820</v>
      </c>
      <c r="S1990" t="s">
        <v>6821</v>
      </c>
      <c r="T1990" t="s">
        <v>2277</v>
      </c>
      <c r="U1990" t="s">
        <v>4419</v>
      </c>
      <c r="V1990" t="s">
        <v>2215</v>
      </c>
    </row>
    <row r="1991" spans="1:33" x14ac:dyDescent="0.3">
      <c r="A1991">
        <v>36842</v>
      </c>
      <c r="B1991" t="s">
        <v>10744</v>
      </c>
      <c r="C1991" t="str">
        <f>""</f>
        <v/>
      </c>
      <c r="D1991" t="str">
        <f>""</f>
        <v/>
      </c>
      <c r="E1991" s="1">
        <v>35612</v>
      </c>
      <c r="F1991" t="s">
        <v>10745</v>
      </c>
      <c r="G1991" t="e">
        <f>INDEX(#REF!,MATCH(P1991,#REF!,0),1)</f>
        <v>#REF!</v>
      </c>
      <c r="H1991" t="s">
        <v>10746</v>
      </c>
      <c r="J1991" t="s">
        <v>1089</v>
      </c>
      <c r="K1991" t="s">
        <v>139</v>
      </c>
      <c r="L1991">
        <v>37067</v>
      </c>
      <c r="M1991" t="s">
        <v>10747</v>
      </c>
      <c r="N1991">
        <v>282</v>
      </c>
      <c r="O1991" t="s">
        <v>1087</v>
      </c>
      <c r="P1991">
        <v>282</v>
      </c>
      <c r="Q1991" t="s">
        <v>1087</v>
      </c>
      <c r="R1991" t="s">
        <v>3751</v>
      </c>
      <c r="S1991" t="s">
        <v>3752</v>
      </c>
      <c r="T1991" t="s">
        <v>2277</v>
      </c>
      <c r="U1991" t="s">
        <v>2278</v>
      </c>
      <c r="V1991" t="s">
        <v>1824</v>
      </c>
      <c r="AA1991" t="s">
        <v>105</v>
      </c>
    </row>
    <row r="1992" spans="1:33" x14ac:dyDescent="0.3">
      <c r="A1992">
        <v>36850</v>
      </c>
      <c r="B1992" t="s">
        <v>10748</v>
      </c>
      <c r="C1992" t="str">
        <f>"1100005257948"</f>
        <v>1100005257948</v>
      </c>
      <c r="D1992" t="str">
        <f>"46TNYE200"</f>
        <v>46TNYE200</v>
      </c>
      <c r="E1992" s="1">
        <v>35612</v>
      </c>
      <c r="F1992" t="s">
        <v>10749</v>
      </c>
      <c r="G1992" t="e">
        <f>INDEX(#REF!,MATCH(P1992,#REF!,0),1)</f>
        <v>#REF!</v>
      </c>
      <c r="H1992" t="s">
        <v>4985</v>
      </c>
      <c r="J1992" t="s">
        <v>4986</v>
      </c>
      <c r="K1992" t="s">
        <v>899</v>
      </c>
      <c r="L1992" t="s">
        <v>4987</v>
      </c>
      <c r="M1992" t="s">
        <v>10750</v>
      </c>
      <c r="N1992">
        <v>871561</v>
      </c>
      <c r="O1992" t="s">
        <v>194</v>
      </c>
      <c r="P1992">
        <v>2223</v>
      </c>
      <c r="Q1992" t="s">
        <v>4984</v>
      </c>
      <c r="R1992" t="s">
        <v>3864</v>
      </c>
      <c r="S1992" t="s">
        <v>3865</v>
      </c>
      <c r="T1992" t="s">
        <v>2214</v>
      </c>
      <c r="U1992" t="s">
        <v>2214</v>
      </c>
      <c r="V1992" t="s">
        <v>1824</v>
      </c>
      <c r="AA1992" t="s">
        <v>119</v>
      </c>
      <c r="AE1992" t="s">
        <v>120</v>
      </c>
      <c r="AG1992" t="s">
        <v>48</v>
      </c>
    </row>
    <row r="1993" spans="1:33" x14ac:dyDescent="0.3">
      <c r="A1993">
        <v>36851</v>
      </c>
      <c r="B1993" t="s">
        <v>10751</v>
      </c>
      <c r="C1993" t="str">
        <f>"1100003232435"</f>
        <v>1100003232435</v>
      </c>
      <c r="D1993" t="str">
        <f>"T5110VV00"</f>
        <v>T5110VV00</v>
      </c>
      <c r="E1993" s="1">
        <v>35612</v>
      </c>
      <c r="F1993" t="s">
        <v>10752</v>
      </c>
      <c r="G1993" t="e">
        <f>INDEX(#REF!,MATCH(P1993,#REF!,0),1)</f>
        <v>#REF!</v>
      </c>
      <c r="H1993" t="s">
        <v>10753</v>
      </c>
      <c r="J1993" t="s">
        <v>721</v>
      </c>
      <c r="K1993" t="s">
        <v>425</v>
      </c>
      <c r="L1993" t="str">
        <f>"05089-1206"</f>
        <v>05089-1206</v>
      </c>
      <c r="M1993" t="s">
        <v>10754</v>
      </c>
      <c r="N1993">
        <v>155</v>
      </c>
      <c r="O1993" t="s">
        <v>55</v>
      </c>
      <c r="P1993">
        <v>180</v>
      </c>
      <c r="Q1993" t="s">
        <v>719</v>
      </c>
      <c r="R1993" t="s">
        <v>2138</v>
      </c>
      <c r="S1993" t="s">
        <v>2139</v>
      </c>
      <c r="T1993" t="s">
        <v>2214</v>
      </c>
      <c r="U1993" t="s">
        <v>2214</v>
      </c>
      <c r="V1993" t="s">
        <v>1824</v>
      </c>
      <c r="AA1993" t="s">
        <v>58</v>
      </c>
      <c r="AE1993" t="s">
        <v>60</v>
      </c>
    </row>
    <row r="1994" spans="1:33" x14ac:dyDescent="0.3">
      <c r="A1994">
        <v>36852</v>
      </c>
      <c r="B1994" t="s">
        <v>10755</v>
      </c>
      <c r="C1994" t="str">
        <f>""</f>
        <v/>
      </c>
      <c r="D1994" t="str">
        <f>"61843E000"</f>
        <v>61843E000</v>
      </c>
      <c r="E1994" s="1">
        <v>35612</v>
      </c>
      <c r="F1994" t="s">
        <v>10756</v>
      </c>
      <c r="G1994" t="e">
        <f>INDEX(#REF!,MATCH(P1994,#REF!,0),1)</f>
        <v>#REF!</v>
      </c>
      <c r="H1994" t="s">
        <v>4520</v>
      </c>
      <c r="J1994" t="s">
        <v>4521</v>
      </c>
      <c r="K1994" t="s">
        <v>2004</v>
      </c>
      <c r="L1994" t="str">
        <f>"01060-2052"</f>
        <v>01060-2052</v>
      </c>
      <c r="M1994" t="s">
        <v>4522</v>
      </c>
      <c r="N1994">
        <v>2598</v>
      </c>
      <c r="O1994" t="s">
        <v>2136</v>
      </c>
      <c r="P1994">
        <v>1923</v>
      </c>
      <c r="Q1994" t="s">
        <v>4519</v>
      </c>
      <c r="R1994" t="s">
        <v>2138</v>
      </c>
      <c r="S1994" t="s">
        <v>2139</v>
      </c>
      <c r="T1994" t="s">
        <v>2277</v>
      </c>
      <c r="U1994" t="s">
        <v>2278</v>
      </c>
      <c r="V1994" t="s">
        <v>1824</v>
      </c>
      <c r="AG1994" t="s">
        <v>48</v>
      </c>
    </row>
    <row r="1995" spans="1:33" x14ac:dyDescent="0.3">
      <c r="A1995">
        <v>36872</v>
      </c>
      <c r="B1995" t="s">
        <v>10757</v>
      </c>
      <c r="C1995" t="str">
        <f>""</f>
        <v/>
      </c>
      <c r="D1995" t="str">
        <f>"J6T2ENL00"</f>
        <v>J6T2ENL00</v>
      </c>
      <c r="E1995" s="1">
        <v>41737</v>
      </c>
      <c r="F1995" t="s">
        <v>10758</v>
      </c>
      <c r="G1995" t="e">
        <f>INDEX(#REF!,MATCH(P1995,#REF!,0),1)</f>
        <v>#REF!</v>
      </c>
      <c r="H1995" t="s">
        <v>10759</v>
      </c>
      <c r="J1995" t="s">
        <v>10050</v>
      </c>
      <c r="K1995" t="s">
        <v>65</v>
      </c>
      <c r="L1995" t="s">
        <v>10760</v>
      </c>
      <c r="M1995" t="s">
        <v>10761</v>
      </c>
      <c r="N1995">
        <v>1077847</v>
      </c>
      <c r="O1995" t="s">
        <v>3597</v>
      </c>
      <c r="P1995">
        <v>34885</v>
      </c>
      <c r="Q1995" t="s">
        <v>7477</v>
      </c>
      <c r="R1995" t="s">
        <v>3837</v>
      </c>
      <c r="S1995" t="s">
        <v>3838</v>
      </c>
      <c r="T1995" t="s">
        <v>3141</v>
      </c>
      <c r="U1995" t="s">
        <v>3142</v>
      </c>
      <c r="V1995" t="s">
        <v>1824</v>
      </c>
      <c r="AA1995" t="s">
        <v>119</v>
      </c>
      <c r="AE1995" t="s">
        <v>564</v>
      </c>
    </row>
    <row r="1996" spans="1:33" x14ac:dyDescent="0.3">
      <c r="A1996">
        <v>36874</v>
      </c>
      <c r="B1996" t="s">
        <v>10762</v>
      </c>
      <c r="C1996" t="str">
        <f>"1100006520478"</f>
        <v>1100006520478</v>
      </c>
      <c r="D1996" t="str">
        <f>"D1RXBLY00"</f>
        <v>D1RXBLY00</v>
      </c>
      <c r="E1996" s="1">
        <v>34881</v>
      </c>
      <c r="F1996" t="s">
        <v>710</v>
      </c>
      <c r="G1996" t="e">
        <f>INDEX(#REF!,MATCH(P1996,#REF!,0),1)</f>
        <v>#REF!</v>
      </c>
      <c r="H1996" t="s">
        <v>10763</v>
      </c>
      <c r="J1996" t="s">
        <v>306</v>
      </c>
      <c r="K1996" t="s">
        <v>307</v>
      </c>
      <c r="L1996" t="s">
        <v>10764</v>
      </c>
      <c r="M1996" t="s">
        <v>5202</v>
      </c>
      <c r="N1996">
        <v>36874</v>
      </c>
      <c r="O1996" t="s">
        <v>710</v>
      </c>
      <c r="P1996">
        <v>36874</v>
      </c>
      <c r="Q1996" t="s">
        <v>710</v>
      </c>
      <c r="R1996" t="s">
        <v>711</v>
      </c>
      <c r="S1996" t="s">
        <v>712</v>
      </c>
      <c r="T1996" t="s">
        <v>44</v>
      </c>
      <c r="U1996" t="s">
        <v>81</v>
      </c>
      <c r="AD1996" t="s">
        <v>94</v>
      </c>
      <c r="AE1996" t="s">
        <v>60</v>
      </c>
      <c r="AG1996" t="s">
        <v>48</v>
      </c>
    </row>
    <row r="1997" spans="1:33" x14ac:dyDescent="0.3">
      <c r="A1997">
        <v>36884</v>
      </c>
      <c r="B1997" t="s">
        <v>10765</v>
      </c>
      <c r="C1997" t="str">
        <f>"1100002774530"</f>
        <v>1100002774530</v>
      </c>
      <c r="D1997" t="str">
        <f>"211080C00"</f>
        <v>211080C00</v>
      </c>
      <c r="E1997" s="1">
        <v>42583</v>
      </c>
      <c r="F1997" t="s">
        <v>10766</v>
      </c>
      <c r="G1997" t="e">
        <f>INDEX(#REF!,MATCH(P1997,#REF!,0),1)</f>
        <v>#REF!</v>
      </c>
      <c r="H1997" t="s">
        <v>10767</v>
      </c>
      <c r="J1997" t="s">
        <v>10768</v>
      </c>
      <c r="K1997" t="s">
        <v>2244</v>
      </c>
      <c r="L1997" t="s">
        <v>10769</v>
      </c>
      <c r="M1997" t="s">
        <v>10770</v>
      </c>
      <c r="N1997">
        <v>2449817</v>
      </c>
      <c r="O1997" t="s">
        <v>2363</v>
      </c>
      <c r="P1997">
        <v>2449817</v>
      </c>
      <c r="Q1997" t="s">
        <v>2363</v>
      </c>
      <c r="R1997" t="s">
        <v>884</v>
      </c>
      <c r="S1997" t="s">
        <v>885</v>
      </c>
      <c r="T1997" t="s">
        <v>44</v>
      </c>
      <c r="U1997" t="s">
        <v>45</v>
      </c>
      <c r="AA1997" t="s">
        <v>119</v>
      </c>
      <c r="AE1997" t="s">
        <v>120</v>
      </c>
    </row>
    <row r="1998" spans="1:33" x14ac:dyDescent="0.3">
      <c r="A1998">
        <v>36885</v>
      </c>
      <c r="B1998" t="s">
        <v>10771</v>
      </c>
      <c r="C1998" t="str">
        <f>""</f>
        <v/>
      </c>
      <c r="D1998" t="str">
        <f>"230910F00"</f>
        <v>230910F00</v>
      </c>
      <c r="E1998" s="1">
        <v>44409</v>
      </c>
      <c r="F1998" t="s">
        <v>10772</v>
      </c>
      <c r="G1998" t="e">
        <f>INDEX(#REF!,MATCH(P1998,#REF!,0),1)</f>
        <v>#REF!</v>
      </c>
      <c r="H1998" t="s">
        <v>10773</v>
      </c>
      <c r="J1998" t="s">
        <v>10436</v>
      </c>
      <c r="K1998" t="s">
        <v>65</v>
      </c>
      <c r="L1998" t="s">
        <v>10774</v>
      </c>
      <c r="M1998" t="s">
        <v>10775</v>
      </c>
      <c r="N1998">
        <v>36885</v>
      </c>
      <c r="O1998" t="s">
        <v>10772</v>
      </c>
      <c r="P1998">
        <v>36885</v>
      </c>
      <c r="Q1998" t="s">
        <v>10772</v>
      </c>
      <c r="R1998" t="s">
        <v>245</v>
      </c>
      <c r="S1998" t="s">
        <v>246</v>
      </c>
      <c r="T1998" t="s">
        <v>44</v>
      </c>
      <c r="U1998" t="s">
        <v>45</v>
      </c>
    </row>
    <row r="1999" spans="1:33" x14ac:dyDescent="0.3">
      <c r="A1999">
        <v>36887</v>
      </c>
      <c r="B1999" t="s">
        <v>10776</v>
      </c>
      <c r="C1999" t="str">
        <f>""</f>
        <v/>
      </c>
      <c r="D1999" t="str">
        <f>"933370P00"</f>
        <v>933370P00</v>
      </c>
      <c r="E1999" s="1">
        <v>42044</v>
      </c>
      <c r="F1999" t="s">
        <v>10777</v>
      </c>
      <c r="G1999" t="e">
        <f>INDEX(#REF!,MATCH(P1999,#REF!,0),1)</f>
        <v>#REF!</v>
      </c>
      <c r="H1999" t="s">
        <v>10778</v>
      </c>
      <c r="I1999" t="s">
        <v>10779</v>
      </c>
      <c r="J1999" t="s">
        <v>10780</v>
      </c>
      <c r="K1999" t="s">
        <v>88</v>
      </c>
      <c r="L1999">
        <v>94040</v>
      </c>
      <c r="M1999" t="s">
        <v>10781</v>
      </c>
      <c r="N1999">
        <v>40292</v>
      </c>
      <c r="O1999" t="s">
        <v>10782</v>
      </c>
      <c r="P1999">
        <v>60096</v>
      </c>
      <c r="Q1999" t="s">
        <v>10783</v>
      </c>
      <c r="R1999" t="s">
        <v>3238</v>
      </c>
      <c r="S1999" t="s">
        <v>3239</v>
      </c>
      <c r="T1999" t="s">
        <v>44</v>
      </c>
      <c r="U1999" t="s">
        <v>184</v>
      </c>
      <c r="AE1999" t="s">
        <v>72</v>
      </c>
      <c r="AG1999" t="s">
        <v>48</v>
      </c>
    </row>
    <row r="2000" spans="1:33" x14ac:dyDescent="0.3">
      <c r="A2000">
        <v>36888</v>
      </c>
      <c r="B2000" t="s">
        <v>10784</v>
      </c>
      <c r="C2000" t="str">
        <f>""</f>
        <v/>
      </c>
      <c r="D2000" t="str">
        <f>"210480F00"</f>
        <v>210480F00</v>
      </c>
      <c r="E2000" s="1">
        <v>35612</v>
      </c>
      <c r="F2000" t="s">
        <v>10785</v>
      </c>
      <c r="G2000" t="e">
        <f>INDEX(#REF!,MATCH(P2000,#REF!,0),1)</f>
        <v>#REF!</v>
      </c>
      <c r="H2000" t="s">
        <v>10786</v>
      </c>
      <c r="J2000" t="s">
        <v>10787</v>
      </c>
      <c r="K2000" t="s">
        <v>2244</v>
      </c>
      <c r="L2000" t="s">
        <v>10788</v>
      </c>
      <c r="M2000" t="s">
        <v>10789</v>
      </c>
      <c r="N2000">
        <v>84583</v>
      </c>
      <c r="O2000" t="s">
        <v>2559</v>
      </c>
      <c r="P2000">
        <v>84583</v>
      </c>
      <c r="Q2000" t="s">
        <v>2559</v>
      </c>
      <c r="R2000" t="s">
        <v>2560</v>
      </c>
      <c r="S2000" t="s">
        <v>2561</v>
      </c>
      <c r="T2000" t="s">
        <v>44</v>
      </c>
      <c r="U2000" t="s">
        <v>45</v>
      </c>
      <c r="AE2000" t="s">
        <v>72</v>
      </c>
      <c r="AG2000" t="s">
        <v>48</v>
      </c>
    </row>
    <row r="2001" spans="1:33" x14ac:dyDescent="0.3">
      <c r="A2001">
        <v>36953</v>
      </c>
      <c r="B2001" t="s">
        <v>10790</v>
      </c>
      <c r="C2001" t="str">
        <f>"1100005118188"</f>
        <v>1100005118188</v>
      </c>
      <c r="D2001" t="str">
        <f>"934180P00"</f>
        <v>934180P00</v>
      </c>
      <c r="E2001" s="1">
        <v>44378</v>
      </c>
      <c r="F2001" t="s">
        <v>10791</v>
      </c>
      <c r="G2001" t="e">
        <f>INDEX(#REF!,MATCH(P2001,#REF!,0),1)</f>
        <v>#REF!</v>
      </c>
      <c r="H2001" t="s">
        <v>10792</v>
      </c>
      <c r="J2001" t="s">
        <v>10793</v>
      </c>
      <c r="K2001" t="s">
        <v>88</v>
      </c>
      <c r="L2001" t="s">
        <v>10794</v>
      </c>
      <c r="M2001" t="s">
        <v>10795</v>
      </c>
      <c r="N2001">
        <v>36953</v>
      </c>
      <c r="O2001" t="s">
        <v>10791</v>
      </c>
      <c r="P2001">
        <v>36953</v>
      </c>
      <c r="Q2001" t="s">
        <v>10791</v>
      </c>
      <c r="R2001" t="s">
        <v>499</v>
      </c>
      <c r="S2001" t="s">
        <v>500</v>
      </c>
      <c r="T2001" t="s">
        <v>44</v>
      </c>
      <c r="U2001" t="s">
        <v>45</v>
      </c>
    </row>
    <row r="2002" spans="1:33" x14ac:dyDescent="0.3">
      <c r="A2002">
        <v>36975</v>
      </c>
      <c r="B2002" t="s">
        <v>10796</v>
      </c>
      <c r="C2002" t="str">
        <f>""</f>
        <v/>
      </c>
      <c r="D2002" t="str">
        <f>"932990WF0"</f>
        <v>932990WF0</v>
      </c>
      <c r="E2002" s="1">
        <v>45251</v>
      </c>
      <c r="F2002" t="s">
        <v>10797</v>
      </c>
      <c r="G2002" t="e">
        <f>INDEX(#REF!,MATCH(P2002,#REF!,0),1)</f>
        <v>#REF!</v>
      </c>
      <c r="H2002" t="s">
        <v>10798</v>
      </c>
      <c r="J2002" t="s">
        <v>5854</v>
      </c>
      <c r="K2002" t="s">
        <v>88</v>
      </c>
      <c r="L2002" t="s">
        <v>10799</v>
      </c>
      <c r="M2002" t="s">
        <v>3226</v>
      </c>
      <c r="N2002">
        <v>2449814</v>
      </c>
      <c r="O2002" t="s">
        <v>2083</v>
      </c>
      <c r="P2002">
        <v>2449814</v>
      </c>
      <c r="Q2002" t="s">
        <v>2083</v>
      </c>
      <c r="R2002" t="s">
        <v>266</v>
      </c>
      <c r="S2002" t="s">
        <v>267</v>
      </c>
      <c r="T2002" t="s">
        <v>44</v>
      </c>
      <c r="U2002" t="s">
        <v>45</v>
      </c>
      <c r="Y2002" t="s">
        <v>1317</v>
      </c>
      <c r="Z2002" s="1">
        <v>45352</v>
      </c>
      <c r="AC2002" t="s">
        <v>1318</v>
      </c>
      <c r="AD2002" t="s">
        <v>94</v>
      </c>
      <c r="AE2002" t="s">
        <v>72</v>
      </c>
    </row>
    <row r="2003" spans="1:33" x14ac:dyDescent="0.3">
      <c r="A2003">
        <v>36999</v>
      </c>
      <c r="B2003" t="s">
        <v>10800</v>
      </c>
      <c r="C2003" t="str">
        <f>"1100003092671"</f>
        <v>1100003092671</v>
      </c>
      <c r="D2003" t="str">
        <f>"441150F00"</f>
        <v>441150F00</v>
      </c>
      <c r="E2003" s="1">
        <v>42583</v>
      </c>
      <c r="F2003" t="s">
        <v>10801</v>
      </c>
      <c r="G2003" t="e">
        <f>INDEX(#REF!,MATCH(P2003,#REF!,0),1)</f>
        <v>#REF!</v>
      </c>
      <c r="H2003" t="s">
        <v>10802</v>
      </c>
      <c r="J2003" t="s">
        <v>10803</v>
      </c>
      <c r="K2003" t="s">
        <v>261</v>
      </c>
      <c r="L2003">
        <v>49801</v>
      </c>
      <c r="M2003" t="s">
        <v>10804</v>
      </c>
      <c r="N2003">
        <v>871561</v>
      </c>
      <c r="O2003" t="s">
        <v>194</v>
      </c>
      <c r="P2003">
        <v>2764868</v>
      </c>
      <c r="Q2003" t="s">
        <v>210</v>
      </c>
      <c r="R2003" t="s">
        <v>196</v>
      </c>
      <c r="S2003" t="s">
        <v>197</v>
      </c>
      <c r="T2003" t="s">
        <v>44</v>
      </c>
      <c r="U2003" t="s">
        <v>45</v>
      </c>
      <c r="AD2003" t="s">
        <v>94</v>
      </c>
      <c r="AE2003" t="s">
        <v>72</v>
      </c>
      <c r="AG2003" t="s">
        <v>48</v>
      </c>
    </row>
    <row r="2004" spans="1:33" x14ac:dyDescent="0.3">
      <c r="A2004">
        <v>37088</v>
      </c>
      <c r="B2004" t="s">
        <v>10805</v>
      </c>
      <c r="C2004" t="str">
        <f>""</f>
        <v/>
      </c>
      <c r="D2004" t="str">
        <f>""</f>
        <v/>
      </c>
      <c r="E2004" s="1">
        <v>39615</v>
      </c>
      <c r="F2004" t="s">
        <v>10806</v>
      </c>
      <c r="G2004" t="e">
        <f>INDEX(#REF!,MATCH(P2004,#REF!,0),1)</f>
        <v>#REF!</v>
      </c>
      <c r="H2004" t="s">
        <v>10807</v>
      </c>
      <c r="J2004" t="s">
        <v>3146</v>
      </c>
      <c r="K2004" t="s">
        <v>149</v>
      </c>
      <c r="L2004">
        <v>39216</v>
      </c>
      <c r="M2004" t="s">
        <v>10808</v>
      </c>
      <c r="N2004">
        <v>37088</v>
      </c>
      <c r="O2004" t="s">
        <v>10806</v>
      </c>
      <c r="P2004">
        <v>37088</v>
      </c>
      <c r="Q2004" t="s">
        <v>10806</v>
      </c>
      <c r="R2004" t="s">
        <v>893</v>
      </c>
      <c r="S2004" t="s">
        <v>894</v>
      </c>
      <c r="T2004" t="s">
        <v>44</v>
      </c>
      <c r="U2004" t="s">
        <v>45</v>
      </c>
      <c r="AA2004" t="s">
        <v>328</v>
      </c>
      <c r="AG2004" t="s">
        <v>48</v>
      </c>
    </row>
    <row r="2005" spans="1:33" x14ac:dyDescent="0.3">
      <c r="A2005">
        <v>37233</v>
      </c>
      <c r="B2005" t="s">
        <v>10809</v>
      </c>
      <c r="C2005" t="str">
        <f>""</f>
        <v/>
      </c>
      <c r="D2005" t="str">
        <f>"H7AL19T00"</f>
        <v>H7AL19T00</v>
      </c>
      <c r="E2005" s="1">
        <v>35643</v>
      </c>
      <c r="F2005" t="s">
        <v>10810</v>
      </c>
      <c r="G2005" t="e">
        <f>INDEX(#REF!,MATCH(P2005,#REF!,0),1)</f>
        <v>#REF!</v>
      </c>
      <c r="H2005" t="s">
        <v>10811</v>
      </c>
      <c r="J2005" t="s">
        <v>7642</v>
      </c>
      <c r="K2005" t="s">
        <v>251</v>
      </c>
      <c r="L2005" t="str">
        <f>"07039"</f>
        <v>07039</v>
      </c>
      <c r="M2005" t="s">
        <v>10812</v>
      </c>
      <c r="N2005">
        <v>73361</v>
      </c>
      <c r="O2005" t="s">
        <v>10813</v>
      </c>
      <c r="P2005">
        <v>73361</v>
      </c>
      <c r="Q2005" t="s">
        <v>10813</v>
      </c>
      <c r="R2005" t="s">
        <v>5064</v>
      </c>
      <c r="S2005" t="s">
        <v>5065</v>
      </c>
      <c r="T2005" t="s">
        <v>3141</v>
      </c>
      <c r="U2005" t="s">
        <v>3738</v>
      </c>
      <c r="V2005" t="s">
        <v>2215</v>
      </c>
    </row>
    <row r="2006" spans="1:33" x14ac:dyDescent="0.3">
      <c r="A2006">
        <v>37234</v>
      </c>
      <c r="B2006" t="s">
        <v>10814</v>
      </c>
      <c r="C2006" t="str">
        <f>"1100005089662"</f>
        <v>1100005089662</v>
      </c>
      <c r="D2006" t="str">
        <f>"HF08NB200"</f>
        <v>HF08NB200</v>
      </c>
      <c r="E2006" s="1">
        <v>42583</v>
      </c>
      <c r="F2006" t="s">
        <v>10815</v>
      </c>
      <c r="G2006" t="e">
        <f>INDEX(#REF!,MATCH(P2006,#REF!,0),1)</f>
        <v>#REF!</v>
      </c>
      <c r="H2006" t="s">
        <v>10816</v>
      </c>
      <c r="J2006" t="s">
        <v>10817</v>
      </c>
      <c r="K2006" t="s">
        <v>2004</v>
      </c>
      <c r="L2006" t="str">
        <f>"02130"</f>
        <v>02130</v>
      </c>
      <c r="M2006" t="s">
        <v>10818</v>
      </c>
      <c r="N2006">
        <v>32536</v>
      </c>
      <c r="O2006" t="s">
        <v>8630</v>
      </c>
      <c r="P2006">
        <v>32536</v>
      </c>
      <c r="Q2006" t="s">
        <v>8630</v>
      </c>
      <c r="R2006" t="s">
        <v>1301</v>
      </c>
      <c r="S2006" t="s">
        <v>1302</v>
      </c>
      <c r="T2006" t="s">
        <v>44</v>
      </c>
      <c r="U2006" t="s">
        <v>45</v>
      </c>
    </row>
    <row r="2007" spans="1:33" x14ac:dyDescent="0.3">
      <c r="A2007">
        <v>37243</v>
      </c>
      <c r="B2007" t="s">
        <v>10819</v>
      </c>
      <c r="C2007" t="str">
        <f>""</f>
        <v/>
      </c>
      <c r="D2007" t="str">
        <f>"2WP657500"</f>
        <v>2WP657500</v>
      </c>
      <c r="E2007" s="1">
        <v>42583</v>
      </c>
      <c r="F2007" t="s">
        <v>2668</v>
      </c>
      <c r="G2007" t="e">
        <f>INDEX(#REF!,MATCH(P2007,#REF!,0),1)</f>
        <v>#REF!</v>
      </c>
      <c r="H2007" t="s">
        <v>10820</v>
      </c>
      <c r="I2007" t="s">
        <v>10821</v>
      </c>
      <c r="J2007" t="s">
        <v>3309</v>
      </c>
      <c r="K2007" t="s">
        <v>251</v>
      </c>
      <c r="L2007" t="str">
        <f>"07962-1905"</f>
        <v>07962-1905</v>
      </c>
      <c r="M2007" t="s">
        <v>10822</v>
      </c>
      <c r="N2007">
        <v>37243</v>
      </c>
      <c r="O2007" t="s">
        <v>2668</v>
      </c>
      <c r="P2007">
        <v>37243</v>
      </c>
      <c r="Q2007" t="s">
        <v>2668</v>
      </c>
      <c r="R2007" t="s">
        <v>254</v>
      </c>
      <c r="S2007" t="s">
        <v>255</v>
      </c>
      <c r="T2007" t="s">
        <v>44</v>
      </c>
      <c r="U2007" t="s">
        <v>81</v>
      </c>
    </row>
    <row r="2008" spans="1:33" x14ac:dyDescent="0.3">
      <c r="A2008">
        <v>37249</v>
      </c>
      <c r="B2008" t="s">
        <v>10823</v>
      </c>
      <c r="C2008" t="str">
        <f>""</f>
        <v/>
      </c>
      <c r="D2008" t="str">
        <f>"KHAHRRA00"</f>
        <v>KHAHRRA00</v>
      </c>
      <c r="E2008" s="1">
        <v>35977</v>
      </c>
      <c r="F2008" t="s">
        <v>10824</v>
      </c>
      <c r="G2008" t="e">
        <f>INDEX(#REF!,MATCH(P2008,#REF!,0),1)</f>
        <v>#REF!</v>
      </c>
      <c r="H2008" t="s">
        <v>10825</v>
      </c>
      <c r="J2008" t="s">
        <v>9499</v>
      </c>
      <c r="K2008" t="s">
        <v>2004</v>
      </c>
      <c r="L2008" t="str">
        <f>"02780"</f>
        <v>02780</v>
      </c>
      <c r="M2008" t="s">
        <v>10826</v>
      </c>
      <c r="N2008">
        <v>79386</v>
      </c>
      <c r="O2008" t="s">
        <v>9261</v>
      </c>
      <c r="P2008">
        <v>79386</v>
      </c>
      <c r="Q2008" t="s">
        <v>9261</v>
      </c>
      <c r="R2008" t="s">
        <v>6187</v>
      </c>
      <c r="S2008" t="s">
        <v>6188</v>
      </c>
      <c r="T2008" t="s">
        <v>2214</v>
      </c>
      <c r="U2008" t="s">
        <v>2214</v>
      </c>
      <c r="V2008" t="s">
        <v>2215</v>
      </c>
    </row>
    <row r="2009" spans="1:33" x14ac:dyDescent="0.3">
      <c r="A2009">
        <v>37253</v>
      </c>
      <c r="B2009" t="s">
        <v>10827</v>
      </c>
      <c r="C2009" t="str">
        <f>""</f>
        <v/>
      </c>
      <c r="D2009" t="str">
        <f>""</f>
        <v/>
      </c>
      <c r="E2009" s="1">
        <v>35977</v>
      </c>
      <c r="F2009" t="s">
        <v>10828</v>
      </c>
      <c r="G2009" t="e">
        <f>INDEX(#REF!,MATCH(P2009,#REF!,0),1)</f>
        <v>#REF!</v>
      </c>
      <c r="H2009" t="s">
        <v>10829</v>
      </c>
      <c r="J2009" t="s">
        <v>2736</v>
      </c>
      <c r="K2009" t="s">
        <v>2004</v>
      </c>
      <c r="L2009" t="str">
        <f>"02720"</f>
        <v>02720</v>
      </c>
      <c r="M2009" t="s">
        <v>10826</v>
      </c>
      <c r="N2009">
        <v>79386</v>
      </c>
      <c r="O2009" t="s">
        <v>9261</v>
      </c>
      <c r="P2009">
        <v>79386</v>
      </c>
      <c r="Q2009" t="s">
        <v>9261</v>
      </c>
      <c r="R2009" t="s">
        <v>6187</v>
      </c>
      <c r="S2009" t="s">
        <v>6188</v>
      </c>
      <c r="T2009" t="s">
        <v>2214</v>
      </c>
      <c r="U2009" t="s">
        <v>2214</v>
      </c>
      <c r="V2009" t="s">
        <v>2215</v>
      </c>
    </row>
    <row r="2010" spans="1:33" x14ac:dyDescent="0.3">
      <c r="A2010">
        <v>37260</v>
      </c>
      <c r="B2010" t="s">
        <v>10830</v>
      </c>
      <c r="C2010" t="str">
        <f>""</f>
        <v/>
      </c>
      <c r="D2010" t="str">
        <f>"G1CWY9W00"</f>
        <v>G1CWY9W00</v>
      </c>
      <c r="E2010" s="1">
        <v>41026</v>
      </c>
      <c r="F2010" t="s">
        <v>10831</v>
      </c>
      <c r="G2010" t="e">
        <f>INDEX(#REF!,MATCH(P2010,#REF!,0),1)</f>
        <v>#REF!</v>
      </c>
      <c r="H2010" t="s">
        <v>10832</v>
      </c>
      <c r="J2010" t="s">
        <v>5394</v>
      </c>
      <c r="K2010" t="s">
        <v>835</v>
      </c>
      <c r="L2010">
        <v>67401</v>
      </c>
      <c r="M2010" t="s">
        <v>10833</v>
      </c>
      <c r="N2010">
        <v>37260</v>
      </c>
      <c r="O2010" t="s">
        <v>10831</v>
      </c>
      <c r="P2010">
        <v>37260</v>
      </c>
      <c r="Q2010" t="s">
        <v>10831</v>
      </c>
      <c r="R2010" t="s">
        <v>9524</v>
      </c>
      <c r="S2010" t="s">
        <v>9525</v>
      </c>
      <c r="T2010" t="s">
        <v>2277</v>
      </c>
      <c r="U2010" t="s">
        <v>2278</v>
      </c>
      <c r="V2010" t="s">
        <v>2215</v>
      </c>
      <c r="AF2010" t="s">
        <v>10834</v>
      </c>
    </row>
    <row r="2011" spans="1:33" x14ac:dyDescent="0.3">
      <c r="A2011">
        <v>37267</v>
      </c>
      <c r="B2011" t="s">
        <v>10835</v>
      </c>
      <c r="C2011" t="str">
        <f>""</f>
        <v/>
      </c>
      <c r="D2011" t="str">
        <f>"0ZQDDU900"</f>
        <v>0ZQDDU900</v>
      </c>
      <c r="E2011" s="1">
        <v>45108</v>
      </c>
      <c r="F2011" t="s">
        <v>10836</v>
      </c>
      <c r="G2011" t="e">
        <f>INDEX(#REF!,MATCH(P2011,#REF!,0),1)</f>
        <v>#REF!</v>
      </c>
      <c r="H2011" t="s">
        <v>10837</v>
      </c>
      <c r="J2011" t="s">
        <v>10838</v>
      </c>
      <c r="K2011" t="s">
        <v>1109</v>
      </c>
      <c r="L2011" t="str">
        <f>"06405"</f>
        <v>06405</v>
      </c>
      <c r="M2011" t="s">
        <v>10839</v>
      </c>
      <c r="N2011">
        <v>2294706</v>
      </c>
      <c r="O2011" t="s">
        <v>6648</v>
      </c>
      <c r="P2011">
        <v>2294706</v>
      </c>
      <c r="Q2011" t="s">
        <v>6648</v>
      </c>
      <c r="R2011" t="s">
        <v>3837</v>
      </c>
      <c r="S2011" t="s">
        <v>3838</v>
      </c>
      <c r="T2011" t="s">
        <v>3141</v>
      </c>
      <c r="U2011" t="s">
        <v>5806</v>
      </c>
      <c r="V2011" t="s">
        <v>1824</v>
      </c>
      <c r="AC2011" t="s">
        <v>6651</v>
      </c>
    </row>
    <row r="2012" spans="1:33" x14ac:dyDescent="0.3">
      <c r="A2012">
        <v>37277</v>
      </c>
      <c r="B2012" t="s">
        <v>10840</v>
      </c>
      <c r="C2012" t="str">
        <f>"1100004618863"</f>
        <v>1100004618863</v>
      </c>
      <c r="D2012" t="str">
        <f>"32CXMRR00"</f>
        <v>32CXMRR00</v>
      </c>
      <c r="E2012" s="1">
        <v>42678</v>
      </c>
      <c r="F2012" t="s">
        <v>2301</v>
      </c>
      <c r="G2012" t="e">
        <f>INDEX(#REF!,MATCH(P2012,#REF!,0),1)</f>
        <v>#REF!</v>
      </c>
      <c r="H2012" t="s">
        <v>10841</v>
      </c>
      <c r="J2012" t="s">
        <v>2298</v>
      </c>
      <c r="K2012" t="s">
        <v>2244</v>
      </c>
      <c r="L2012" t="s">
        <v>10842</v>
      </c>
      <c r="M2012" t="s">
        <v>10843</v>
      </c>
      <c r="N2012">
        <v>37277</v>
      </c>
      <c r="O2012" t="s">
        <v>2301</v>
      </c>
      <c r="P2012">
        <v>37277</v>
      </c>
      <c r="Q2012" t="s">
        <v>2301</v>
      </c>
      <c r="R2012" t="s">
        <v>562</v>
      </c>
      <c r="S2012" t="s">
        <v>563</v>
      </c>
      <c r="T2012" t="s">
        <v>44</v>
      </c>
      <c r="U2012" t="s">
        <v>81</v>
      </c>
      <c r="AA2012" t="s">
        <v>119</v>
      </c>
      <c r="AE2012" t="s">
        <v>60</v>
      </c>
      <c r="AG2012" t="s">
        <v>48</v>
      </c>
    </row>
    <row r="2013" spans="1:33" x14ac:dyDescent="0.3">
      <c r="A2013">
        <v>37278</v>
      </c>
      <c r="B2013" t="s">
        <v>10844</v>
      </c>
      <c r="C2013" t="str">
        <f>"1100003504914"</f>
        <v>1100003504914</v>
      </c>
      <c r="D2013" t="str">
        <f>"424H2RK00"</f>
        <v>424H2RK00</v>
      </c>
      <c r="E2013" s="1">
        <v>42826</v>
      </c>
      <c r="F2013" t="s">
        <v>10845</v>
      </c>
      <c r="G2013" t="e">
        <f>INDEX(#REF!,MATCH(P2013,#REF!,0),1)</f>
        <v>#REF!</v>
      </c>
      <c r="H2013" t="s">
        <v>10841</v>
      </c>
      <c r="J2013" t="s">
        <v>2298</v>
      </c>
      <c r="K2013" t="s">
        <v>2244</v>
      </c>
      <c r="L2013" t="s">
        <v>10842</v>
      </c>
      <c r="M2013" t="s">
        <v>10846</v>
      </c>
      <c r="N2013">
        <v>37277</v>
      </c>
      <c r="O2013" t="s">
        <v>2301</v>
      </c>
      <c r="P2013">
        <v>37279</v>
      </c>
      <c r="Q2013" t="s">
        <v>6252</v>
      </c>
      <c r="R2013" t="s">
        <v>562</v>
      </c>
      <c r="S2013" t="s">
        <v>563</v>
      </c>
      <c r="T2013" t="s">
        <v>44</v>
      </c>
      <c r="U2013" t="s">
        <v>81</v>
      </c>
      <c r="AA2013" t="s">
        <v>119</v>
      </c>
      <c r="AE2013" t="s">
        <v>60</v>
      </c>
      <c r="AG2013" t="s">
        <v>48</v>
      </c>
    </row>
    <row r="2014" spans="1:33" x14ac:dyDescent="0.3">
      <c r="A2014">
        <v>37279</v>
      </c>
      <c r="B2014" t="s">
        <v>10847</v>
      </c>
      <c r="C2014" t="str">
        <f>"1100002218119"</f>
        <v>1100002218119</v>
      </c>
      <c r="D2014" t="str">
        <f>"212770J00"</f>
        <v>212770J00</v>
      </c>
      <c r="E2014" s="1">
        <v>42678</v>
      </c>
      <c r="F2014" t="s">
        <v>6252</v>
      </c>
      <c r="G2014" t="e">
        <f>INDEX(#REF!,MATCH(P2014,#REF!,0),1)</f>
        <v>#REF!</v>
      </c>
      <c r="H2014" t="s">
        <v>10841</v>
      </c>
      <c r="J2014" t="s">
        <v>2298</v>
      </c>
      <c r="K2014" t="s">
        <v>2244</v>
      </c>
      <c r="L2014" t="s">
        <v>10848</v>
      </c>
      <c r="M2014" t="s">
        <v>10846</v>
      </c>
      <c r="N2014">
        <v>37277</v>
      </c>
      <c r="O2014" t="s">
        <v>2301</v>
      </c>
      <c r="P2014">
        <v>37277</v>
      </c>
      <c r="Q2014" t="s">
        <v>2301</v>
      </c>
      <c r="R2014" t="s">
        <v>562</v>
      </c>
      <c r="S2014" t="s">
        <v>563</v>
      </c>
      <c r="T2014" t="s">
        <v>44</v>
      </c>
      <c r="U2014" t="s">
        <v>45</v>
      </c>
      <c r="AA2014" t="s">
        <v>119</v>
      </c>
      <c r="AE2014" t="s">
        <v>60</v>
      </c>
      <c r="AG2014" t="s">
        <v>48</v>
      </c>
    </row>
    <row r="2015" spans="1:33" x14ac:dyDescent="0.3">
      <c r="A2015">
        <v>37280</v>
      </c>
      <c r="B2015" t="s">
        <v>10849</v>
      </c>
      <c r="C2015" t="str">
        <f>"1100007026610"</f>
        <v>1100007026610</v>
      </c>
      <c r="D2015" t="str">
        <f>""</f>
        <v/>
      </c>
      <c r="E2015" s="1">
        <v>40544</v>
      </c>
      <c r="F2015" t="s">
        <v>10850</v>
      </c>
      <c r="G2015" t="e">
        <f>INDEX(#REF!,MATCH(P2015,#REF!,0),1)</f>
        <v>#REF!</v>
      </c>
      <c r="H2015" t="s">
        <v>10851</v>
      </c>
      <c r="J2015" t="s">
        <v>4884</v>
      </c>
      <c r="K2015" t="s">
        <v>2088</v>
      </c>
      <c r="L2015">
        <v>59601</v>
      </c>
      <c r="M2015" t="s">
        <v>10852</v>
      </c>
      <c r="N2015">
        <v>37280</v>
      </c>
      <c r="O2015" t="s">
        <v>10850</v>
      </c>
      <c r="P2015">
        <v>37280</v>
      </c>
      <c r="Q2015" t="s">
        <v>10850</v>
      </c>
      <c r="R2015" t="s">
        <v>5721</v>
      </c>
      <c r="S2015" t="s">
        <v>5722</v>
      </c>
      <c r="T2015" t="s">
        <v>4245</v>
      </c>
      <c r="U2015" t="s">
        <v>4246</v>
      </c>
      <c r="V2015" t="s">
        <v>2215</v>
      </c>
      <c r="AF2015" t="s">
        <v>5723</v>
      </c>
    </row>
    <row r="2016" spans="1:33" x14ac:dyDescent="0.3">
      <c r="A2016">
        <v>37299</v>
      </c>
      <c r="B2016" t="s">
        <v>10853</v>
      </c>
      <c r="C2016" t="str">
        <f>"1100002191252"</f>
        <v>1100002191252</v>
      </c>
      <c r="D2016" t="str">
        <f>"360170H00"</f>
        <v>360170H00</v>
      </c>
      <c r="E2016" s="1">
        <v>44743</v>
      </c>
      <c r="F2016" t="s">
        <v>10854</v>
      </c>
      <c r="G2016" t="e">
        <f>INDEX(#REF!,MATCH(P2016,#REF!,0),1)</f>
        <v>#REF!</v>
      </c>
      <c r="H2016" t="s">
        <v>10855</v>
      </c>
      <c r="J2016" t="s">
        <v>10856</v>
      </c>
      <c r="K2016" t="s">
        <v>384</v>
      </c>
      <c r="L2016">
        <v>28607</v>
      </c>
      <c r="M2016" t="s">
        <v>10857</v>
      </c>
      <c r="N2016">
        <v>2627538</v>
      </c>
      <c r="O2016" t="s">
        <v>4554</v>
      </c>
      <c r="P2016">
        <v>2627538</v>
      </c>
      <c r="Q2016" t="s">
        <v>4554</v>
      </c>
      <c r="R2016" t="s">
        <v>679</v>
      </c>
      <c r="S2016" t="s">
        <v>680</v>
      </c>
      <c r="T2016" t="s">
        <v>44</v>
      </c>
      <c r="U2016" t="s">
        <v>45</v>
      </c>
      <c r="AA2016" t="s">
        <v>93</v>
      </c>
      <c r="AE2016" t="s">
        <v>591</v>
      </c>
      <c r="AG2016" t="s">
        <v>48</v>
      </c>
    </row>
    <row r="2017" spans="1:33" x14ac:dyDescent="0.3">
      <c r="A2017">
        <v>37320</v>
      </c>
      <c r="B2017" t="s">
        <v>10858</v>
      </c>
      <c r="C2017" t="str">
        <f>"1100003668470"</f>
        <v>1100003668470</v>
      </c>
      <c r="D2017" t="str">
        <f>"5R1Y85800"</f>
        <v>5R1Y85800</v>
      </c>
      <c r="E2017" s="1">
        <v>35643</v>
      </c>
      <c r="F2017" t="s">
        <v>10859</v>
      </c>
      <c r="G2017" t="e">
        <f>INDEX(#REF!,MATCH(P2017,#REF!,0),1)</f>
        <v>#REF!</v>
      </c>
      <c r="H2017" t="s">
        <v>10860</v>
      </c>
      <c r="J2017" t="s">
        <v>176</v>
      </c>
      <c r="K2017" t="s">
        <v>177</v>
      </c>
      <c r="L2017">
        <v>63132</v>
      </c>
      <c r="M2017" t="s">
        <v>10861</v>
      </c>
      <c r="N2017">
        <v>6104582</v>
      </c>
      <c r="O2017" t="s">
        <v>180</v>
      </c>
      <c r="P2017">
        <v>1351</v>
      </c>
      <c r="Q2017" t="s">
        <v>181</v>
      </c>
      <c r="R2017" t="s">
        <v>3152</v>
      </c>
      <c r="S2017" t="s">
        <v>3153</v>
      </c>
      <c r="T2017" t="s">
        <v>2214</v>
      </c>
      <c r="U2017" t="s">
        <v>2552</v>
      </c>
      <c r="V2017" t="s">
        <v>1824</v>
      </c>
      <c r="AA2017" t="s">
        <v>185</v>
      </c>
      <c r="AE2017" t="s">
        <v>186</v>
      </c>
    </row>
    <row r="2018" spans="1:33" x14ac:dyDescent="0.3">
      <c r="A2018">
        <v>37334</v>
      </c>
      <c r="B2018" t="s">
        <v>10862</v>
      </c>
      <c r="C2018" t="str">
        <f>""</f>
        <v/>
      </c>
      <c r="D2018" t="str">
        <f>"84B7H6H00"</f>
        <v>84B7H6H00</v>
      </c>
      <c r="E2018" s="1">
        <v>35643</v>
      </c>
      <c r="F2018" t="s">
        <v>10863</v>
      </c>
      <c r="G2018" t="e">
        <f>INDEX(#REF!,MATCH(P2018,#REF!,0),1)</f>
        <v>#REF!</v>
      </c>
      <c r="H2018" t="s">
        <v>10864</v>
      </c>
      <c r="J2018" t="s">
        <v>176</v>
      </c>
      <c r="K2018" t="s">
        <v>177</v>
      </c>
      <c r="L2018" t="s">
        <v>10865</v>
      </c>
      <c r="M2018" t="s">
        <v>10866</v>
      </c>
      <c r="N2018">
        <v>6104582</v>
      </c>
      <c r="O2018" t="s">
        <v>180</v>
      </c>
      <c r="P2018">
        <v>1351</v>
      </c>
      <c r="Q2018" t="s">
        <v>181</v>
      </c>
      <c r="R2018" t="s">
        <v>1821</v>
      </c>
      <c r="S2018" t="s">
        <v>1822</v>
      </c>
      <c r="T2018" t="s">
        <v>2277</v>
      </c>
      <c r="U2018" t="s">
        <v>2278</v>
      </c>
      <c r="V2018" t="s">
        <v>2215</v>
      </c>
    </row>
    <row r="2019" spans="1:33" x14ac:dyDescent="0.3">
      <c r="A2019">
        <v>37335</v>
      </c>
      <c r="B2019" t="s">
        <v>10867</v>
      </c>
      <c r="C2019" t="str">
        <f>""</f>
        <v/>
      </c>
      <c r="D2019" t="str">
        <f>"CBDXVE600"</f>
        <v>CBDXVE600</v>
      </c>
      <c r="E2019" s="1">
        <v>35643</v>
      </c>
      <c r="F2019" t="s">
        <v>10868</v>
      </c>
      <c r="G2019" t="e">
        <f>INDEX(#REF!,MATCH(P2019,#REF!,0),1)</f>
        <v>#REF!</v>
      </c>
      <c r="H2019" t="s">
        <v>10869</v>
      </c>
      <c r="J2019" t="s">
        <v>176</v>
      </c>
      <c r="K2019" t="s">
        <v>177</v>
      </c>
      <c r="L2019" t="s">
        <v>10870</v>
      </c>
      <c r="M2019" t="s">
        <v>10866</v>
      </c>
      <c r="N2019">
        <v>6104582</v>
      </c>
      <c r="O2019" t="s">
        <v>180</v>
      </c>
      <c r="P2019">
        <v>1351</v>
      </c>
      <c r="Q2019" t="s">
        <v>181</v>
      </c>
      <c r="R2019" t="s">
        <v>1821</v>
      </c>
      <c r="S2019" t="s">
        <v>1822</v>
      </c>
      <c r="T2019" t="s">
        <v>2277</v>
      </c>
      <c r="U2019" t="s">
        <v>2278</v>
      </c>
      <c r="V2019" t="s">
        <v>2215</v>
      </c>
    </row>
    <row r="2020" spans="1:33" x14ac:dyDescent="0.3">
      <c r="A2020">
        <v>37342</v>
      </c>
      <c r="B2020" t="s">
        <v>10871</v>
      </c>
      <c r="C2020" t="str">
        <f>""</f>
        <v/>
      </c>
      <c r="D2020" t="str">
        <f>"NY9J2CR00"</f>
        <v>NY9J2CR00</v>
      </c>
      <c r="E2020" s="1">
        <v>35643</v>
      </c>
      <c r="F2020" t="s">
        <v>10872</v>
      </c>
      <c r="G2020" t="e">
        <f>INDEX(#REF!,MATCH(P2020,#REF!,0),1)</f>
        <v>#REF!</v>
      </c>
      <c r="H2020" t="s">
        <v>10873</v>
      </c>
      <c r="J2020" t="s">
        <v>1688</v>
      </c>
      <c r="K2020" t="s">
        <v>283</v>
      </c>
      <c r="L2020" t="s">
        <v>10874</v>
      </c>
      <c r="M2020" t="s">
        <v>10875</v>
      </c>
      <c r="N2020">
        <v>722704</v>
      </c>
      <c r="O2020" t="s">
        <v>648</v>
      </c>
      <c r="P2020">
        <v>465</v>
      </c>
      <c r="Q2020" t="s">
        <v>1686</v>
      </c>
      <c r="R2020" t="s">
        <v>2550</v>
      </c>
      <c r="S2020" t="s">
        <v>2551</v>
      </c>
      <c r="T2020" t="s">
        <v>2140</v>
      </c>
      <c r="U2020" t="s">
        <v>2141</v>
      </c>
      <c r="V2020" t="s">
        <v>1824</v>
      </c>
      <c r="AA2020" t="s">
        <v>119</v>
      </c>
      <c r="AE2020" t="s">
        <v>120</v>
      </c>
    </row>
    <row r="2021" spans="1:33" x14ac:dyDescent="0.3">
      <c r="A2021">
        <v>37353</v>
      </c>
      <c r="B2021" t="s">
        <v>10876</v>
      </c>
      <c r="C2021" t="str">
        <f>""</f>
        <v/>
      </c>
      <c r="D2021" t="str">
        <f>"J98WJP400"</f>
        <v>J98WJP400</v>
      </c>
      <c r="E2021" s="1">
        <v>35643</v>
      </c>
      <c r="F2021" t="s">
        <v>10877</v>
      </c>
      <c r="G2021" t="e">
        <f>INDEX(#REF!,MATCH(P2021,#REF!,0),1)</f>
        <v>#REF!</v>
      </c>
      <c r="H2021" t="s">
        <v>10878</v>
      </c>
      <c r="J2021" t="s">
        <v>1288</v>
      </c>
      <c r="K2021" t="s">
        <v>425</v>
      </c>
      <c r="L2021" t="str">
        <f>"05602-9165"</f>
        <v>05602-9165</v>
      </c>
      <c r="M2021" t="s">
        <v>10879</v>
      </c>
      <c r="N2021">
        <v>2108</v>
      </c>
      <c r="O2021" t="s">
        <v>1282</v>
      </c>
      <c r="P2021">
        <v>343</v>
      </c>
      <c r="Q2021" t="s">
        <v>1286</v>
      </c>
      <c r="R2021" t="s">
        <v>3751</v>
      </c>
      <c r="S2021" t="s">
        <v>3752</v>
      </c>
      <c r="T2021" t="s">
        <v>2214</v>
      </c>
      <c r="U2021" t="s">
        <v>2552</v>
      </c>
      <c r="V2021" t="s">
        <v>1824</v>
      </c>
      <c r="AA2021" t="s">
        <v>58</v>
      </c>
      <c r="AG2021" t="s">
        <v>48</v>
      </c>
    </row>
    <row r="2022" spans="1:33" x14ac:dyDescent="0.3">
      <c r="A2022">
        <v>37378</v>
      </c>
      <c r="B2022" t="s">
        <v>10880</v>
      </c>
      <c r="C2022" t="str">
        <f>"1100004076502"</f>
        <v>1100004076502</v>
      </c>
      <c r="D2022" t="str">
        <f>"39YD8GB00"</f>
        <v>39YD8GB00</v>
      </c>
      <c r="E2022" s="1">
        <v>35674</v>
      </c>
      <c r="F2022" t="s">
        <v>10881</v>
      </c>
      <c r="G2022" t="e">
        <f>INDEX(#REF!,MATCH(P2022,#REF!,0),1)</f>
        <v>#REF!</v>
      </c>
      <c r="H2022" t="s">
        <v>10882</v>
      </c>
      <c r="J2022" t="s">
        <v>393</v>
      </c>
      <c r="K2022" t="s">
        <v>342</v>
      </c>
      <c r="L2022">
        <v>60201</v>
      </c>
      <c r="M2022" t="s">
        <v>10883</v>
      </c>
      <c r="N2022">
        <v>90</v>
      </c>
      <c r="O2022" t="s">
        <v>391</v>
      </c>
      <c r="P2022">
        <v>4168342</v>
      </c>
      <c r="Q2022" t="s">
        <v>442</v>
      </c>
      <c r="R2022" t="s">
        <v>2550</v>
      </c>
      <c r="S2022" t="s">
        <v>2551</v>
      </c>
      <c r="T2022" t="s">
        <v>2277</v>
      </c>
      <c r="U2022" t="s">
        <v>5497</v>
      </c>
      <c r="V2022" t="s">
        <v>1824</v>
      </c>
      <c r="AA2022" t="s">
        <v>119</v>
      </c>
      <c r="AE2022" t="s">
        <v>120</v>
      </c>
    </row>
    <row r="2023" spans="1:33" x14ac:dyDescent="0.3">
      <c r="A2023">
        <v>37380</v>
      </c>
      <c r="B2023" t="s">
        <v>10884</v>
      </c>
      <c r="C2023" t="str">
        <f>""</f>
        <v/>
      </c>
      <c r="D2023" t="str">
        <f>"75D9L8R00"</f>
        <v>75D9L8R00</v>
      </c>
      <c r="E2023" s="1">
        <v>35674</v>
      </c>
      <c r="F2023" t="s">
        <v>10885</v>
      </c>
      <c r="G2023" t="e">
        <f>INDEX(#REF!,MATCH(P2023,#REF!,0),1)</f>
        <v>#REF!</v>
      </c>
      <c r="H2023" t="s">
        <v>10886</v>
      </c>
      <c r="J2023" t="s">
        <v>10887</v>
      </c>
      <c r="K2023" t="s">
        <v>342</v>
      </c>
      <c r="L2023" t="s">
        <v>10888</v>
      </c>
      <c r="M2023" t="s">
        <v>10889</v>
      </c>
      <c r="N2023">
        <v>90</v>
      </c>
      <c r="O2023" t="s">
        <v>391</v>
      </c>
      <c r="P2023">
        <v>4168342</v>
      </c>
      <c r="Q2023" t="s">
        <v>442</v>
      </c>
      <c r="R2023" t="s">
        <v>2550</v>
      </c>
      <c r="S2023" t="s">
        <v>2551</v>
      </c>
      <c r="T2023" t="s">
        <v>2277</v>
      </c>
      <c r="U2023" t="s">
        <v>5622</v>
      </c>
      <c r="V2023" t="s">
        <v>1824</v>
      </c>
      <c r="AA2023" t="s">
        <v>119</v>
      </c>
      <c r="AE2023" t="s">
        <v>120</v>
      </c>
    </row>
    <row r="2024" spans="1:33" x14ac:dyDescent="0.3">
      <c r="A2024">
        <v>37396</v>
      </c>
      <c r="B2024" t="s">
        <v>10890</v>
      </c>
      <c r="C2024" t="str">
        <f>"1100004760531"</f>
        <v>1100004760531</v>
      </c>
      <c r="D2024" t="str">
        <f>""</f>
        <v/>
      </c>
      <c r="E2024" s="1">
        <v>41093</v>
      </c>
      <c r="F2024" t="s">
        <v>10891</v>
      </c>
      <c r="G2024" t="e">
        <f>INDEX(#REF!,MATCH(P2024,#REF!,0),1)</f>
        <v>#REF!</v>
      </c>
      <c r="H2024" t="s">
        <v>10892</v>
      </c>
      <c r="J2024" t="s">
        <v>10893</v>
      </c>
      <c r="K2024" t="s">
        <v>167</v>
      </c>
      <c r="L2024" t="s">
        <v>10894</v>
      </c>
      <c r="M2024" t="s">
        <v>10895</v>
      </c>
      <c r="N2024">
        <v>37396</v>
      </c>
      <c r="O2024" t="s">
        <v>10891</v>
      </c>
      <c r="P2024">
        <v>37396</v>
      </c>
      <c r="Q2024" t="s">
        <v>10891</v>
      </c>
      <c r="R2024" t="s">
        <v>376</v>
      </c>
      <c r="S2024" t="s">
        <v>377</v>
      </c>
      <c r="T2024" t="s">
        <v>44</v>
      </c>
      <c r="U2024" t="s">
        <v>81</v>
      </c>
      <c r="AA2024" t="s">
        <v>119</v>
      </c>
      <c r="AE2024" t="s">
        <v>120</v>
      </c>
    </row>
    <row r="2025" spans="1:33" x14ac:dyDescent="0.3">
      <c r="A2025">
        <v>37420</v>
      </c>
      <c r="B2025" t="s">
        <v>10896</v>
      </c>
      <c r="C2025" t="str">
        <f>"1100003298233"</f>
        <v>1100003298233</v>
      </c>
      <c r="D2025" t="str">
        <f>""</f>
        <v/>
      </c>
      <c r="E2025" s="1">
        <v>42583</v>
      </c>
      <c r="F2025" t="s">
        <v>10897</v>
      </c>
      <c r="G2025" t="e">
        <f>INDEX(#REF!,MATCH(P2025,#REF!,0),1)</f>
        <v>#REF!</v>
      </c>
      <c r="H2025" t="s">
        <v>10898</v>
      </c>
      <c r="J2025" t="s">
        <v>10899</v>
      </c>
      <c r="K2025" t="s">
        <v>342</v>
      </c>
      <c r="L2025">
        <v>60411</v>
      </c>
      <c r="M2025" t="s">
        <v>3226</v>
      </c>
      <c r="N2025">
        <v>843565</v>
      </c>
      <c r="O2025" t="s">
        <v>8085</v>
      </c>
      <c r="P2025">
        <v>843565</v>
      </c>
      <c r="Q2025" t="s">
        <v>8085</v>
      </c>
      <c r="R2025" t="s">
        <v>492</v>
      </c>
      <c r="S2025" t="s">
        <v>493</v>
      </c>
      <c r="T2025" t="s">
        <v>44</v>
      </c>
      <c r="U2025" t="s">
        <v>45</v>
      </c>
    </row>
    <row r="2026" spans="1:33" x14ac:dyDescent="0.3">
      <c r="A2026">
        <v>37422</v>
      </c>
      <c r="B2026" t="s">
        <v>10900</v>
      </c>
      <c r="C2026" t="str">
        <f>"1100003443688"</f>
        <v>1100003443688</v>
      </c>
      <c r="D2026" t="str">
        <f>"741630L00"</f>
        <v>741630L00</v>
      </c>
      <c r="E2026" s="1">
        <v>42583</v>
      </c>
      <c r="F2026" t="s">
        <v>10901</v>
      </c>
      <c r="G2026" t="e">
        <f>INDEX(#REF!,MATCH(P2026,#REF!,0),1)</f>
        <v>#REF!</v>
      </c>
      <c r="H2026" t="s">
        <v>10902</v>
      </c>
      <c r="J2026" t="s">
        <v>2250</v>
      </c>
      <c r="K2026" t="s">
        <v>676</v>
      </c>
      <c r="L2026" t="s">
        <v>10903</v>
      </c>
      <c r="M2026" t="s">
        <v>10904</v>
      </c>
      <c r="N2026">
        <v>2449851</v>
      </c>
      <c r="O2026" t="s">
        <v>6634</v>
      </c>
      <c r="P2026">
        <v>26455</v>
      </c>
      <c r="Q2026" t="s">
        <v>8552</v>
      </c>
      <c r="R2026" t="s">
        <v>679</v>
      </c>
      <c r="S2026" t="s">
        <v>680</v>
      </c>
      <c r="T2026" t="s">
        <v>44</v>
      </c>
      <c r="U2026" t="s">
        <v>45</v>
      </c>
      <c r="AE2026" t="s">
        <v>72</v>
      </c>
      <c r="AG2026" t="s">
        <v>48</v>
      </c>
    </row>
    <row r="2027" spans="1:33" x14ac:dyDescent="0.3">
      <c r="A2027">
        <v>37464</v>
      </c>
      <c r="B2027" t="s">
        <v>10905</v>
      </c>
      <c r="C2027" t="str">
        <f>"1100002386009"</f>
        <v>1100002386009</v>
      </c>
      <c r="D2027" t="str">
        <f>"A113QHM00"</f>
        <v>A113QHM00</v>
      </c>
      <c r="E2027" s="1">
        <v>35674</v>
      </c>
      <c r="F2027" t="s">
        <v>10906</v>
      </c>
      <c r="G2027" t="e">
        <f>INDEX(#REF!,MATCH(P2027,#REF!,0),1)</f>
        <v>#REF!</v>
      </c>
      <c r="H2027" t="s">
        <v>10907</v>
      </c>
      <c r="J2027" t="s">
        <v>439</v>
      </c>
      <c r="K2027" t="s">
        <v>342</v>
      </c>
      <c r="L2027">
        <v>60025</v>
      </c>
      <c r="M2027" t="s">
        <v>10908</v>
      </c>
      <c r="N2027">
        <v>90</v>
      </c>
      <c r="O2027" t="s">
        <v>391</v>
      </c>
      <c r="P2027">
        <v>4168342</v>
      </c>
      <c r="Q2027" t="s">
        <v>442</v>
      </c>
      <c r="R2027" t="s">
        <v>2550</v>
      </c>
      <c r="S2027" t="s">
        <v>2551</v>
      </c>
      <c r="T2027" t="s">
        <v>2277</v>
      </c>
      <c r="U2027" t="s">
        <v>5622</v>
      </c>
      <c r="V2027" t="s">
        <v>1824</v>
      </c>
      <c r="AA2027" t="s">
        <v>119</v>
      </c>
      <c r="AE2027" t="s">
        <v>120</v>
      </c>
    </row>
    <row r="2028" spans="1:33" x14ac:dyDescent="0.3">
      <c r="A2028">
        <v>37465</v>
      </c>
      <c r="B2028" t="s">
        <v>10909</v>
      </c>
      <c r="C2028" t="str">
        <f>"1100005106499"</f>
        <v>1100005106499</v>
      </c>
      <c r="D2028" t="str">
        <f>"L6GE6A100"</f>
        <v>L6GE6A100</v>
      </c>
      <c r="E2028" s="1">
        <v>35674</v>
      </c>
      <c r="F2028" t="s">
        <v>10910</v>
      </c>
      <c r="G2028" t="e">
        <f>INDEX(#REF!,MATCH(P2028,#REF!,0),1)</f>
        <v>#REF!</v>
      </c>
      <c r="H2028" t="s">
        <v>10911</v>
      </c>
      <c r="J2028" t="s">
        <v>148</v>
      </c>
      <c r="K2028" t="s">
        <v>149</v>
      </c>
      <c r="L2028" t="s">
        <v>150</v>
      </c>
      <c r="M2028" t="s">
        <v>10912</v>
      </c>
      <c r="N2028">
        <v>37465</v>
      </c>
      <c r="O2028" t="s">
        <v>10910</v>
      </c>
      <c r="P2028">
        <v>37465</v>
      </c>
      <c r="Q2028" t="s">
        <v>10910</v>
      </c>
      <c r="R2028" t="s">
        <v>3101</v>
      </c>
      <c r="S2028" t="s">
        <v>3102</v>
      </c>
      <c r="T2028" t="s">
        <v>2277</v>
      </c>
      <c r="U2028" t="s">
        <v>4419</v>
      </c>
      <c r="V2028" t="s">
        <v>2215</v>
      </c>
      <c r="AD2028" t="s">
        <v>59</v>
      </c>
    </row>
    <row r="2029" spans="1:33" x14ac:dyDescent="0.3">
      <c r="A2029">
        <v>37467</v>
      </c>
      <c r="B2029" t="s">
        <v>10913</v>
      </c>
      <c r="C2029" t="str">
        <f>""</f>
        <v/>
      </c>
      <c r="D2029" t="str">
        <f>""</f>
        <v/>
      </c>
      <c r="E2029" s="1">
        <v>35674</v>
      </c>
      <c r="F2029" t="s">
        <v>10914</v>
      </c>
      <c r="G2029" t="e">
        <f>INDEX(#REF!,MATCH(P2029,#REF!,0),1)</f>
        <v>#REF!</v>
      </c>
      <c r="H2029" t="s">
        <v>10915</v>
      </c>
      <c r="J2029" t="s">
        <v>551</v>
      </c>
      <c r="K2029" t="s">
        <v>342</v>
      </c>
      <c r="L2029">
        <v>60035</v>
      </c>
      <c r="M2029" t="s">
        <v>10916</v>
      </c>
      <c r="N2029">
        <v>90</v>
      </c>
      <c r="O2029" t="s">
        <v>391</v>
      </c>
      <c r="P2029">
        <v>4168342</v>
      </c>
      <c r="Q2029" t="s">
        <v>442</v>
      </c>
      <c r="R2029" t="s">
        <v>2550</v>
      </c>
      <c r="S2029" t="s">
        <v>2551</v>
      </c>
      <c r="T2029" t="s">
        <v>2277</v>
      </c>
      <c r="U2029" t="s">
        <v>9526</v>
      </c>
      <c r="V2029" t="s">
        <v>1824</v>
      </c>
      <c r="AA2029" t="s">
        <v>119</v>
      </c>
      <c r="AE2029" t="s">
        <v>120</v>
      </c>
    </row>
    <row r="2030" spans="1:33" x14ac:dyDescent="0.3">
      <c r="A2030">
        <v>37473</v>
      </c>
      <c r="B2030" t="s">
        <v>10917</v>
      </c>
      <c r="C2030" t="str">
        <f>""</f>
        <v/>
      </c>
      <c r="D2030" t="str">
        <f>"AGKD7NH00"</f>
        <v>AGKD7NH00</v>
      </c>
      <c r="E2030" s="1">
        <v>35674</v>
      </c>
      <c r="F2030" t="s">
        <v>10918</v>
      </c>
      <c r="G2030" t="e">
        <f>INDEX(#REF!,MATCH(P2030,#REF!,0),1)</f>
        <v>#REF!</v>
      </c>
      <c r="H2030" t="s">
        <v>10919</v>
      </c>
      <c r="J2030" t="s">
        <v>975</v>
      </c>
      <c r="K2030" t="s">
        <v>167</v>
      </c>
      <c r="L2030">
        <v>32308</v>
      </c>
      <c r="M2030" t="s">
        <v>10920</v>
      </c>
      <c r="N2030">
        <v>253</v>
      </c>
      <c r="O2030" t="s">
        <v>973</v>
      </c>
      <c r="P2030">
        <v>253</v>
      </c>
      <c r="Q2030" t="s">
        <v>973</v>
      </c>
      <c r="R2030" t="s">
        <v>3751</v>
      </c>
      <c r="S2030" t="s">
        <v>3752</v>
      </c>
      <c r="T2030" t="s">
        <v>2277</v>
      </c>
      <c r="U2030" t="s">
        <v>2278</v>
      </c>
      <c r="V2030" t="s">
        <v>1824</v>
      </c>
      <c r="AA2030" t="s">
        <v>93</v>
      </c>
      <c r="AB2030" t="s">
        <v>105</v>
      </c>
    </row>
    <row r="2031" spans="1:33" x14ac:dyDescent="0.3">
      <c r="A2031">
        <v>37497</v>
      </c>
      <c r="B2031" t="s">
        <v>10921</v>
      </c>
      <c r="C2031" t="str">
        <f>"1100005468801"</f>
        <v>1100005468801</v>
      </c>
      <c r="D2031" t="str">
        <f>"5LY6J1E00"</f>
        <v>5LY6J1E00</v>
      </c>
      <c r="E2031" s="1">
        <v>30510</v>
      </c>
      <c r="F2031" t="s">
        <v>128</v>
      </c>
      <c r="G2031" t="e">
        <f>INDEX(#REF!,MATCH(P2031,#REF!,0),1)</f>
        <v>#REF!</v>
      </c>
      <c r="H2031" t="s">
        <v>10922</v>
      </c>
      <c r="J2031" t="s">
        <v>770</v>
      </c>
      <c r="K2031" t="s">
        <v>167</v>
      </c>
      <c r="L2031" t="s">
        <v>10923</v>
      </c>
      <c r="M2031" t="s">
        <v>10924</v>
      </c>
      <c r="N2031">
        <v>37497</v>
      </c>
      <c r="O2031" t="s">
        <v>128</v>
      </c>
      <c r="P2031">
        <v>37497</v>
      </c>
      <c r="Q2031" t="s">
        <v>128</v>
      </c>
      <c r="R2031" t="s">
        <v>129</v>
      </c>
      <c r="S2031" t="s">
        <v>130</v>
      </c>
      <c r="T2031" t="s">
        <v>44</v>
      </c>
      <c r="U2031" t="s">
        <v>81</v>
      </c>
    </row>
    <row r="2032" spans="1:33" x14ac:dyDescent="0.3">
      <c r="A2032">
        <v>37567</v>
      </c>
      <c r="B2032" t="s">
        <v>10925</v>
      </c>
      <c r="C2032" t="str">
        <f>"1100003166969"</f>
        <v>1100003166969</v>
      </c>
      <c r="D2032" t="str">
        <f>""</f>
        <v/>
      </c>
      <c r="E2032" s="1">
        <v>42678</v>
      </c>
      <c r="F2032" t="s">
        <v>10926</v>
      </c>
      <c r="G2032" t="e">
        <f>INDEX(#REF!,MATCH(P2032,#REF!,0),1)</f>
        <v>#REF!</v>
      </c>
      <c r="H2032" t="s">
        <v>10927</v>
      </c>
      <c r="J2032" t="s">
        <v>10928</v>
      </c>
      <c r="K2032" t="s">
        <v>2244</v>
      </c>
      <c r="L2032" t="s">
        <v>10929</v>
      </c>
      <c r="M2032" t="s">
        <v>10930</v>
      </c>
      <c r="N2032">
        <v>37277</v>
      </c>
      <c r="O2032" t="s">
        <v>2301</v>
      </c>
      <c r="P2032">
        <v>2626447</v>
      </c>
      <c r="Q2032" t="s">
        <v>10931</v>
      </c>
      <c r="R2032" t="s">
        <v>4102</v>
      </c>
      <c r="S2032" t="s">
        <v>4103</v>
      </c>
      <c r="T2032" t="s">
        <v>2277</v>
      </c>
      <c r="U2032" t="s">
        <v>5622</v>
      </c>
      <c r="V2032" t="s">
        <v>1824</v>
      </c>
      <c r="AA2032" t="s">
        <v>119</v>
      </c>
      <c r="AG2032" t="s">
        <v>48</v>
      </c>
    </row>
    <row r="2033" spans="1:33" x14ac:dyDescent="0.3">
      <c r="A2033">
        <v>37568</v>
      </c>
      <c r="B2033" t="s">
        <v>10932</v>
      </c>
      <c r="C2033" t="str">
        <f>"1100002408527"</f>
        <v>1100002408527</v>
      </c>
      <c r="D2033" t="str">
        <f>""</f>
        <v/>
      </c>
      <c r="E2033" s="1">
        <v>42826</v>
      </c>
      <c r="F2033" t="s">
        <v>10933</v>
      </c>
      <c r="G2033" t="e">
        <f>INDEX(#REF!,MATCH(P2033,#REF!,0),1)</f>
        <v>#REF!</v>
      </c>
      <c r="H2033" t="s">
        <v>10934</v>
      </c>
      <c r="J2033" t="s">
        <v>2298</v>
      </c>
      <c r="K2033" t="s">
        <v>2244</v>
      </c>
      <c r="L2033" t="s">
        <v>10935</v>
      </c>
      <c r="M2033" t="s">
        <v>10936</v>
      </c>
      <c r="N2033">
        <v>37277</v>
      </c>
      <c r="O2033" t="s">
        <v>2301</v>
      </c>
      <c r="P2033">
        <v>37279</v>
      </c>
      <c r="Q2033" t="s">
        <v>6252</v>
      </c>
      <c r="R2033" t="s">
        <v>4102</v>
      </c>
      <c r="S2033" t="s">
        <v>4103</v>
      </c>
      <c r="T2033" t="s">
        <v>2277</v>
      </c>
      <c r="U2033" t="s">
        <v>3103</v>
      </c>
      <c r="V2033" t="s">
        <v>1824</v>
      </c>
      <c r="AA2033" t="s">
        <v>119</v>
      </c>
      <c r="AG2033" t="s">
        <v>48</v>
      </c>
    </row>
    <row r="2034" spans="1:33" x14ac:dyDescent="0.3">
      <c r="A2034">
        <v>37569</v>
      </c>
      <c r="B2034" t="s">
        <v>10937</v>
      </c>
      <c r="C2034" t="str">
        <f>"1100004838377"</f>
        <v>1100004838377</v>
      </c>
      <c r="D2034" t="str">
        <f>""</f>
        <v/>
      </c>
      <c r="E2034" s="1">
        <v>42678</v>
      </c>
      <c r="F2034" t="s">
        <v>10938</v>
      </c>
      <c r="G2034" t="e">
        <f>INDEX(#REF!,MATCH(P2034,#REF!,0),1)</f>
        <v>#REF!</v>
      </c>
      <c r="H2034" t="s">
        <v>10939</v>
      </c>
      <c r="J2034" t="s">
        <v>2298</v>
      </c>
      <c r="K2034" t="s">
        <v>2244</v>
      </c>
      <c r="L2034" t="s">
        <v>10940</v>
      </c>
      <c r="M2034" t="s">
        <v>3226</v>
      </c>
      <c r="N2034">
        <v>37277</v>
      </c>
      <c r="O2034" t="s">
        <v>2301</v>
      </c>
      <c r="P2034">
        <v>2626447</v>
      </c>
      <c r="Q2034" t="s">
        <v>10931</v>
      </c>
      <c r="R2034" t="s">
        <v>4102</v>
      </c>
      <c r="S2034" t="s">
        <v>4103</v>
      </c>
      <c r="T2034" t="s">
        <v>2277</v>
      </c>
      <c r="U2034" t="s">
        <v>5622</v>
      </c>
      <c r="V2034" t="s">
        <v>1824</v>
      </c>
      <c r="AA2034" t="s">
        <v>119</v>
      </c>
      <c r="AG2034" t="s">
        <v>48</v>
      </c>
    </row>
    <row r="2035" spans="1:33" x14ac:dyDescent="0.3">
      <c r="A2035">
        <v>37570</v>
      </c>
      <c r="B2035" t="s">
        <v>10941</v>
      </c>
      <c r="C2035" t="str">
        <f>"1100003287886"</f>
        <v>1100003287886</v>
      </c>
      <c r="D2035" t="str">
        <f>"DGWYM4D00"</f>
        <v>DGWYM4D00</v>
      </c>
      <c r="E2035" s="1">
        <v>42678</v>
      </c>
      <c r="F2035" t="s">
        <v>10942</v>
      </c>
      <c r="G2035" t="e">
        <f>INDEX(#REF!,MATCH(P2035,#REF!,0),1)</f>
        <v>#REF!</v>
      </c>
      <c r="H2035" t="s">
        <v>10943</v>
      </c>
      <c r="J2035" t="s">
        <v>10944</v>
      </c>
      <c r="K2035" t="s">
        <v>2244</v>
      </c>
      <c r="L2035" t="s">
        <v>10945</v>
      </c>
      <c r="M2035" t="s">
        <v>10946</v>
      </c>
      <c r="N2035">
        <v>37277</v>
      </c>
      <c r="O2035" t="s">
        <v>2301</v>
      </c>
      <c r="P2035">
        <v>2626447</v>
      </c>
      <c r="Q2035" t="s">
        <v>10931</v>
      </c>
      <c r="R2035" t="s">
        <v>4102</v>
      </c>
      <c r="S2035" t="s">
        <v>4103</v>
      </c>
      <c r="T2035" t="s">
        <v>2277</v>
      </c>
      <c r="U2035" t="s">
        <v>5622</v>
      </c>
      <c r="V2035" t="s">
        <v>1824</v>
      </c>
      <c r="AA2035" t="s">
        <v>119</v>
      </c>
      <c r="AE2035" t="s">
        <v>60</v>
      </c>
      <c r="AG2035" t="s">
        <v>48</v>
      </c>
    </row>
    <row r="2036" spans="1:33" x14ac:dyDescent="0.3">
      <c r="A2036">
        <v>37571</v>
      </c>
      <c r="B2036" t="s">
        <v>10947</v>
      </c>
      <c r="C2036" t="str">
        <f>"1100003750359"</f>
        <v>1100003750359</v>
      </c>
      <c r="D2036" t="str">
        <f>""</f>
        <v/>
      </c>
      <c r="E2036" s="1">
        <v>42678</v>
      </c>
      <c r="F2036" t="s">
        <v>10948</v>
      </c>
      <c r="G2036" t="e">
        <f>INDEX(#REF!,MATCH(P2036,#REF!,0),1)</f>
        <v>#REF!</v>
      </c>
      <c r="H2036" t="s">
        <v>10949</v>
      </c>
      <c r="J2036" t="s">
        <v>2298</v>
      </c>
      <c r="K2036" t="s">
        <v>2244</v>
      </c>
      <c r="L2036" t="s">
        <v>10950</v>
      </c>
      <c r="M2036" t="s">
        <v>3226</v>
      </c>
      <c r="N2036">
        <v>37277</v>
      </c>
      <c r="O2036" t="s">
        <v>2301</v>
      </c>
      <c r="P2036">
        <v>2626447</v>
      </c>
      <c r="Q2036" t="s">
        <v>10931</v>
      </c>
      <c r="R2036" t="s">
        <v>4102</v>
      </c>
      <c r="S2036" t="s">
        <v>4103</v>
      </c>
      <c r="T2036" t="s">
        <v>2277</v>
      </c>
      <c r="U2036" t="s">
        <v>5622</v>
      </c>
      <c r="V2036" t="s">
        <v>1824</v>
      </c>
      <c r="AA2036" t="s">
        <v>119</v>
      </c>
      <c r="AG2036" t="s">
        <v>48</v>
      </c>
    </row>
    <row r="2037" spans="1:33" x14ac:dyDescent="0.3">
      <c r="A2037">
        <v>37572</v>
      </c>
      <c r="B2037" t="s">
        <v>10951</v>
      </c>
      <c r="C2037" t="str">
        <f>"1100003025662"</f>
        <v>1100003025662</v>
      </c>
      <c r="D2037" t="str">
        <f>""</f>
        <v/>
      </c>
      <c r="E2037" s="1">
        <v>42678</v>
      </c>
      <c r="F2037" t="s">
        <v>10952</v>
      </c>
      <c r="G2037" t="e">
        <f>INDEX(#REF!,MATCH(P2037,#REF!,0),1)</f>
        <v>#REF!</v>
      </c>
      <c r="H2037" t="s">
        <v>10953</v>
      </c>
      <c r="J2037" t="s">
        <v>2298</v>
      </c>
      <c r="K2037" t="s">
        <v>2244</v>
      </c>
      <c r="L2037" t="s">
        <v>10950</v>
      </c>
      <c r="M2037" t="s">
        <v>10936</v>
      </c>
      <c r="N2037">
        <v>37277</v>
      </c>
      <c r="O2037" t="s">
        <v>2301</v>
      </c>
      <c r="P2037">
        <v>2626447</v>
      </c>
      <c r="Q2037" t="s">
        <v>10931</v>
      </c>
      <c r="R2037" t="s">
        <v>4102</v>
      </c>
      <c r="S2037" t="s">
        <v>4103</v>
      </c>
      <c r="T2037" t="s">
        <v>2277</v>
      </c>
      <c r="U2037" t="s">
        <v>3103</v>
      </c>
      <c r="V2037" t="s">
        <v>1824</v>
      </c>
      <c r="AA2037" t="s">
        <v>119</v>
      </c>
      <c r="AG2037" t="s">
        <v>48</v>
      </c>
    </row>
    <row r="2038" spans="1:33" x14ac:dyDescent="0.3">
      <c r="A2038">
        <v>37573</v>
      </c>
      <c r="B2038" t="s">
        <v>10954</v>
      </c>
      <c r="C2038" t="str">
        <f>"1100004096050"</f>
        <v>1100004096050</v>
      </c>
      <c r="D2038" t="str">
        <f>"D2NC5N600"</f>
        <v>D2NC5N600</v>
      </c>
      <c r="E2038" s="1">
        <v>42826</v>
      </c>
      <c r="F2038" t="s">
        <v>10955</v>
      </c>
      <c r="G2038" t="e">
        <f>INDEX(#REF!,MATCH(P2038,#REF!,0),1)</f>
        <v>#REF!</v>
      </c>
      <c r="H2038" t="s">
        <v>10956</v>
      </c>
      <c r="J2038" t="s">
        <v>2298</v>
      </c>
      <c r="K2038" t="s">
        <v>2244</v>
      </c>
      <c r="L2038" t="s">
        <v>10957</v>
      </c>
      <c r="M2038" t="s">
        <v>10958</v>
      </c>
      <c r="N2038">
        <v>37277</v>
      </c>
      <c r="O2038" t="s">
        <v>2301</v>
      </c>
      <c r="P2038">
        <v>37279</v>
      </c>
      <c r="Q2038" t="s">
        <v>6252</v>
      </c>
      <c r="R2038" t="s">
        <v>4102</v>
      </c>
      <c r="S2038" t="s">
        <v>4103</v>
      </c>
      <c r="T2038" t="s">
        <v>2277</v>
      </c>
      <c r="U2038" t="s">
        <v>3103</v>
      </c>
      <c r="V2038" t="s">
        <v>1824</v>
      </c>
      <c r="AA2038" t="s">
        <v>119</v>
      </c>
      <c r="AE2038" t="s">
        <v>60</v>
      </c>
      <c r="AG2038" t="s">
        <v>48</v>
      </c>
    </row>
    <row r="2039" spans="1:33" x14ac:dyDescent="0.3">
      <c r="A2039">
        <v>37574</v>
      </c>
      <c r="B2039" t="s">
        <v>10959</v>
      </c>
      <c r="C2039" t="str">
        <f>"1100003972027"</f>
        <v>1100003972027</v>
      </c>
      <c r="D2039" t="str">
        <f>""</f>
        <v/>
      </c>
      <c r="E2039" s="1">
        <v>42678</v>
      </c>
      <c r="F2039" t="s">
        <v>10960</v>
      </c>
      <c r="G2039" t="e">
        <f>INDEX(#REF!,MATCH(P2039,#REF!,0),1)</f>
        <v>#REF!</v>
      </c>
      <c r="H2039" t="s">
        <v>10961</v>
      </c>
      <c r="J2039" t="s">
        <v>2298</v>
      </c>
      <c r="K2039" t="s">
        <v>2244</v>
      </c>
      <c r="L2039" t="s">
        <v>10962</v>
      </c>
      <c r="M2039" t="s">
        <v>10963</v>
      </c>
      <c r="N2039">
        <v>37277</v>
      </c>
      <c r="O2039" t="s">
        <v>2301</v>
      </c>
      <c r="P2039">
        <v>37279</v>
      </c>
      <c r="Q2039" t="s">
        <v>6252</v>
      </c>
      <c r="R2039" t="s">
        <v>4102</v>
      </c>
      <c r="S2039" t="s">
        <v>4103</v>
      </c>
      <c r="T2039" t="s">
        <v>2277</v>
      </c>
      <c r="U2039" t="s">
        <v>2278</v>
      </c>
      <c r="V2039" t="s">
        <v>1824</v>
      </c>
      <c r="AA2039" t="s">
        <v>119</v>
      </c>
      <c r="AG2039" t="s">
        <v>48</v>
      </c>
    </row>
    <row r="2040" spans="1:33" x14ac:dyDescent="0.3">
      <c r="A2040">
        <v>37575</v>
      </c>
      <c r="B2040" t="s">
        <v>10964</v>
      </c>
      <c r="C2040" t="str">
        <f>"1100005914155"</f>
        <v>1100005914155</v>
      </c>
      <c r="D2040" t="str">
        <f>""</f>
        <v/>
      </c>
      <c r="E2040" s="1">
        <v>42678</v>
      </c>
      <c r="F2040" t="s">
        <v>10965</v>
      </c>
      <c r="G2040" t="e">
        <f>INDEX(#REF!,MATCH(P2040,#REF!,0),1)</f>
        <v>#REF!</v>
      </c>
      <c r="H2040" t="s">
        <v>10966</v>
      </c>
      <c r="J2040" t="s">
        <v>2298</v>
      </c>
      <c r="K2040" t="s">
        <v>2244</v>
      </c>
      <c r="L2040">
        <v>14620</v>
      </c>
      <c r="M2040" t="s">
        <v>10967</v>
      </c>
      <c r="N2040">
        <v>37277</v>
      </c>
      <c r="O2040" t="s">
        <v>2301</v>
      </c>
      <c r="P2040">
        <v>618</v>
      </c>
      <c r="Q2040" t="s">
        <v>2296</v>
      </c>
      <c r="R2040" t="s">
        <v>1821</v>
      </c>
      <c r="S2040" t="s">
        <v>1822</v>
      </c>
      <c r="T2040" t="s">
        <v>2277</v>
      </c>
      <c r="U2040" t="s">
        <v>5622</v>
      </c>
      <c r="V2040" t="s">
        <v>1824</v>
      </c>
      <c r="AA2040" t="s">
        <v>119</v>
      </c>
    </row>
    <row r="2041" spans="1:33" x14ac:dyDescent="0.3">
      <c r="A2041">
        <v>37576</v>
      </c>
      <c r="B2041" t="s">
        <v>10968</v>
      </c>
      <c r="C2041" t="str">
        <f>"1100003770654"</f>
        <v>1100003770654</v>
      </c>
      <c r="D2041" t="str">
        <f>""</f>
        <v/>
      </c>
      <c r="E2041" s="1">
        <v>42678</v>
      </c>
      <c r="F2041" t="s">
        <v>10969</v>
      </c>
      <c r="G2041" t="e">
        <f>INDEX(#REF!,MATCH(P2041,#REF!,0),1)</f>
        <v>#REF!</v>
      </c>
      <c r="H2041" t="s">
        <v>10970</v>
      </c>
      <c r="J2041" t="s">
        <v>7009</v>
      </c>
      <c r="K2041" t="s">
        <v>2244</v>
      </c>
      <c r="L2041" t="s">
        <v>10971</v>
      </c>
      <c r="M2041" t="s">
        <v>10972</v>
      </c>
      <c r="N2041">
        <v>37277</v>
      </c>
      <c r="O2041" t="s">
        <v>2301</v>
      </c>
      <c r="P2041">
        <v>2626447</v>
      </c>
      <c r="Q2041" t="s">
        <v>10931</v>
      </c>
      <c r="R2041" t="s">
        <v>4102</v>
      </c>
      <c r="S2041" t="s">
        <v>4103</v>
      </c>
      <c r="T2041" t="s">
        <v>2277</v>
      </c>
      <c r="U2041" t="s">
        <v>5622</v>
      </c>
      <c r="V2041" t="s">
        <v>1824</v>
      </c>
      <c r="AA2041" t="s">
        <v>119</v>
      </c>
      <c r="AG2041" t="s">
        <v>48</v>
      </c>
    </row>
    <row r="2042" spans="1:33" x14ac:dyDescent="0.3">
      <c r="A2042">
        <v>37577</v>
      </c>
      <c r="B2042" t="s">
        <v>10973</v>
      </c>
      <c r="C2042" t="str">
        <f>""</f>
        <v/>
      </c>
      <c r="D2042" t="str">
        <f>""</f>
        <v/>
      </c>
      <c r="E2042" s="1">
        <v>42678</v>
      </c>
      <c r="F2042" t="s">
        <v>10974</v>
      </c>
      <c r="G2042" t="e">
        <f>INDEX(#REF!,MATCH(P2042,#REF!,0),1)</f>
        <v>#REF!</v>
      </c>
      <c r="H2042" t="s">
        <v>10975</v>
      </c>
      <c r="J2042" t="s">
        <v>10976</v>
      </c>
      <c r="K2042" t="s">
        <v>2244</v>
      </c>
      <c r="L2042">
        <v>14502</v>
      </c>
      <c r="M2042" t="s">
        <v>10977</v>
      </c>
      <c r="N2042">
        <v>37277</v>
      </c>
      <c r="O2042" t="s">
        <v>2301</v>
      </c>
      <c r="P2042">
        <v>37279</v>
      </c>
      <c r="Q2042" t="s">
        <v>6252</v>
      </c>
      <c r="R2042" t="s">
        <v>4102</v>
      </c>
      <c r="S2042" t="s">
        <v>4103</v>
      </c>
      <c r="T2042" t="s">
        <v>2277</v>
      </c>
      <c r="U2042" t="s">
        <v>5622</v>
      </c>
      <c r="V2042" t="s">
        <v>1824</v>
      </c>
      <c r="AA2042" t="s">
        <v>119</v>
      </c>
      <c r="AG2042" t="s">
        <v>48</v>
      </c>
    </row>
    <row r="2043" spans="1:33" x14ac:dyDescent="0.3">
      <c r="A2043">
        <v>37578</v>
      </c>
      <c r="B2043" t="s">
        <v>10978</v>
      </c>
      <c r="C2043" t="str">
        <f>"1100003397899"</f>
        <v>1100003397899</v>
      </c>
      <c r="D2043" t="str">
        <f>""</f>
        <v/>
      </c>
      <c r="E2043" s="1">
        <v>42678</v>
      </c>
      <c r="F2043" t="s">
        <v>10979</v>
      </c>
      <c r="G2043" t="e">
        <f>INDEX(#REF!,MATCH(P2043,#REF!,0),1)</f>
        <v>#REF!</v>
      </c>
      <c r="H2043" t="s">
        <v>10980</v>
      </c>
      <c r="J2043" t="s">
        <v>10981</v>
      </c>
      <c r="K2043" t="s">
        <v>2244</v>
      </c>
      <c r="L2043" t="s">
        <v>10982</v>
      </c>
      <c r="M2043" t="s">
        <v>3226</v>
      </c>
      <c r="N2043">
        <v>37277</v>
      </c>
      <c r="O2043" t="s">
        <v>2301</v>
      </c>
      <c r="P2043">
        <v>2626447</v>
      </c>
      <c r="Q2043" t="s">
        <v>10931</v>
      </c>
      <c r="R2043" t="s">
        <v>4102</v>
      </c>
      <c r="S2043" t="s">
        <v>4103</v>
      </c>
      <c r="T2043" t="s">
        <v>2277</v>
      </c>
      <c r="U2043" t="s">
        <v>4419</v>
      </c>
      <c r="V2043" t="s">
        <v>1824</v>
      </c>
      <c r="AA2043" t="s">
        <v>119</v>
      </c>
      <c r="AG2043" t="s">
        <v>48</v>
      </c>
    </row>
    <row r="2044" spans="1:33" x14ac:dyDescent="0.3">
      <c r="A2044">
        <v>37579</v>
      </c>
      <c r="B2044" t="s">
        <v>10983</v>
      </c>
      <c r="C2044" t="str">
        <f>"1100003490552"</f>
        <v>1100003490552</v>
      </c>
      <c r="D2044" t="str">
        <f>""</f>
        <v/>
      </c>
      <c r="E2044" s="1">
        <v>42678</v>
      </c>
      <c r="F2044" t="s">
        <v>10984</v>
      </c>
      <c r="G2044" t="e">
        <f>INDEX(#REF!,MATCH(P2044,#REF!,0),1)</f>
        <v>#REF!</v>
      </c>
      <c r="H2044" t="s">
        <v>10985</v>
      </c>
      <c r="J2044" t="s">
        <v>2298</v>
      </c>
      <c r="K2044" t="s">
        <v>2244</v>
      </c>
      <c r="L2044" t="s">
        <v>10986</v>
      </c>
      <c r="M2044" t="s">
        <v>10987</v>
      </c>
      <c r="N2044">
        <v>37277</v>
      </c>
      <c r="O2044" t="s">
        <v>2301</v>
      </c>
      <c r="P2044">
        <v>37279</v>
      </c>
      <c r="Q2044" t="s">
        <v>6252</v>
      </c>
      <c r="R2044" t="s">
        <v>4102</v>
      </c>
      <c r="S2044" t="s">
        <v>4103</v>
      </c>
      <c r="T2044" t="s">
        <v>2277</v>
      </c>
      <c r="U2044" t="s">
        <v>3103</v>
      </c>
      <c r="V2044" t="s">
        <v>1824</v>
      </c>
      <c r="AA2044" t="s">
        <v>119</v>
      </c>
      <c r="AG2044" t="s">
        <v>48</v>
      </c>
    </row>
    <row r="2045" spans="1:33" x14ac:dyDescent="0.3">
      <c r="A2045">
        <v>37580</v>
      </c>
      <c r="B2045" t="s">
        <v>10988</v>
      </c>
      <c r="C2045" t="str">
        <f>"1100003523526"</f>
        <v>1100003523526</v>
      </c>
      <c r="D2045" t="str">
        <f>""</f>
        <v/>
      </c>
      <c r="E2045" s="1">
        <v>42826</v>
      </c>
      <c r="F2045" t="s">
        <v>10989</v>
      </c>
      <c r="G2045" t="e">
        <f>INDEX(#REF!,MATCH(P2045,#REF!,0),1)</f>
        <v>#REF!</v>
      </c>
      <c r="H2045" t="s">
        <v>10990</v>
      </c>
      <c r="J2045" t="s">
        <v>2298</v>
      </c>
      <c r="K2045" t="s">
        <v>2244</v>
      </c>
      <c r="L2045" t="s">
        <v>10991</v>
      </c>
      <c r="M2045" t="s">
        <v>3226</v>
      </c>
      <c r="N2045">
        <v>37277</v>
      </c>
      <c r="O2045" t="s">
        <v>2301</v>
      </c>
      <c r="P2045">
        <v>618</v>
      </c>
      <c r="Q2045" t="s">
        <v>2296</v>
      </c>
      <c r="R2045" t="s">
        <v>1821</v>
      </c>
      <c r="S2045" t="s">
        <v>1822</v>
      </c>
      <c r="T2045" t="s">
        <v>2277</v>
      </c>
      <c r="U2045" t="s">
        <v>4419</v>
      </c>
      <c r="V2045" t="s">
        <v>1824</v>
      </c>
      <c r="AA2045" t="s">
        <v>119</v>
      </c>
    </row>
    <row r="2046" spans="1:33" x14ac:dyDescent="0.3">
      <c r="A2046">
        <v>37581</v>
      </c>
      <c r="B2046" t="s">
        <v>10992</v>
      </c>
      <c r="C2046" t="str">
        <f>"1100003709753"</f>
        <v>1100003709753</v>
      </c>
      <c r="D2046" t="str">
        <f>""</f>
        <v/>
      </c>
      <c r="E2046" s="1">
        <v>42826</v>
      </c>
      <c r="F2046" t="s">
        <v>10993</v>
      </c>
      <c r="G2046" t="e">
        <f>INDEX(#REF!,MATCH(P2046,#REF!,0),1)</f>
        <v>#REF!</v>
      </c>
      <c r="H2046" t="s">
        <v>2297</v>
      </c>
      <c r="J2046" t="s">
        <v>2298</v>
      </c>
      <c r="K2046" t="s">
        <v>2244</v>
      </c>
      <c r="L2046" t="s">
        <v>6201</v>
      </c>
      <c r="M2046" t="s">
        <v>3226</v>
      </c>
      <c r="N2046">
        <v>37277</v>
      </c>
      <c r="O2046" t="s">
        <v>2301</v>
      </c>
      <c r="P2046">
        <v>37279</v>
      </c>
      <c r="Q2046" t="s">
        <v>6252</v>
      </c>
      <c r="R2046" t="s">
        <v>4102</v>
      </c>
      <c r="S2046" t="s">
        <v>4103</v>
      </c>
      <c r="T2046" t="s">
        <v>2277</v>
      </c>
      <c r="U2046" t="s">
        <v>4419</v>
      </c>
      <c r="V2046" t="s">
        <v>1824</v>
      </c>
      <c r="AA2046" t="s">
        <v>119</v>
      </c>
      <c r="AG2046" t="s">
        <v>48</v>
      </c>
    </row>
    <row r="2047" spans="1:33" x14ac:dyDescent="0.3">
      <c r="A2047">
        <v>37582</v>
      </c>
      <c r="B2047" t="s">
        <v>10994</v>
      </c>
      <c r="C2047" t="str">
        <f>"1100005760417"</f>
        <v>1100005760417</v>
      </c>
      <c r="D2047" t="str">
        <f>""</f>
        <v/>
      </c>
      <c r="E2047" s="1">
        <v>42678</v>
      </c>
      <c r="F2047" t="s">
        <v>10995</v>
      </c>
      <c r="G2047" t="e">
        <f>INDEX(#REF!,MATCH(P2047,#REF!,0),1)</f>
        <v>#REF!</v>
      </c>
      <c r="H2047" t="s">
        <v>10996</v>
      </c>
      <c r="J2047" t="s">
        <v>2298</v>
      </c>
      <c r="K2047" t="s">
        <v>2244</v>
      </c>
      <c r="L2047" t="s">
        <v>10997</v>
      </c>
      <c r="M2047" t="s">
        <v>10998</v>
      </c>
      <c r="N2047">
        <v>37277</v>
      </c>
      <c r="O2047" t="s">
        <v>2301</v>
      </c>
      <c r="P2047">
        <v>2626447</v>
      </c>
      <c r="Q2047" t="s">
        <v>10931</v>
      </c>
      <c r="R2047" t="s">
        <v>4102</v>
      </c>
      <c r="S2047" t="s">
        <v>4103</v>
      </c>
      <c r="T2047" t="s">
        <v>2277</v>
      </c>
      <c r="U2047" t="s">
        <v>5622</v>
      </c>
      <c r="V2047" t="s">
        <v>1824</v>
      </c>
      <c r="AA2047" t="s">
        <v>119</v>
      </c>
      <c r="AG2047" t="s">
        <v>48</v>
      </c>
    </row>
    <row r="2048" spans="1:33" x14ac:dyDescent="0.3">
      <c r="A2048">
        <v>37583</v>
      </c>
      <c r="B2048" t="s">
        <v>10999</v>
      </c>
      <c r="C2048" t="str">
        <f>"1100002692438"</f>
        <v>1100002692438</v>
      </c>
      <c r="D2048" t="str">
        <f>""</f>
        <v/>
      </c>
      <c r="E2048" s="1">
        <v>42678</v>
      </c>
      <c r="F2048" t="s">
        <v>11000</v>
      </c>
      <c r="G2048" t="e">
        <f>INDEX(#REF!,MATCH(P2048,#REF!,0),1)</f>
        <v>#REF!</v>
      </c>
      <c r="H2048" t="s">
        <v>11001</v>
      </c>
      <c r="J2048" t="s">
        <v>11002</v>
      </c>
      <c r="K2048" t="s">
        <v>2244</v>
      </c>
      <c r="L2048" t="s">
        <v>11003</v>
      </c>
      <c r="M2048" t="s">
        <v>11004</v>
      </c>
      <c r="N2048">
        <v>37277</v>
      </c>
      <c r="O2048" t="s">
        <v>2301</v>
      </c>
      <c r="P2048">
        <v>37279</v>
      </c>
      <c r="Q2048" t="s">
        <v>6252</v>
      </c>
      <c r="R2048" t="s">
        <v>4102</v>
      </c>
      <c r="S2048" t="s">
        <v>4103</v>
      </c>
      <c r="T2048" t="s">
        <v>2277</v>
      </c>
      <c r="U2048" t="s">
        <v>2278</v>
      </c>
      <c r="V2048" t="s">
        <v>1824</v>
      </c>
      <c r="AA2048" t="s">
        <v>119</v>
      </c>
      <c r="AG2048" t="s">
        <v>48</v>
      </c>
    </row>
    <row r="2049" spans="1:33" x14ac:dyDescent="0.3">
      <c r="A2049">
        <v>37584</v>
      </c>
      <c r="B2049" t="s">
        <v>11005</v>
      </c>
      <c r="C2049" t="str">
        <f>"1100004813756"</f>
        <v>1100004813756</v>
      </c>
      <c r="D2049" t="str">
        <f>""</f>
        <v/>
      </c>
      <c r="E2049" s="1">
        <v>42678</v>
      </c>
      <c r="F2049" t="s">
        <v>11006</v>
      </c>
      <c r="G2049" t="e">
        <f>INDEX(#REF!,MATCH(P2049,#REF!,0),1)</f>
        <v>#REF!</v>
      </c>
      <c r="H2049" t="s">
        <v>11007</v>
      </c>
      <c r="J2049" t="s">
        <v>11008</v>
      </c>
      <c r="K2049" t="s">
        <v>2244</v>
      </c>
      <c r="L2049" t="s">
        <v>11009</v>
      </c>
      <c r="M2049" t="s">
        <v>3226</v>
      </c>
      <c r="N2049">
        <v>37277</v>
      </c>
      <c r="O2049" t="s">
        <v>2301</v>
      </c>
      <c r="P2049">
        <v>2626447</v>
      </c>
      <c r="Q2049" t="s">
        <v>10931</v>
      </c>
      <c r="R2049" t="s">
        <v>4102</v>
      </c>
      <c r="S2049" t="s">
        <v>4103</v>
      </c>
      <c r="T2049" t="s">
        <v>2277</v>
      </c>
      <c r="U2049" t="s">
        <v>4419</v>
      </c>
      <c r="V2049" t="s">
        <v>1824</v>
      </c>
      <c r="AA2049" t="s">
        <v>119</v>
      </c>
      <c r="AG2049" t="s">
        <v>48</v>
      </c>
    </row>
    <row r="2050" spans="1:33" x14ac:dyDescent="0.3">
      <c r="A2050">
        <v>37585</v>
      </c>
      <c r="B2050" t="s">
        <v>11010</v>
      </c>
      <c r="C2050" t="str">
        <f>"1100008770604"</f>
        <v>1100008770604</v>
      </c>
      <c r="D2050" t="str">
        <f>""</f>
        <v/>
      </c>
      <c r="E2050" s="1">
        <v>42678</v>
      </c>
      <c r="F2050" t="s">
        <v>11011</v>
      </c>
      <c r="G2050" t="e">
        <f>INDEX(#REF!,MATCH(P2050,#REF!,0),1)</f>
        <v>#REF!</v>
      </c>
      <c r="H2050" t="s">
        <v>11012</v>
      </c>
      <c r="J2050" t="s">
        <v>11013</v>
      </c>
      <c r="K2050" t="s">
        <v>2244</v>
      </c>
      <c r="L2050" t="s">
        <v>11014</v>
      </c>
      <c r="M2050" t="s">
        <v>11015</v>
      </c>
      <c r="N2050">
        <v>37277</v>
      </c>
      <c r="O2050" t="s">
        <v>2301</v>
      </c>
      <c r="P2050">
        <v>2626447</v>
      </c>
      <c r="Q2050" t="s">
        <v>10931</v>
      </c>
      <c r="R2050" t="s">
        <v>4102</v>
      </c>
      <c r="S2050" t="s">
        <v>4103</v>
      </c>
      <c r="T2050" t="s">
        <v>2277</v>
      </c>
      <c r="U2050" t="s">
        <v>5622</v>
      </c>
      <c r="V2050" t="s">
        <v>1824</v>
      </c>
      <c r="AA2050" t="s">
        <v>119</v>
      </c>
      <c r="AG2050" t="s">
        <v>48</v>
      </c>
    </row>
    <row r="2051" spans="1:33" x14ac:dyDescent="0.3">
      <c r="A2051">
        <v>37586</v>
      </c>
      <c r="B2051" t="s">
        <v>11016</v>
      </c>
      <c r="C2051" t="str">
        <f>"1100004392411"</f>
        <v>1100004392411</v>
      </c>
      <c r="D2051" t="str">
        <f>""</f>
        <v/>
      </c>
      <c r="E2051" s="1">
        <v>42678</v>
      </c>
      <c r="F2051" t="s">
        <v>11017</v>
      </c>
      <c r="G2051" t="e">
        <f>INDEX(#REF!,MATCH(P2051,#REF!,0),1)</f>
        <v>#REF!</v>
      </c>
      <c r="H2051" t="s">
        <v>11018</v>
      </c>
      <c r="J2051" t="s">
        <v>2298</v>
      </c>
      <c r="K2051" t="s">
        <v>2244</v>
      </c>
      <c r="L2051" t="s">
        <v>10940</v>
      </c>
      <c r="M2051" t="s">
        <v>3226</v>
      </c>
      <c r="N2051">
        <v>37277</v>
      </c>
      <c r="O2051" t="s">
        <v>2301</v>
      </c>
      <c r="P2051">
        <v>2626447</v>
      </c>
      <c r="Q2051" t="s">
        <v>10931</v>
      </c>
      <c r="R2051" t="s">
        <v>4102</v>
      </c>
      <c r="S2051" t="s">
        <v>4103</v>
      </c>
      <c r="T2051" t="s">
        <v>2277</v>
      </c>
      <c r="U2051" t="s">
        <v>3103</v>
      </c>
      <c r="V2051" t="s">
        <v>1824</v>
      </c>
      <c r="AA2051" t="s">
        <v>119</v>
      </c>
      <c r="AG2051" t="s">
        <v>48</v>
      </c>
    </row>
    <row r="2052" spans="1:33" x14ac:dyDescent="0.3">
      <c r="A2052">
        <v>37587</v>
      </c>
      <c r="B2052" t="s">
        <v>11019</v>
      </c>
      <c r="C2052" t="str">
        <f>"1100002851781"</f>
        <v>1100002851781</v>
      </c>
      <c r="D2052" t="str">
        <f>"LAW2GCL00"</f>
        <v>LAW2GCL00</v>
      </c>
      <c r="E2052" s="1">
        <v>42678</v>
      </c>
      <c r="F2052" t="s">
        <v>11020</v>
      </c>
      <c r="G2052" t="e">
        <f>INDEX(#REF!,MATCH(P2052,#REF!,0),1)</f>
        <v>#REF!</v>
      </c>
      <c r="H2052" t="s">
        <v>10956</v>
      </c>
      <c r="J2052" t="s">
        <v>2298</v>
      </c>
      <c r="K2052" t="s">
        <v>2244</v>
      </c>
      <c r="L2052" t="s">
        <v>10957</v>
      </c>
      <c r="M2052" t="s">
        <v>11021</v>
      </c>
      <c r="N2052">
        <v>37277</v>
      </c>
      <c r="O2052" t="s">
        <v>2301</v>
      </c>
      <c r="P2052">
        <v>37279</v>
      </c>
      <c r="Q2052" t="s">
        <v>6252</v>
      </c>
      <c r="R2052" t="s">
        <v>4102</v>
      </c>
      <c r="S2052" t="s">
        <v>4103</v>
      </c>
      <c r="T2052" t="s">
        <v>2277</v>
      </c>
      <c r="U2052" t="s">
        <v>5622</v>
      </c>
      <c r="V2052" t="s">
        <v>1824</v>
      </c>
      <c r="AA2052" t="s">
        <v>119</v>
      </c>
      <c r="AE2052" t="s">
        <v>60</v>
      </c>
      <c r="AG2052" t="s">
        <v>48</v>
      </c>
    </row>
    <row r="2053" spans="1:33" x14ac:dyDescent="0.3">
      <c r="A2053">
        <v>37588</v>
      </c>
      <c r="B2053" t="s">
        <v>11022</v>
      </c>
      <c r="C2053" t="str">
        <f>"1100002532734"</f>
        <v>1100002532734</v>
      </c>
      <c r="D2053" t="str">
        <f>"212710DF5"</f>
        <v>212710DF5</v>
      </c>
      <c r="E2053" s="1">
        <v>42826</v>
      </c>
      <c r="F2053" t="s">
        <v>11023</v>
      </c>
      <c r="G2053" t="e">
        <f>INDEX(#REF!,MATCH(P2053,#REF!,0),1)</f>
        <v>#REF!</v>
      </c>
      <c r="H2053" t="s">
        <v>2297</v>
      </c>
      <c r="J2053" t="s">
        <v>2298</v>
      </c>
      <c r="K2053" t="s">
        <v>2244</v>
      </c>
      <c r="L2053" t="s">
        <v>2299</v>
      </c>
      <c r="M2053" t="s">
        <v>3226</v>
      </c>
      <c r="N2053">
        <v>37277</v>
      </c>
      <c r="O2053" t="s">
        <v>2301</v>
      </c>
      <c r="P2053">
        <v>618</v>
      </c>
      <c r="Q2053" t="s">
        <v>2296</v>
      </c>
      <c r="R2053" t="s">
        <v>1821</v>
      </c>
      <c r="S2053" t="s">
        <v>1822</v>
      </c>
      <c r="T2053" t="s">
        <v>2277</v>
      </c>
      <c r="U2053" t="s">
        <v>5622</v>
      </c>
      <c r="V2053" t="s">
        <v>1824</v>
      </c>
      <c r="AA2053" t="s">
        <v>119</v>
      </c>
      <c r="AE2053" t="s">
        <v>60</v>
      </c>
    </row>
    <row r="2054" spans="1:33" x14ac:dyDescent="0.3">
      <c r="A2054">
        <v>37623</v>
      </c>
      <c r="B2054" t="s">
        <v>11024</v>
      </c>
      <c r="C2054" t="str">
        <f>""</f>
        <v/>
      </c>
      <c r="D2054" t="str">
        <f>"9L3LTX800"</f>
        <v>9L3LTX800</v>
      </c>
      <c r="E2054" s="1">
        <v>31502</v>
      </c>
      <c r="F2054" t="s">
        <v>11025</v>
      </c>
      <c r="G2054" t="e">
        <f>INDEX(#REF!,MATCH(P2054,#REF!,0),1)</f>
        <v>#REF!</v>
      </c>
      <c r="H2054" t="s">
        <v>2242</v>
      </c>
      <c r="J2054" t="s">
        <v>2243</v>
      </c>
      <c r="K2054" t="s">
        <v>2244</v>
      </c>
      <c r="L2054" t="s">
        <v>11026</v>
      </c>
      <c r="M2054" t="s">
        <v>2246</v>
      </c>
      <c r="N2054">
        <v>604</v>
      </c>
      <c r="O2054" t="s">
        <v>2241</v>
      </c>
      <c r="P2054">
        <v>604</v>
      </c>
      <c r="Q2054" t="s">
        <v>2241</v>
      </c>
      <c r="R2054" t="s">
        <v>884</v>
      </c>
      <c r="S2054" t="s">
        <v>885</v>
      </c>
      <c r="T2054" t="s">
        <v>44</v>
      </c>
      <c r="U2054" t="s">
        <v>45</v>
      </c>
      <c r="AA2054" t="s">
        <v>93</v>
      </c>
      <c r="AE2054" t="s">
        <v>564</v>
      </c>
    </row>
    <row r="2055" spans="1:33" x14ac:dyDescent="0.3">
      <c r="A2055">
        <v>37627</v>
      </c>
      <c r="B2055" t="s">
        <v>11027</v>
      </c>
      <c r="C2055" t="str">
        <f>"1100005083592"</f>
        <v>1100005083592</v>
      </c>
      <c r="D2055" t="str">
        <f>"5FY82B300"</f>
        <v>5FY82B300</v>
      </c>
      <c r="E2055" s="1">
        <v>35612</v>
      </c>
      <c r="F2055" t="s">
        <v>11028</v>
      </c>
      <c r="G2055" t="e">
        <f>INDEX(#REF!,MATCH(P2055,#REF!,0),1)</f>
        <v>#REF!</v>
      </c>
      <c r="H2055" t="s">
        <v>11029</v>
      </c>
      <c r="J2055" t="s">
        <v>36</v>
      </c>
      <c r="K2055" t="s">
        <v>37</v>
      </c>
      <c r="L2055">
        <v>44333</v>
      </c>
      <c r="M2055" t="s">
        <v>11030</v>
      </c>
      <c r="N2055">
        <v>770471</v>
      </c>
      <c r="O2055" t="s">
        <v>40</v>
      </c>
      <c r="P2055">
        <v>43195</v>
      </c>
      <c r="Q2055" t="s">
        <v>41</v>
      </c>
      <c r="R2055" t="s">
        <v>3159</v>
      </c>
      <c r="S2055" t="s">
        <v>3160</v>
      </c>
      <c r="T2055" t="s">
        <v>2277</v>
      </c>
      <c r="U2055" t="s">
        <v>9035</v>
      </c>
      <c r="V2055" t="s">
        <v>1824</v>
      </c>
      <c r="Y2055" t="s">
        <v>46</v>
      </c>
      <c r="Z2055" s="1">
        <v>41913</v>
      </c>
      <c r="AG2055" t="s">
        <v>48</v>
      </c>
    </row>
    <row r="2056" spans="1:33" x14ac:dyDescent="0.3">
      <c r="A2056">
        <v>37641</v>
      </c>
      <c r="B2056" t="s">
        <v>11031</v>
      </c>
      <c r="C2056" t="str">
        <f>"1100003131349"</f>
        <v>1100003131349</v>
      </c>
      <c r="D2056" t="str">
        <f>"BAVX7QA00"</f>
        <v>BAVX7QA00</v>
      </c>
      <c r="E2056" s="1">
        <v>37956</v>
      </c>
      <c r="F2056" t="s">
        <v>11032</v>
      </c>
      <c r="G2056" t="e">
        <f>INDEX(#REF!,MATCH(P2056,#REF!,0),1)</f>
        <v>#REF!</v>
      </c>
      <c r="H2056" t="s">
        <v>11033</v>
      </c>
      <c r="J2056" t="s">
        <v>11034</v>
      </c>
      <c r="K2056" t="s">
        <v>65</v>
      </c>
      <c r="L2056">
        <v>19406</v>
      </c>
      <c r="M2056" t="s">
        <v>11035</v>
      </c>
      <c r="N2056">
        <v>4007</v>
      </c>
      <c r="O2056" t="s">
        <v>276</v>
      </c>
      <c r="P2056">
        <v>47939</v>
      </c>
      <c r="Q2056" t="s">
        <v>11036</v>
      </c>
      <c r="R2056" t="s">
        <v>4102</v>
      </c>
      <c r="S2056" t="s">
        <v>4103</v>
      </c>
      <c r="T2056" t="s">
        <v>117</v>
      </c>
      <c r="U2056" t="s">
        <v>4072</v>
      </c>
      <c r="V2056" t="s">
        <v>1824</v>
      </c>
      <c r="AG2056" t="s">
        <v>48</v>
      </c>
    </row>
    <row r="2057" spans="1:33" x14ac:dyDescent="0.3">
      <c r="A2057">
        <v>37645</v>
      </c>
      <c r="B2057" t="s">
        <v>11037</v>
      </c>
      <c r="C2057" t="str">
        <f>"1100004554543"</f>
        <v>1100004554543</v>
      </c>
      <c r="D2057" t="str">
        <f>"681JBMV00"</f>
        <v>681JBMV00</v>
      </c>
      <c r="E2057" s="1">
        <v>37956</v>
      </c>
      <c r="F2057" t="s">
        <v>11038</v>
      </c>
      <c r="G2057" t="e">
        <f>INDEX(#REF!,MATCH(P2057,#REF!,0),1)</f>
        <v>#REF!</v>
      </c>
      <c r="H2057" t="s">
        <v>11039</v>
      </c>
      <c r="J2057" t="s">
        <v>11040</v>
      </c>
      <c r="K2057" t="s">
        <v>65</v>
      </c>
      <c r="L2057">
        <v>19087</v>
      </c>
      <c r="M2057" t="s">
        <v>11041</v>
      </c>
      <c r="N2057">
        <v>4007</v>
      </c>
      <c r="O2057" t="s">
        <v>276</v>
      </c>
      <c r="P2057">
        <v>47939</v>
      </c>
      <c r="Q2057" t="s">
        <v>11036</v>
      </c>
      <c r="R2057" t="s">
        <v>4102</v>
      </c>
      <c r="S2057" t="s">
        <v>4103</v>
      </c>
      <c r="T2057" t="s">
        <v>117</v>
      </c>
      <c r="U2057" t="s">
        <v>4072</v>
      </c>
      <c r="V2057" t="s">
        <v>1824</v>
      </c>
      <c r="AG2057" t="s">
        <v>48</v>
      </c>
    </row>
    <row r="2058" spans="1:33" x14ac:dyDescent="0.3">
      <c r="A2058">
        <v>37649</v>
      </c>
      <c r="B2058" t="s">
        <v>11042</v>
      </c>
      <c r="C2058" t="str">
        <f>""</f>
        <v/>
      </c>
      <c r="D2058" t="str">
        <f>"N3YBLBV00"</f>
        <v>N3YBLBV00</v>
      </c>
      <c r="E2058" s="1">
        <v>35674</v>
      </c>
      <c r="F2058" t="s">
        <v>11043</v>
      </c>
      <c r="G2058" t="e">
        <f>INDEX(#REF!,MATCH(P2058,#REF!,0),1)</f>
        <v>#REF!</v>
      </c>
      <c r="H2058" t="s">
        <v>11044</v>
      </c>
      <c r="J2058" t="s">
        <v>6691</v>
      </c>
      <c r="K2058" t="s">
        <v>53</v>
      </c>
      <c r="L2058" t="str">
        <f>"03110-6708"</f>
        <v>03110-6708</v>
      </c>
      <c r="M2058" t="s">
        <v>11045</v>
      </c>
      <c r="N2058">
        <v>155</v>
      </c>
      <c r="O2058" t="s">
        <v>55</v>
      </c>
      <c r="P2058">
        <v>38265</v>
      </c>
      <c r="Q2058" t="s">
        <v>10398</v>
      </c>
      <c r="R2058" t="s">
        <v>2138</v>
      </c>
      <c r="S2058" t="s">
        <v>2139</v>
      </c>
      <c r="T2058" t="s">
        <v>2277</v>
      </c>
      <c r="U2058" t="s">
        <v>2278</v>
      </c>
      <c r="V2058" t="s">
        <v>1824</v>
      </c>
      <c r="AA2058" t="s">
        <v>58</v>
      </c>
      <c r="AE2058" t="s">
        <v>60</v>
      </c>
      <c r="AG2058" t="s">
        <v>48</v>
      </c>
    </row>
    <row r="2059" spans="1:33" x14ac:dyDescent="0.3">
      <c r="A2059">
        <v>37650</v>
      </c>
      <c r="B2059" t="s">
        <v>11046</v>
      </c>
      <c r="C2059" t="str">
        <f>""</f>
        <v/>
      </c>
      <c r="D2059" t="str">
        <f>""</f>
        <v/>
      </c>
      <c r="E2059" s="1">
        <v>35674</v>
      </c>
      <c r="F2059" t="s">
        <v>11047</v>
      </c>
      <c r="G2059" t="e">
        <f>INDEX(#REF!,MATCH(P2059,#REF!,0),1)</f>
        <v>#REF!</v>
      </c>
      <c r="H2059" t="s">
        <v>11048</v>
      </c>
      <c r="J2059" t="s">
        <v>11049</v>
      </c>
      <c r="K2059" t="s">
        <v>53</v>
      </c>
      <c r="L2059" t="str">
        <f>"03741-7842"</f>
        <v>03741-7842</v>
      </c>
      <c r="M2059" t="s">
        <v>11050</v>
      </c>
      <c r="N2059">
        <v>155</v>
      </c>
      <c r="O2059" t="s">
        <v>55</v>
      </c>
      <c r="P2059">
        <v>38265</v>
      </c>
      <c r="Q2059" t="s">
        <v>10398</v>
      </c>
      <c r="R2059" t="s">
        <v>2138</v>
      </c>
      <c r="S2059" t="s">
        <v>2139</v>
      </c>
      <c r="T2059" t="s">
        <v>2277</v>
      </c>
      <c r="U2059" t="s">
        <v>5651</v>
      </c>
      <c r="V2059" t="s">
        <v>1824</v>
      </c>
      <c r="AA2059" t="s">
        <v>58</v>
      </c>
      <c r="AG2059" t="s">
        <v>48</v>
      </c>
    </row>
    <row r="2060" spans="1:33" x14ac:dyDescent="0.3">
      <c r="A2060">
        <v>37651</v>
      </c>
      <c r="B2060" t="s">
        <v>11051</v>
      </c>
      <c r="C2060" t="str">
        <f>""</f>
        <v/>
      </c>
      <c r="D2060" t="str">
        <f>""</f>
        <v/>
      </c>
      <c r="E2060" s="1">
        <v>35674</v>
      </c>
      <c r="F2060" t="s">
        <v>11052</v>
      </c>
      <c r="G2060" t="e">
        <f>INDEX(#REF!,MATCH(P2060,#REF!,0),1)</f>
        <v>#REF!</v>
      </c>
      <c r="H2060" t="s">
        <v>11053</v>
      </c>
      <c r="J2060" t="s">
        <v>9699</v>
      </c>
      <c r="K2060" t="s">
        <v>53</v>
      </c>
      <c r="L2060" t="str">
        <f>"03743-2026"</f>
        <v>03743-2026</v>
      </c>
      <c r="M2060" t="s">
        <v>11054</v>
      </c>
      <c r="N2060">
        <v>155</v>
      </c>
      <c r="O2060" t="s">
        <v>55</v>
      </c>
      <c r="P2060">
        <v>34107</v>
      </c>
      <c r="Q2060" t="s">
        <v>9697</v>
      </c>
      <c r="R2060" t="s">
        <v>2138</v>
      </c>
      <c r="S2060" t="s">
        <v>2139</v>
      </c>
      <c r="T2060" t="s">
        <v>2277</v>
      </c>
      <c r="U2060" t="s">
        <v>9035</v>
      </c>
      <c r="V2060" t="s">
        <v>1824</v>
      </c>
      <c r="AA2060" t="s">
        <v>58</v>
      </c>
      <c r="AG2060" t="s">
        <v>48</v>
      </c>
    </row>
    <row r="2061" spans="1:33" x14ac:dyDescent="0.3">
      <c r="A2061">
        <v>37652</v>
      </c>
      <c r="B2061" t="s">
        <v>11055</v>
      </c>
      <c r="C2061" t="str">
        <f>""</f>
        <v/>
      </c>
      <c r="D2061" t="str">
        <f>""</f>
        <v/>
      </c>
      <c r="E2061" s="1">
        <v>35674</v>
      </c>
      <c r="F2061" t="s">
        <v>11056</v>
      </c>
      <c r="G2061" t="e">
        <f>INDEX(#REF!,MATCH(P2061,#REF!,0),1)</f>
        <v>#REF!</v>
      </c>
      <c r="H2061" t="s">
        <v>11057</v>
      </c>
      <c r="J2061" t="s">
        <v>11058</v>
      </c>
      <c r="K2061" t="s">
        <v>53</v>
      </c>
      <c r="L2061" t="str">
        <f>"03576"</f>
        <v>03576</v>
      </c>
      <c r="M2061" t="s">
        <v>11059</v>
      </c>
      <c r="N2061">
        <v>155</v>
      </c>
      <c r="O2061" t="s">
        <v>55</v>
      </c>
      <c r="P2061">
        <v>38265</v>
      </c>
      <c r="Q2061" t="s">
        <v>10398</v>
      </c>
      <c r="R2061" t="s">
        <v>2138</v>
      </c>
      <c r="S2061" t="s">
        <v>2139</v>
      </c>
      <c r="T2061" t="s">
        <v>2277</v>
      </c>
      <c r="U2061" t="s">
        <v>2278</v>
      </c>
      <c r="V2061" t="s">
        <v>1824</v>
      </c>
      <c r="AA2061" t="s">
        <v>58</v>
      </c>
      <c r="AG2061" t="s">
        <v>48</v>
      </c>
    </row>
    <row r="2062" spans="1:33" x14ac:dyDescent="0.3">
      <c r="A2062">
        <v>37653</v>
      </c>
      <c r="B2062" t="s">
        <v>11060</v>
      </c>
      <c r="C2062" t="str">
        <f>""</f>
        <v/>
      </c>
      <c r="D2062" t="str">
        <f>""</f>
        <v/>
      </c>
      <c r="E2062" s="1">
        <v>35674</v>
      </c>
      <c r="F2062" t="s">
        <v>11061</v>
      </c>
      <c r="G2062" t="e">
        <f>INDEX(#REF!,MATCH(P2062,#REF!,0),1)</f>
        <v>#REF!</v>
      </c>
      <c r="H2062" t="s">
        <v>11062</v>
      </c>
      <c r="J2062" t="s">
        <v>2741</v>
      </c>
      <c r="K2062" t="s">
        <v>53</v>
      </c>
      <c r="L2062" t="str">
        <f>"03301-7560"</f>
        <v>03301-7560</v>
      </c>
      <c r="M2062" t="s">
        <v>11063</v>
      </c>
      <c r="N2062">
        <v>155</v>
      </c>
      <c r="O2062" t="s">
        <v>55</v>
      </c>
      <c r="P2062">
        <v>38265</v>
      </c>
      <c r="Q2062" t="s">
        <v>10398</v>
      </c>
      <c r="R2062" t="s">
        <v>2138</v>
      </c>
      <c r="S2062" t="s">
        <v>2139</v>
      </c>
      <c r="T2062" t="s">
        <v>2277</v>
      </c>
      <c r="U2062" t="s">
        <v>2278</v>
      </c>
      <c r="V2062" t="s">
        <v>1824</v>
      </c>
      <c r="AA2062" t="s">
        <v>58</v>
      </c>
      <c r="AG2062" t="s">
        <v>48</v>
      </c>
    </row>
    <row r="2063" spans="1:33" x14ac:dyDescent="0.3">
      <c r="A2063">
        <v>37654</v>
      </c>
      <c r="B2063" t="s">
        <v>11064</v>
      </c>
      <c r="C2063" t="str">
        <f>""</f>
        <v/>
      </c>
      <c r="D2063" t="str">
        <f>""</f>
        <v/>
      </c>
      <c r="E2063" s="1">
        <v>35674</v>
      </c>
      <c r="F2063" t="s">
        <v>11065</v>
      </c>
      <c r="G2063" t="e">
        <f>INDEX(#REF!,MATCH(P2063,#REF!,0),1)</f>
        <v>#REF!</v>
      </c>
      <c r="H2063" t="s">
        <v>11066</v>
      </c>
      <c r="I2063" t="s">
        <v>11067</v>
      </c>
      <c r="J2063" t="s">
        <v>2895</v>
      </c>
      <c r="K2063" t="s">
        <v>53</v>
      </c>
      <c r="L2063" t="str">
        <f>"03833-2522"</f>
        <v>03833-2522</v>
      </c>
      <c r="M2063" t="s">
        <v>3226</v>
      </c>
      <c r="N2063">
        <v>155</v>
      </c>
      <c r="O2063" t="s">
        <v>55</v>
      </c>
      <c r="P2063">
        <v>38265</v>
      </c>
      <c r="Q2063" t="s">
        <v>10398</v>
      </c>
      <c r="R2063" t="s">
        <v>2138</v>
      </c>
      <c r="S2063" t="s">
        <v>2139</v>
      </c>
      <c r="T2063" t="s">
        <v>2277</v>
      </c>
      <c r="U2063" t="s">
        <v>5622</v>
      </c>
      <c r="V2063" t="s">
        <v>1824</v>
      </c>
      <c r="AA2063" t="s">
        <v>58</v>
      </c>
      <c r="AG2063" t="s">
        <v>48</v>
      </c>
    </row>
    <row r="2064" spans="1:33" x14ac:dyDescent="0.3">
      <c r="A2064">
        <v>37655</v>
      </c>
      <c r="B2064" t="s">
        <v>11068</v>
      </c>
      <c r="C2064" t="str">
        <f>""</f>
        <v/>
      </c>
      <c r="D2064" t="str">
        <f>""</f>
        <v/>
      </c>
      <c r="E2064" s="1">
        <v>35674</v>
      </c>
      <c r="F2064" t="s">
        <v>11069</v>
      </c>
      <c r="G2064" t="e">
        <f>INDEX(#REF!,MATCH(P2064,#REF!,0),1)</f>
        <v>#REF!</v>
      </c>
      <c r="H2064" t="s">
        <v>11070</v>
      </c>
      <c r="J2064" t="s">
        <v>11071</v>
      </c>
      <c r="K2064" t="s">
        <v>53</v>
      </c>
      <c r="L2064" t="str">
        <f>"03447"</f>
        <v>03447</v>
      </c>
      <c r="M2064" t="s">
        <v>11072</v>
      </c>
      <c r="N2064">
        <v>155</v>
      </c>
      <c r="O2064" t="s">
        <v>55</v>
      </c>
      <c r="P2064">
        <v>38265</v>
      </c>
      <c r="Q2064" t="s">
        <v>10398</v>
      </c>
      <c r="R2064" t="s">
        <v>2138</v>
      </c>
      <c r="S2064" t="s">
        <v>2139</v>
      </c>
      <c r="T2064" t="s">
        <v>2277</v>
      </c>
      <c r="U2064" t="s">
        <v>2278</v>
      </c>
      <c r="V2064" t="s">
        <v>1824</v>
      </c>
      <c r="AA2064" t="s">
        <v>58</v>
      </c>
      <c r="AG2064" t="s">
        <v>48</v>
      </c>
    </row>
    <row r="2065" spans="1:33" x14ac:dyDescent="0.3">
      <c r="A2065">
        <v>37656</v>
      </c>
      <c r="B2065" t="s">
        <v>11073</v>
      </c>
      <c r="C2065" t="str">
        <f>""</f>
        <v/>
      </c>
      <c r="D2065" t="str">
        <f>""</f>
        <v/>
      </c>
      <c r="E2065" s="1">
        <v>35674</v>
      </c>
      <c r="F2065" t="s">
        <v>11074</v>
      </c>
      <c r="G2065" t="e">
        <f>INDEX(#REF!,MATCH(P2065,#REF!,0),1)</f>
        <v>#REF!</v>
      </c>
      <c r="H2065" t="s">
        <v>11075</v>
      </c>
      <c r="J2065" t="s">
        <v>1089</v>
      </c>
      <c r="K2065" t="s">
        <v>53</v>
      </c>
      <c r="L2065" t="str">
        <f>"03235-1259"</f>
        <v>03235-1259</v>
      </c>
      <c r="M2065" t="s">
        <v>3226</v>
      </c>
      <c r="N2065">
        <v>155</v>
      </c>
      <c r="O2065" t="s">
        <v>55</v>
      </c>
      <c r="P2065">
        <v>38265</v>
      </c>
      <c r="Q2065" t="s">
        <v>10398</v>
      </c>
      <c r="R2065" t="s">
        <v>2138</v>
      </c>
      <c r="S2065" t="s">
        <v>2139</v>
      </c>
      <c r="T2065" t="s">
        <v>2277</v>
      </c>
      <c r="U2065" t="s">
        <v>2278</v>
      </c>
      <c r="V2065" t="s">
        <v>1824</v>
      </c>
      <c r="AA2065" t="s">
        <v>58</v>
      </c>
      <c r="AG2065" t="s">
        <v>48</v>
      </c>
    </row>
    <row r="2066" spans="1:33" x14ac:dyDescent="0.3">
      <c r="A2066">
        <v>37657</v>
      </c>
      <c r="B2066" t="s">
        <v>11076</v>
      </c>
      <c r="C2066" t="str">
        <f>""</f>
        <v/>
      </c>
      <c r="D2066" t="str">
        <f>""</f>
        <v/>
      </c>
      <c r="E2066" s="1">
        <v>35674</v>
      </c>
      <c r="F2066" t="s">
        <v>11077</v>
      </c>
      <c r="G2066" t="e">
        <f>INDEX(#REF!,MATCH(P2066,#REF!,0),1)</f>
        <v>#REF!</v>
      </c>
      <c r="H2066" t="s">
        <v>11078</v>
      </c>
      <c r="J2066" t="s">
        <v>11079</v>
      </c>
      <c r="K2066" t="s">
        <v>53</v>
      </c>
      <c r="L2066" t="str">
        <f>"03581-1502"</f>
        <v>03581-1502</v>
      </c>
      <c r="M2066" t="s">
        <v>3226</v>
      </c>
      <c r="N2066">
        <v>155</v>
      </c>
      <c r="O2066" t="s">
        <v>55</v>
      </c>
      <c r="P2066">
        <v>38265</v>
      </c>
      <c r="Q2066" t="s">
        <v>10398</v>
      </c>
      <c r="R2066" t="s">
        <v>2138</v>
      </c>
      <c r="S2066" t="s">
        <v>2139</v>
      </c>
      <c r="T2066" t="s">
        <v>2277</v>
      </c>
      <c r="U2066" t="s">
        <v>2278</v>
      </c>
      <c r="V2066" t="s">
        <v>1824</v>
      </c>
      <c r="AA2066" t="s">
        <v>58</v>
      </c>
      <c r="AG2066" t="s">
        <v>48</v>
      </c>
    </row>
    <row r="2067" spans="1:33" x14ac:dyDescent="0.3">
      <c r="A2067">
        <v>37658</v>
      </c>
      <c r="B2067" t="s">
        <v>11080</v>
      </c>
      <c r="C2067" t="str">
        <f>""</f>
        <v/>
      </c>
      <c r="D2067" t="str">
        <f>""</f>
        <v/>
      </c>
      <c r="E2067" s="1">
        <v>35674</v>
      </c>
      <c r="F2067" t="s">
        <v>11081</v>
      </c>
      <c r="G2067" t="e">
        <f>INDEX(#REF!,MATCH(P2067,#REF!,0),1)</f>
        <v>#REF!</v>
      </c>
      <c r="H2067" t="s">
        <v>11082</v>
      </c>
      <c r="J2067" t="s">
        <v>4928</v>
      </c>
      <c r="K2067" t="s">
        <v>53</v>
      </c>
      <c r="L2067" t="str">
        <f>"03051-3059"</f>
        <v>03051-3059</v>
      </c>
      <c r="M2067" t="s">
        <v>11083</v>
      </c>
      <c r="N2067">
        <v>155</v>
      </c>
      <c r="O2067" t="s">
        <v>55</v>
      </c>
      <c r="P2067">
        <v>38265</v>
      </c>
      <c r="Q2067" t="s">
        <v>10398</v>
      </c>
      <c r="R2067" t="s">
        <v>2138</v>
      </c>
      <c r="S2067" t="s">
        <v>2139</v>
      </c>
      <c r="T2067" t="s">
        <v>2277</v>
      </c>
      <c r="U2067" t="s">
        <v>5622</v>
      </c>
      <c r="V2067" t="s">
        <v>1824</v>
      </c>
      <c r="AA2067" t="s">
        <v>58</v>
      </c>
      <c r="AG2067" t="s">
        <v>48</v>
      </c>
    </row>
    <row r="2068" spans="1:33" x14ac:dyDescent="0.3">
      <c r="A2068">
        <v>37659</v>
      </c>
      <c r="B2068" t="s">
        <v>11084</v>
      </c>
      <c r="C2068" t="str">
        <f>""</f>
        <v/>
      </c>
      <c r="D2068" t="str">
        <f>""</f>
        <v/>
      </c>
      <c r="E2068" s="1">
        <v>35674</v>
      </c>
      <c r="F2068" t="s">
        <v>11085</v>
      </c>
      <c r="G2068" t="e">
        <f>INDEX(#REF!,MATCH(P2068,#REF!,0),1)</f>
        <v>#REF!</v>
      </c>
      <c r="H2068" t="s">
        <v>11086</v>
      </c>
      <c r="I2068" t="s">
        <v>11087</v>
      </c>
      <c r="J2068" t="s">
        <v>11088</v>
      </c>
      <c r="K2068" t="s">
        <v>53</v>
      </c>
      <c r="L2068" t="str">
        <f>"03452-5860"</f>
        <v>03452-5860</v>
      </c>
      <c r="M2068" t="s">
        <v>11089</v>
      </c>
      <c r="N2068">
        <v>155</v>
      </c>
      <c r="O2068" t="s">
        <v>55</v>
      </c>
      <c r="P2068">
        <v>38265</v>
      </c>
      <c r="Q2068" t="s">
        <v>10398</v>
      </c>
      <c r="R2068" t="s">
        <v>2138</v>
      </c>
      <c r="S2068" t="s">
        <v>2139</v>
      </c>
      <c r="T2068" t="s">
        <v>2277</v>
      </c>
      <c r="U2068" t="s">
        <v>2278</v>
      </c>
      <c r="V2068" t="s">
        <v>1824</v>
      </c>
      <c r="AA2068" t="s">
        <v>58</v>
      </c>
      <c r="AG2068" t="s">
        <v>48</v>
      </c>
    </row>
    <row r="2069" spans="1:33" x14ac:dyDescent="0.3">
      <c r="A2069">
        <v>37660</v>
      </c>
      <c r="B2069" t="s">
        <v>11090</v>
      </c>
      <c r="C2069" t="str">
        <f>""</f>
        <v/>
      </c>
      <c r="D2069" t="str">
        <f>""</f>
        <v/>
      </c>
      <c r="E2069" s="1">
        <v>35674</v>
      </c>
      <c r="F2069" t="s">
        <v>11091</v>
      </c>
      <c r="G2069" t="e">
        <f>INDEX(#REF!,MATCH(P2069,#REF!,0),1)</f>
        <v>#REF!</v>
      </c>
      <c r="H2069" t="s">
        <v>11092</v>
      </c>
      <c r="J2069" t="s">
        <v>3110</v>
      </c>
      <c r="K2069" t="s">
        <v>53</v>
      </c>
      <c r="L2069" t="str">
        <f>"03431-1719"</f>
        <v>03431-1719</v>
      </c>
      <c r="M2069" t="s">
        <v>11093</v>
      </c>
      <c r="N2069">
        <v>155</v>
      </c>
      <c r="O2069" t="s">
        <v>55</v>
      </c>
      <c r="P2069">
        <v>38265</v>
      </c>
      <c r="Q2069" t="s">
        <v>10398</v>
      </c>
      <c r="R2069" t="s">
        <v>2138</v>
      </c>
      <c r="S2069" t="s">
        <v>2139</v>
      </c>
      <c r="T2069" t="s">
        <v>2277</v>
      </c>
      <c r="U2069" t="s">
        <v>2278</v>
      </c>
      <c r="V2069" t="s">
        <v>1824</v>
      </c>
      <c r="AA2069" t="s">
        <v>58</v>
      </c>
      <c r="AG2069" t="s">
        <v>48</v>
      </c>
    </row>
    <row r="2070" spans="1:33" x14ac:dyDescent="0.3">
      <c r="A2070">
        <v>37661</v>
      </c>
      <c r="B2070" t="s">
        <v>11094</v>
      </c>
      <c r="C2070" t="str">
        <f>""</f>
        <v/>
      </c>
      <c r="D2070" t="str">
        <f>""</f>
        <v/>
      </c>
      <c r="E2070" s="1">
        <v>35674</v>
      </c>
      <c r="F2070" t="s">
        <v>11095</v>
      </c>
      <c r="G2070" t="e">
        <f>INDEX(#REF!,MATCH(P2070,#REF!,0),1)</f>
        <v>#REF!</v>
      </c>
      <c r="H2070" t="s">
        <v>9439</v>
      </c>
      <c r="J2070" t="s">
        <v>9440</v>
      </c>
      <c r="K2070" t="s">
        <v>53</v>
      </c>
      <c r="L2070" t="str">
        <f>"03246-3235"</f>
        <v>03246-3235</v>
      </c>
      <c r="M2070" t="s">
        <v>3226</v>
      </c>
      <c r="N2070">
        <v>155</v>
      </c>
      <c r="O2070" t="s">
        <v>55</v>
      </c>
      <c r="P2070">
        <v>38265</v>
      </c>
      <c r="Q2070" t="s">
        <v>10398</v>
      </c>
      <c r="R2070" t="s">
        <v>2138</v>
      </c>
      <c r="S2070" t="s">
        <v>2139</v>
      </c>
      <c r="T2070" t="s">
        <v>2277</v>
      </c>
      <c r="U2070" t="s">
        <v>2278</v>
      </c>
      <c r="V2070" t="s">
        <v>1824</v>
      </c>
      <c r="AA2070" t="s">
        <v>58</v>
      </c>
      <c r="AG2070" t="s">
        <v>48</v>
      </c>
    </row>
    <row r="2071" spans="1:33" x14ac:dyDescent="0.3">
      <c r="A2071">
        <v>37662</v>
      </c>
      <c r="B2071" t="s">
        <v>11096</v>
      </c>
      <c r="C2071" t="str">
        <f>""</f>
        <v/>
      </c>
      <c r="D2071" t="str">
        <f>""</f>
        <v/>
      </c>
      <c r="E2071" s="1">
        <v>35674</v>
      </c>
      <c r="F2071" t="s">
        <v>11097</v>
      </c>
      <c r="G2071" t="e">
        <f>INDEX(#REF!,MATCH(P2071,#REF!,0),1)</f>
        <v>#REF!</v>
      </c>
      <c r="H2071" t="s">
        <v>11098</v>
      </c>
      <c r="J2071" t="s">
        <v>1540</v>
      </c>
      <c r="K2071" t="s">
        <v>53</v>
      </c>
      <c r="L2071" t="str">
        <f>"03584"</f>
        <v>03584</v>
      </c>
      <c r="M2071" t="s">
        <v>11099</v>
      </c>
      <c r="N2071">
        <v>155</v>
      </c>
      <c r="O2071" t="s">
        <v>55</v>
      </c>
      <c r="P2071">
        <v>38265</v>
      </c>
      <c r="Q2071" t="s">
        <v>10398</v>
      </c>
      <c r="R2071" t="s">
        <v>2138</v>
      </c>
      <c r="S2071" t="s">
        <v>2139</v>
      </c>
      <c r="T2071" t="s">
        <v>2277</v>
      </c>
      <c r="U2071" t="s">
        <v>2278</v>
      </c>
      <c r="V2071" t="s">
        <v>1824</v>
      </c>
      <c r="AA2071" t="s">
        <v>58</v>
      </c>
      <c r="AG2071" t="s">
        <v>48</v>
      </c>
    </row>
    <row r="2072" spans="1:33" x14ac:dyDescent="0.3">
      <c r="A2072">
        <v>37664</v>
      </c>
      <c r="B2072" t="s">
        <v>11100</v>
      </c>
      <c r="C2072" t="str">
        <f>""</f>
        <v/>
      </c>
      <c r="D2072" t="str">
        <f>""</f>
        <v/>
      </c>
      <c r="E2072" s="1">
        <v>35674</v>
      </c>
      <c r="F2072" t="s">
        <v>11101</v>
      </c>
      <c r="G2072" t="e">
        <f>INDEX(#REF!,MATCH(P2072,#REF!,0),1)</f>
        <v>#REF!</v>
      </c>
      <c r="H2072" t="s">
        <v>11102</v>
      </c>
      <c r="J2072" t="s">
        <v>9445</v>
      </c>
      <c r="K2072" t="s">
        <v>53</v>
      </c>
      <c r="L2072" t="str">
        <f>"03561-4203"</f>
        <v>03561-4203</v>
      </c>
      <c r="M2072" t="s">
        <v>11103</v>
      </c>
      <c r="N2072">
        <v>155</v>
      </c>
      <c r="O2072" t="s">
        <v>55</v>
      </c>
      <c r="P2072">
        <v>38265</v>
      </c>
      <c r="Q2072" t="s">
        <v>10398</v>
      </c>
      <c r="R2072" t="s">
        <v>2138</v>
      </c>
      <c r="S2072" t="s">
        <v>2139</v>
      </c>
      <c r="T2072" t="s">
        <v>2277</v>
      </c>
      <c r="U2072" t="s">
        <v>2278</v>
      </c>
      <c r="V2072" t="s">
        <v>1824</v>
      </c>
      <c r="AA2072" t="s">
        <v>58</v>
      </c>
      <c r="AG2072" t="s">
        <v>48</v>
      </c>
    </row>
    <row r="2073" spans="1:33" x14ac:dyDescent="0.3">
      <c r="A2073">
        <v>37665</v>
      </c>
      <c r="B2073" t="s">
        <v>11104</v>
      </c>
      <c r="C2073" t="str">
        <f>"1100002089887"</f>
        <v>1100002089887</v>
      </c>
      <c r="D2073" t="str">
        <f>"97GNQR000"</f>
        <v>97GNQR000</v>
      </c>
      <c r="E2073" s="1">
        <v>35674</v>
      </c>
      <c r="F2073" t="s">
        <v>11105</v>
      </c>
      <c r="G2073" t="e">
        <f>INDEX(#REF!,MATCH(P2073,#REF!,0),1)</f>
        <v>#REF!</v>
      </c>
      <c r="H2073" t="s">
        <v>10396</v>
      </c>
      <c r="J2073" t="s">
        <v>10397</v>
      </c>
      <c r="K2073" t="s">
        <v>53</v>
      </c>
      <c r="L2073" t="str">
        <f>"03106-2625"</f>
        <v>03106-2625</v>
      </c>
      <c r="M2073" t="s">
        <v>11045</v>
      </c>
      <c r="N2073">
        <v>155</v>
      </c>
      <c r="O2073" t="s">
        <v>55</v>
      </c>
      <c r="P2073">
        <v>38265</v>
      </c>
      <c r="Q2073" t="s">
        <v>10398</v>
      </c>
      <c r="R2073" t="s">
        <v>2138</v>
      </c>
      <c r="S2073" t="s">
        <v>2139</v>
      </c>
      <c r="T2073" t="s">
        <v>2277</v>
      </c>
      <c r="U2073" t="s">
        <v>2278</v>
      </c>
      <c r="V2073" t="s">
        <v>1824</v>
      </c>
      <c r="AA2073" t="s">
        <v>58</v>
      </c>
      <c r="AE2073" t="s">
        <v>60</v>
      </c>
      <c r="AG2073" t="s">
        <v>48</v>
      </c>
    </row>
    <row r="2074" spans="1:33" x14ac:dyDescent="0.3">
      <c r="A2074">
        <v>37666</v>
      </c>
      <c r="B2074" t="s">
        <v>11106</v>
      </c>
      <c r="C2074" t="str">
        <f>""</f>
        <v/>
      </c>
      <c r="D2074" t="str">
        <f>""</f>
        <v/>
      </c>
      <c r="E2074" s="1">
        <v>35674</v>
      </c>
      <c r="F2074" t="s">
        <v>11107</v>
      </c>
      <c r="G2074" t="e">
        <f>INDEX(#REF!,MATCH(P2074,#REF!,0),1)</f>
        <v>#REF!</v>
      </c>
      <c r="H2074" t="s">
        <v>11108</v>
      </c>
      <c r="J2074" t="s">
        <v>11109</v>
      </c>
      <c r="K2074" t="s">
        <v>53</v>
      </c>
      <c r="L2074" t="str">
        <f>"03054-4474"</f>
        <v>03054-4474</v>
      </c>
      <c r="M2074" t="s">
        <v>11110</v>
      </c>
      <c r="N2074">
        <v>155</v>
      </c>
      <c r="O2074" t="s">
        <v>55</v>
      </c>
      <c r="P2074">
        <v>38265</v>
      </c>
      <c r="Q2074" t="s">
        <v>10398</v>
      </c>
      <c r="R2074" t="s">
        <v>2138</v>
      </c>
      <c r="S2074" t="s">
        <v>2139</v>
      </c>
      <c r="T2074" t="s">
        <v>2277</v>
      </c>
      <c r="U2074" t="s">
        <v>5622</v>
      </c>
      <c r="V2074" t="s">
        <v>1824</v>
      </c>
      <c r="AA2074" t="s">
        <v>58</v>
      </c>
      <c r="AG2074" t="s">
        <v>48</v>
      </c>
    </row>
    <row r="2075" spans="1:33" x14ac:dyDescent="0.3">
      <c r="A2075">
        <v>37667</v>
      </c>
      <c r="B2075" t="s">
        <v>11111</v>
      </c>
      <c r="C2075" t="str">
        <f>""</f>
        <v/>
      </c>
      <c r="D2075" t="str">
        <f>""</f>
        <v/>
      </c>
      <c r="E2075" s="1">
        <v>35674</v>
      </c>
      <c r="F2075" t="s">
        <v>11112</v>
      </c>
      <c r="G2075" t="e">
        <f>INDEX(#REF!,MATCH(P2075,#REF!,0),1)</f>
        <v>#REF!</v>
      </c>
      <c r="H2075" t="s">
        <v>11113</v>
      </c>
      <c r="J2075" t="s">
        <v>9155</v>
      </c>
      <c r="K2075" t="s">
        <v>53</v>
      </c>
      <c r="L2075" t="str">
        <f>"03055-1564"</f>
        <v>03055-1564</v>
      </c>
      <c r="M2075" t="s">
        <v>11114</v>
      </c>
      <c r="N2075">
        <v>155</v>
      </c>
      <c r="O2075" t="s">
        <v>55</v>
      </c>
      <c r="P2075">
        <v>38265</v>
      </c>
      <c r="Q2075" t="s">
        <v>10398</v>
      </c>
      <c r="R2075" t="s">
        <v>2138</v>
      </c>
      <c r="S2075" t="s">
        <v>2139</v>
      </c>
      <c r="T2075" t="s">
        <v>2277</v>
      </c>
      <c r="U2075" t="s">
        <v>5622</v>
      </c>
      <c r="V2075" t="s">
        <v>1824</v>
      </c>
      <c r="AA2075" t="s">
        <v>58</v>
      </c>
      <c r="AG2075" t="s">
        <v>48</v>
      </c>
    </row>
    <row r="2076" spans="1:33" x14ac:dyDescent="0.3">
      <c r="A2076">
        <v>37670</v>
      </c>
      <c r="B2076" t="s">
        <v>11115</v>
      </c>
      <c r="C2076" t="str">
        <f>""</f>
        <v/>
      </c>
      <c r="D2076" t="str">
        <f>""</f>
        <v/>
      </c>
      <c r="E2076" s="1">
        <v>35674</v>
      </c>
      <c r="F2076" t="s">
        <v>11116</v>
      </c>
      <c r="G2076" t="e">
        <f>INDEX(#REF!,MATCH(P2076,#REF!,0),1)</f>
        <v>#REF!</v>
      </c>
      <c r="H2076" t="s">
        <v>11117</v>
      </c>
      <c r="J2076" t="s">
        <v>734</v>
      </c>
      <c r="K2076" t="s">
        <v>53</v>
      </c>
      <c r="L2076" t="str">
        <f>"03257-5795"</f>
        <v>03257-5795</v>
      </c>
      <c r="M2076" t="s">
        <v>11118</v>
      </c>
      <c r="N2076">
        <v>155</v>
      </c>
      <c r="O2076" t="s">
        <v>55</v>
      </c>
      <c r="P2076">
        <v>38265</v>
      </c>
      <c r="Q2076" t="s">
        <v>10398</v>
      </c>
      <c r="R2076" t="s">
        <v>2138</v>
      </c>
      <c r="S2076" t="s">
        <v>2139</v>
      </c>
      <c r="T2076" t="s">
        <v>2277</v>
      </c>
      <c r="U2076" t="s">
        <v>2278</v>
      </c>
      <c r="V2076" t="s">
        <v>1824</v>
      </c>
      <c r="AA2076" t="s">
        <v>58</v>
      </c>
      <c r="AG2076" t="s">
        <v>48</v>
      </c>
    </row>
    <row r="2077" spans="1:33" x14ac:dyDescent="0.3">
      <c r="A2077">
        <v>37671</v>
      </c>
      <c r="B2077" t="s">
        <v>11119</v>
      </c>
      <c r="C2077" t="str">
        <f>""</f>
        <v/>
      </c>
      <c r="D2077" t="str">
        <f>""</f>
        <v/>
      </c>
      <c r="E2077" s="1">
        <v>35674</v>
      </c>
      <c r="F2077" t="s">
        <v>11120</v>
      </c>
      <c r="G2077" t="e">
        <f>INDEX(#REF!,MATCH(P2077,#REF!,0),1)</f>
        <v>#REF!</v>
      </c>
      <c r="H2077" t="s">
        <v>11121</v>
      </c>
      <c r="J2077" t="s">
        <v>11122</v>
      </c>
      <c r="K2077" t="s">
        <v>53</v>
      </c>
      <c r="L2077" t="str">
        <f>"03458-1263"</f>
        <v>03458-1263</v>
      </c>
      <c r="M2077" t="s">
        <v>3226</v>
      </c>
      <c r="N2077">
        <v>155</v>
      </c>
      <c r="O2077" t="s">
        <v>55</v>
      </c>
      <c r="P2077">
        <v>38265</v>
      </c>
      <c r="Q2077" t="s">
        <v>10398</v>
      </c>
      <c r="R2077" t="s">
        <v>2138</v>
      </c>
      <c r="S2077" t="s">
        <v>2139</v>
      </c>
      <c r="T2077" t="s">
        <v>2277</v>
      </c>
      <c r="U2077" t="s">
        <v>2278</v>
      </c>
      <c r="V2077" t="s">
        <v>1824</v>
      </c>
      <c r="AA2077" t="s">
        <v>58</v>
      </c>
      <c r="AG2077" t="s">
        <v>48</v>
      </c>
    </row>
    <row r="2078" spans="1:33" x14ac:dyDescent="0.3">
      <c r="A2078">
        <v>37672</v>
      </c>
      <c r="B2078" t="s">
        <v>11123</v>
      </c>
      <c r="C2078" t="str">
        <f>""</f>
        <v/>
      </c>
      <c r="D2078" t="str">
        <f>""</f>
        <v/>
      </c>
      <c r="E2078" s="1">
        <v>35674</v>
      </c>
      <c r="F2078" t="s">
        <v>11124</v>
      </c>
      <c r="G2078" t="e">
        <f>INDEX(#REF!,MATCH(P2078,#REF!,0),1)</f>
        <v>#REF!</v>
      </c>
      <c r="H2078" t="s">
        <v>11125</v>
      </c>
      <c r="J2078" t="s">
        <v>6119</v>
      </c>
      <c r="K2078" t="s">
        <v>53</v>
      </c>
      <c r="L2078" t="str">
        <f>"03264"</f>
        <v>03264</v>
      </c>
      <c r="M2078" t="s">
        <v>11126</v>
      </c>
      <c r="N2078">
        <v>155</v>
      </c>
      <c r="O2078" t="s">
        <v>55</v>
      </c>
      <c r="P2078">
        <v>38265</v>
      </c>
      <c r="Q2078" t="s">
        <v>10398</v>
      </c>
      <c r="R2078" t="s">
        <v>2138</v>
      </c>
      <c r="S2078" t="s">
        <v>2139</v>
      </c>
      <c r="T2078" t="s">
        <v>2277</v>
      </c>
      <c r="U2078" t="s">
        <v>2278</v>
      </c>
      <c r="V2078" t="s">
        <v>1824</v>
      </c>
      <c r="AA2078" t="s">
        <v>58</v>
      </c>
      <c r="AG2078" t="s">
        <v>48</v>
      </c>
    </row>
    <row r="2079" spans="1:33" x14ac:dyDescent="0.3">
      <c r="A2079">
        <v>37673</v>
      </c>
      <c r="B2079" t="s">
        <v>11127</v>
      </c>
      <c r="C2079" t="str">
        <f>""</f>
        <v/>
      </c>
      <c r="D2079" t="str">
        <f>""</f>
        <v/>
      </c>
      <c r="E2079" s="1">
        <v>35674</v>
      </c>
      <c r="F2079" t="s">
        <v>11128</v>
      </c>
      <c r="G2079" t="e">
        <f>INDEX(#REF!,MATCH(P2079,#REF!,0),1)</f>
        <v>#REF!</v>
      </c>
      <c r="H2079" t="s">
        <v>11129</v>
      </c>
      <c r="J2079" t="s">
        <v>11130</v>
      </c>
      <c r="K2079" t="s">
        <v>53</v>
      </c>
      <c r="L2079" t="str">
        <f>"03608"</f>
        <v>03608</v>
      </c>
      <c r="M2079" t="s">
        <v>11131</v>
      </c>
      <c r="N2079">
        <v>155</v>
      </c>
      <c r="O2079" t="s">
        <v>55</v>
      </c>
      <c r="P2079">
        <v>38265</v>
      </c>
      <c r="Q2079" t="s">
        <v>10398</v>
      </c>
      <c r="R2079" t="s">
        <v>2138</v>
      </c>
      <c r="S2079" t="s">
        <v>2139</v>
      </c>
      <c r="T2079" t="s">
        <v>2277</v>
      </c>
      <c r="U2079" t="s">
        <v>2278</v>
      </c>
      <c r="V2079" t="s">
        <v>1824</v>
      </c>
      <c r="AA2079" t="s">
        <v>58</v>
      </c>
      <c r="AG2079" t="s">
        <v>48</v>
      </c>
    </row>
    <row r="2080" spans="1:33" x14ac:dyDescent="0.3">
      <c r="A2080">
        <v>37674</v>
      </c>
      <c r="B2080" t="s">
        <v>11132</v>
      </c>
      <c r="C2080" t="str">
        <f>""</f>
        <v/>
      </c>
      <c r="D2080" t="str">
        <f>""</f>
        <v/>
      </c>
      <c r="E2080" s="1">
        <v>35674</v>
      </c>
      <c r="F2080" t="s">
        <v>11133</v>
      </c>
      <c r="G2080" t="e">
        <f>INDEX(#REF!,MATCH(P2080,#REF!,0),1)</f>
        <v>#REF!</v>
      </c>
      <c r="H2080" t="s">
        <v>11134</v>
      </c>
      <c r="J2080" t="s">
        <v>11135</v>
      </c>
      <c r="K2080" t="s">
        <v>53</v>
      </c>
      <c r="L2080" t="str">
        <f>"03279"</f>
        <v>03279</v>
      </c>
      <c r="M2080" t="s">
        <v>3226</v>
      </c>
      <c r="N2080">
        <v>155</v>
      </c>
      <c r="O2080" t="s">
        <v>55</v>
      </c>
      <c r="P2080">
        <v>38265</v>
      </c>
      <c r="Q2080" t="s">
        <v>10398</v>
      </c>
      <c r="R2080" t="s">
        <v>2138</v>
      </c>
      <c r="S2080" t="s">
        <v>2139</v>
      </c>
      <c r="T2080" t="s">
        <v>2277</v>
      </c>
      <c r="U2080" t="s">
        <v>2278</v>
      </c>
      <c r="V2080" t="s">
        <v>1824</v>
      </c>
      <c r="AA2080" t="s">
        <v>58</v>
      </c>
      <c r="AG2080" t="s">
        <v>48</v>
      </c>
    </row>
    <row r="2081" spans="1:33" x14ac:dyDescent="0.3">
      <c r="A2081">
        <v>37675</v>
      </c>
      <c r="B2081" t="s">
        <v>11136</v>
      </c>
      <c r="C2081" t="str">
        <f>""</f>
        <v/>
      </c>
      <c r="D2081" t="str">
        <f>""</f>
        <v/>
      </c>
      <c r="E2081" s="1">
        <v>35674</v>
      </c>
      <c r="F2081" t="s">
        <v>11137</v>
      </c>
      <c r="G2081" t="e">
        <f>INDEX(#REF!,MATCH(P2081,#REF!,0),1)</f>
        <v>#REF!</v>
      </c>
      <c r="H2081" t="s">
        <v>11138</v>
      </c>
      <c r="J2081" t="s">
        <v>9187</v>
      </c>
      <c r="K2081" t="s">
        <v>53</v>
      </c>
      <c r="L2081" t="str">
        <f>"03470-2820"</f>
        <v>03470-2820</v>
      </c>
      <c r="M2081" t="s">
        <v>11139</v>
      </c>
      <c r="N2081">
        <v>155</v>
      </c>
      <c r="O2081" t="s">
        <v>55</v>
      </c>
      <c r="P2081">
        <v>38265</v>
      </c>
      <c r="Q2081" t="s">
        <v>10398</v>
      </c>
      <c r="R2081" t="s">
        <v>2138</v>
      </c>
      <c r="S2081" t="s">
        <v>2139</v>
      </c>
      <c r="T2081" t="s">
        <v>2277</v>
      </c>
      <c r="U2081" t="s">
        <v>2278</v>
      </c>
      <c r="V2081" t="s">
        <v>1824</v>
      </c>
      <c r="AA2081" t="s">
        <v>58</v>
      </c>
      <c r="AG2081" t="s">
        <v>48</v>
      </c>
    </row>
    <row r="2082" spans="1:33" x14ac:dyDescent="0.3">
      <c r="A2082">
        <v>37676</v>
      </c>
      <c r="B2082" t="s">
        <v>11140</v>
      </c>
      <c r="C2082" t="str">
        <f>""</f>
        <v/>
      </c>
      <c r="D2082" t="str">
        <f>""</f>
        <v/>
      </c>
      <c r="E2082" s="1">
        <v>35674</v>
      </c>
      <c r="F2082" t="s">
        <v>11141</v>
      </c>
      <c r="G2082" t="e">
        <f>INDEX(#REF!,MATCH(P2082,#REF!,0),1)</f>
        <v>#REF!</v>
      </c>
      <c r="H2082" t="s">
        <v>11142</v>
      </c>
      <c r="J2082" t="s">
        <v>9284</v>
      </c>
      <c r="K2082" t="s">
        <v>53</v>
      </c>
      <c r="L2082" t="str">
        <f>"03785"</f>
        <v>03785</v>
      </c>
      <c r="M2082" t="s">
        <v>3226</v>
      </c>
      <c r="N2082">
        <v>155</v>
      </c>
      <c r="O2082" t="s">
        <v>55</v>
      </c>
      <c r="P2082">
        <v>38265</v>
      </c>
      <c r="Q2082" t="s">
        <v>10398</v>
      </c>
      <c r="R2082" t="s">
        <v>2138</v>
      </c>
      <c r="S2082" t="s">
        <v>2139</v>
      </c>
      <c r="T2082" t="s">
        <v>2277</v>
      </c>
      <c r="U2082" t="s">
        <v>2278</v>
      </c>
      <c r="V2082" t="s">
        <v>1824</v>
      </c>
      <c r="AA2082" t="s">
        <v>58</v>
      </c>
      <c r="AG2082" t="s">
        <v>48</v>
      </c>
    </row>
    <row r="2083" spans="1:33" x14ac:dyDescent="0.3">
      <c r="A2083">
        <v>37677</v>
      </c>
      <c r="B2083" t="s">
        <v>11143</v>
      </c>
      <c r="C2083" t="str">
        <f>""</f>
        <v/>
      </c>
      <c r="D2083" t="str">
        <f>""</f>
        <v/>
      </c>
      <c r="E2083" s="1">
        <v>35674</v>
      </c>
      <c r="F2083" t="s">
        <v>11144</v>
      </c>
      <c r="G2083" t="e">
        <f>INDEX(#REF!,MATCH(P2083,#REF!,0),1)</f>
        <v>#REF!</v>
      </c>
      <c r="H2083" t="s">
        <v>11145</v>
      </c>
      <c r="J2083" t="s">
        <v>9236</v>
      </c>
      <c r="K2083" t="s">
        <v>425</v>
      </c>
      <c r="L2083" t="str">
        <f>"05301"</f>
        <v>05301</v>
      </c>
      <c r="M2083" t="s">
        <v>11146</v>
      </c>
      <c r="N2083">
        <v>155</v>
      </c>
      <c r="O2083" t="s">
        <v>55</v>
      </c>
      <c r="P2083">
        <v>38265</v>
      </c>
      <c r="Q2083" t="s">
        <v>10398</v>
      </c>
      <c r="R2083" t="s">
        <v>2138</v>
      </c>
      <c r="S2083" t="s">
        <v>2139</v>
      </c>
      <c r="T2083" t="s">
        <v>2277</v>
      </c>
      <c r="U2083" t="s">
        <v>2278</v>
      </c>
      <c r="V2083" t="s">
        <v>1824</v>
      </c>
      <c r="AA2083" t="s">
        <v>58</v>
      </c>
      <c r="AG2083" t="s">
        <v>48</v>
      </c>
    </row>
    <row r="2084" spans="1:33" x14ac:dyDescent="0.3">
      <c r="A2084">
        <v>37678</v>
      </c>
      <c r="B2084" t="s">
        <v>11147</v>
      </c>
      <c r="C2084" t="str">
        <f>""</f>
        <v/>
      </c>
      <c r="D2084" t="str">
        <f>""</f>
        <v/>
      </c>
      <c r="E2084" s="1">
        <v>35674</v>
      </c>
      <c r="F2084" t="s">
        <v>11148</v>
      </c>
      <c r="G2084" t="e">
        <f>INDEX(#REF!,MATCH(P2084,#REF!,0),1)</f>
        <v>#REF!</v>
      </c>
      <c r="H2084" t="s">
        <v>11149</v>
      </c>
      <c r="J2084" t="s">
        <v>11150</v>
      </c>
      <c r="K2084" t="s">
        <v>425</v>
      </c>
      <c r="L2084" t="str">
        <f>"05851"</f>
        <v>05851</v>
      </c>
      <c r="M2084" t="s">
        <v>11151</v>
      </c>
      <c r="N2084">
        <v>155</v>
      </c>
      <c r="O2084" t="s">
        <v>55</v>
      </c>
      <c r="P2084">
        <v>38265</v>
      </c>
      <c r="Q2084" t="s">
        <v>10398</v>
      </c>
      <c r="R2084" t="s">
        <v>2138</v>
      </c>
      <c r="S2084" t="s">
        <v>2139</v>
      </c>
      <c r="T2084" t="s">
        <v>2277</v>
      </c>
      <c r="U2084" t="s">
        <v>2278</v>
      </c>
      <c r="V2084" t="s">
        <v>1824</v>
      </c>
      <c r="AA2084" t="s">
        <v>58</v>
      </c>
      <c r="AG2084" t="s">
        <v>48</v>
      </c>
    </row>
    <row r="2085" spans="1:33" x14ac:dyDescent="0.3">
      <c r="A2085">
        <v>37679</v>
      </c>
      <c r="B2085" t="s">
        <v>11152</v>
      </c>
      <c r="C2085" t="str">
        <f>""</f>
        <v/>
      </c>
      <c r="D2085" t="str">
        <f>""</f>
        <v/>
      </c>
      <c r="E2085" s="1">
        <v>35674</v>
      </c>
      <c r="F2085" t="s">
        <v>11153</v>
      </c>
      <c r="G2085" t="e">
        <f>INDEX(#REF!,MATCH(P2085,#REF!,0),1)</f>
        <v>#REF!</v>
      </c>
      <c r="H2085" t="s">
        <v>11154</v>
      </c>
      <c r="J2085" t="s">
        <v>2900</v>
      </c>
      <c r="K2085" t="s">
        <v>425</v>
      </c>
      <c r="L2085" t="str">
        <f>"05855"</f>
        <v>05855</v>
      </c>
      <c r="M2085" t="s">
        <v>3226</v>
      </c>
      <c r="N2085">
        <v>155</v>
      </c>
      <c r="O2085" t="s">
        <v>55</v>
      </c>
      <c r="P2085">
        <v>38265</v>
      </c>
      <c r="Q2085" t="s">
        <v>10398</v>
      </c>
      <c r="R2085" t="s">
        <v>2138</v>
      </c>
      <c r="S2085" t="s">
        <v>2139</v>
      </c>
      <c r="T2085" t="s">
        <v>2277</v>
      </c>
      <c r="U2085" t="s">
        <v>2278</v>
      </c>
      <c r="V2085" t="s">
        <v>1824</v>
      </c>
      <c r="AA2085" t="s">
        <v>58</v>
      </c>
      <c r="AG2085" t="s">
        <v>48</v>
      </c>
    </row>
    <row r="2086" spans="1:33" x14ac:dyDescent="0.3">
      <c r="A2086">
        <v>37680</v>
      </c>
      <c r="B2086" t="s">
        <v>11155</v>
      </c>
      <c r="C2086" t="str">
        <f>""</f>
        <v/>
      </c>
      <c r="D2086" t="str">
        <f>""</f>
        <v/>
      </c>
      <c r="E2086" s="1">
        <v>35674</v>
      </c>
      <c r="F2086" t="s">
        <v>11156</v>
      </c>
      <c r="G2086" t="e">
        <f>INDEX(#REF!,MATCH(P2086,#REF!,0),1)</f>
        <v>#REF!</v>
      </c>
      <c r="H2086" t="s">
        <v>11157</v>
      </c>
      <c r="J2086" t="s">
        <v>9236</v>
      </c>
      <c r="K2086" t="s">
        <v>425</v>
      </c>
      <c r="L2086" t="str">
        <f>"05301-3404"</f>
        <v>05301-3404</v>
      </c>
      <c r="M2086" t="s">
        <v>11158</v>
      </c>
      <c r="N2086">
        <v>155</v>
      </c>
      <c r="O2086" t="s">
        <v>55</v>
      </c>
      <c r="P2086">
        <v>38265</v>
      </c>
      <c r="Q2086" t="s">
        <v>10398</v>
      </c>
      <c r="R2086" t="s">
        <v>2138</v>
      </c>
      <c r="S2086" t="s">
        <v>2139</v>
      </c>
      <c r="T2086" t="s">
        <v>2277</v>
      </c>
      <c r="U2086" t="s">
        <v>2278</v>
      </c>
      <c r="V2086" t="s">
        <v>1824</v>
      </c>
      <c r="AA2086" t="s">
        <v>58</v>
      </c>
      <c r="AG2086" t="s">
        <v>48</v>
      </c>
    </row>
    <row r="2087" spans="1:33" x14ac:dyDescent="0.3">
      <c r="A2087">
        <v>37681</v>
      </c>
      <c r="B2087" t="s">
        <v>11159</v>
      </c>
      <c r="C2087" t="str">
        <f>""</f>
        <v/>
      </c>
      <c r="D2087" t="str">
        <f>""</f>
        <v/>
      </c>
      <c r="E2087" s="1">
        <v>35674</v>
      </c>
      <c r="F2087" t="s">
        <v>11160</v>
      </c>
      <c r="G2087" t="e">
        <f>INDEX(#REF!,MATCH(P2087,#REF!,0),1)</f>
        <v>#REF!</v>
      </c>
      <c r="H2087" t="s">
        <v>11161</v>
      </c>
      <c r="J2087" t="s">
        <v>424</v>
      </c>
      <c r="K2087" t="s">
        <v>425</v>
      </c>
      <c r="L2087" t="str">
        <f>"05060"</f>
        <v>05060</v>
      </c>
      <c r="M2087" t="s">
        <v>11162</v>
      </c>
      <c r="N2087">
        <v>155</v>
      </c>
      <c r="O2087" t="s">
        <v>55</v>
      </c>
      <c r="P2087">
        <v>38265</v>
      </c>
      <c r="Q2087" t="s">
        <v>10398</v>
      </c>
      <c r="R2087" t="s">
        <v>2138</v>
      </c>
      <c r="S2087" t="s">
        <v>2139</v>
      </c>
      <c r="T2087" t="s">
        <v>2277</v>
      </c>
      <c r="U2087" t="s">
        <v>2278</v>
      </c>
      <c r="V2087" t="s">
        <v>1824</v>
      </c>
      <c r="AA2087" t="s">
        <v>58</v>
      </c>
      <c r="AG2087" t="s">
        <v>48</v>
      </c>
    </row>
    <row r="2088" spans="1:33" x14ac:dyDescent="0.3">
      <c r="A2088">
        <v>37682</v>
      </c>
      <c r="B2088" t="s">
        <v>11163</v>
      </c>
      <c r="C2088" t="str">
        <f>""</f>
        <v/>
      </c>
      <c r="D2088" t="str">
        <f>""</f>
        <v/>
      </c>
      <c r="E2088" s="1">
        <v>35674</v>
      </c>
      <c r="F2088" t="s">
        <v>11164</v>
      </c>
      <c r="G2088" t="e">
        <f>INDEX(#REF!,MATCH(P2088,#REF!,0),1)</f>
        <v>#REF!</v>
      </c>
      <c r="H2088" t="s">
        <v>11165</v>
      </c>
      <c r="J2088" t="s">
        <v>424</v>
      </c>
      <c r="K2088" t="s">
        <v>425</v>
      </c>
      <c r="L2088" t="str">
        <f>"05060"</f>
        <v>05060</v>
      </c>
      <c r="M2088" t="s">
        <v>11166</v>
      </c>
      <c r="N2088">
        <v>155</v>
      </c>
      <c r="O2088" t="s">
        <v>55</v>
      </c>
      <c r="P2088">
        <v>38265</v>
      </c>
      <c r="Q2088" t="s">
        <v>10398</v>
      </c>
      <c r="R2088" t="s">
        <v>2138</v>
      </c>
      <c r="S2088" t="s">
        <v>2139</v>
      </c>
      <c r="T2088" t="s">
        <v>2277</v>
      </c>
      <c r="U2088" t="s">
        <v>2278</v>
      </c>
      <c r="V2088" t="s">
        <v>1824</v>
      </c>
      <c r="AA2088" t="s">
        <v>58</v>
      </c>
      <c r="AG2088" t="s">
        <v>48</v>
      </c>
    </row>
    <row r="2089" spans="1:33" x14ac:dyDescent="0.3">
      <c r="A2089">
        <v>37683</v>
      </c>
      <c r="B2089" t="s">
        <v>11167</v>
      </c>
      <c r="C2089" t="str">
        <f>""</f>
        <v/>
      </c>
      <c r="D2089" t="str">
        <f>""</f>
        <v/>
      </c>
      <c r="E2089" s="1">
        <v>35674</v>
      </c>
      <c r="F2089" t="s">
        <v>11168</v>
      </c>
      <c r="G2089" t="e">
        <f>INDEX(#REF!,MATCH(P2089,#REF!,0),1)</f>
        <v>#REF!</v>
      </c>
      <c r="H2089" t="s">
        <v>5054</v>
      </c>
      <c r="J2089" t="s">
        <v>1248</v>
      </c>
      <c r="K2089" t="s">
        <v>425</v>
      </c>
      <c r="L2089" t="str">
        <f>"05156-3050"</f>
        <v>05156-3050</v>
      </c>
      <c r="M2089" t="s">
        <v>3226</v>
      </c>
      <c r="N2089">
        <v>155</v>
      </c>
      <c r="O2089" t="s">
        <v>55</v>
      </c>
      <c r="P2089">
        <v>38265</v>
      </c>
      <c r="Q2089" t="s">
        <v>10398</v>
      </c>
      <c r="R2089" t="s">
        <v>2138</v>
      </c>
      <c r="S2089" t="s">
        <v>2139</v>
      </c>
      <c r="T2089" t="s">
        <v>2277</v>
      </c>
      <c r="U2089" t="s">
        <v>2278</v>
      </c>
      <c r="V2089" t="s">
        <v>1824</v>
      </c>
      <c r="AA2089" t="s">
        <v>58</v>
      </c>
      <c r="AG2089" t="s">
        <v>48</v>
      </c>
    </row>
    <row r="2090" spans="1:33" x14ac:dyDescent="0.3">
      <c r="A2090">
        <v>37684</v>
      </c>
      <c r="B2090" t="s">
        <v>11169</v>
      </c>
      <c r="C2090" t="str">
        <f>""</f>
        <v/>
      </c>
      <c r="D2090" t="str">
        <f>""</f>
        <v/>
      </c>
      <c r="E2090" s="1">
        <v>35674</v>
      </c>
      <c r="F2090" t="s">
        <v>11170</v>
      </c>
      <c r="G2090" t="e">
        <f>INDEX(#REF!,MATCH(P2090,#REF!,0),1)</f>
        <v>#REF!</v>
      </c>
      <c r="H2090" t="s">
        <v>11171</v>
      </c>
      <c r="J2090" t="s">
        <v>9445</v>
      </c>
      <c r="K2090" t="s">
        <v>53</v>
      </c>
      <c r="L2090" t="str">
        <f>"03561"</f>
        <v>03561</v>
      </c>
      <c r="M2090" t="s">
        <v>11172</v>
      </c>
      <c r="N2090">
        <v>155</v>
      </c>
      <c r="O2090" t="s">
        <v>55</v>
      </c>
      <c r="P2090">
        <v>38265</v>
      </c>
      <c r="Q2090" t="s">
        <v>10398</v>
      </c>
      <c r="R2090" t="s">
        <v>2138</v>
      </c>
      <c r="S2090" t="s">
        <v>2139</v>
      </c>
      <c r="T2090" t="s">
        <v>2277</v>
      </c>
      <c r="U2090" t="s">
        <v>2278</v>
      </c>
      <c r="V2090" t="s">
        <v>1824</v>
      </c>
      <c r="AA2090" t="s">
        <v>58</v>
      </c>
      <c r="AG2090" t="s">
        <v>48</v>
      </c>
    </row>
    <row r="2091" spans="1:33" x14ac:dyDescent="0.3">
      <c r="A2091">
        <v>37685</v>
      </c>
      <c r="B2091" t="s">
        <v>11173</v>
      </c>
      <c r="C2091" t="str">
        <f>""</f>
        <v/>
      </c>
      <c r="D2091" t="str">
        <f>""</f>
        <v/>
      </c>
      <c r="E2091" s="1">
        <v>35674</v>
      </c>
      <c r="F2091" t="s">
        <v>11174</v>
      </c>
      <c r="G2091" t="e">
        <f>INDEX(#REF!,MATCH(P2091,#REF!,0),1)</f>
        <v>#REF!</v>
      </c>
      <c r="H2091" t="s">
        <v>11175</v>
      </c>
      <c r="J2091" t="s">
        <v>11176</v>
      </c>
      <c r="K2091" t="s">
        <v>425</v>
      </c>
      <c r="L2091" t="str">
        <f>"05819"</f>
        <v>05819</v>
      </c>
      <c r="M2091" t="s">
        <v>3226</v>
      </c>
      <c r="N2091">
        <v>155</v>
      </c>
      <c r="O2091" t="s">
        <v>55</v>
      </c>
      <c r="P2091">
        <v>38265</v>
      </c>
      <c r="Q2091" t="s">
        <v>10398</v>
      </c>
      <c r="R2091" t="s">
        <v>2138</v>
      </c>
      <c r="S2091" t="s">
        <v>2139</v>
      </c>
      <c r="T2091" t="s">
        <v>2277</v>
      </c>
      <c r="U2091" t="s">
        <v>2278</v>
      </c>
      <c r="V2091" t="s">
        <v>1824</v>
      </c>
      <c r="AA2091" t="s">
        <v>58</v>
      </c>
      <c r="AG2091" t="s">
        <v>48</v>
      </c>
    </row>
    <row r="2092" spans="1:33" x14ac:dyDescent="0.3">
      <c r="A2092">
        <v>37686</v>
      </c>
      <c r="B2092" t="s">
        <v>11177</v>
      </c>
      <c r="C2092" t="str">
        <f>""</f>
        <v/>
      </c>
      <c r="D2092" t="str">
        <f>""</f>
        <v/>
      </c>
      <c r="E2092" s="1">
        <v>35674</v>
      </c>
      <c r="F2092" t="s">
        <v>11178</v>
      </c>
      <c r="G2092" t="e">
        <f>INDEX(#REF!,MATCH(P2092,#REF!,0),1)</f>
        <v>#REF!</v>
      </c>
      <c r="H2092" t="s">
        <v>11179</v>
      </c>
      <c r="J2092" t="s">
        <v>9338</v>
      </c>
      <c r="K2092" t="s">
        <v>425</v>
      </c>
      <c r="L2092" t="str">
        <f>"05353"</f>
        <v>05353</v>
      </c>
      <c r="M2092" t="s">
        <v>3226</v>
      </c>
      <c r="N2092">
        <v>155</v>
      </c>
      <c r="O2092" t="s">
        <v>55</v>
      </c>
      <c r="P2092">
        <v>38265</v>
      </c>
      <c r="Q2092" t="s">
        <v>10398</v>
      </c>
      <c r="R2092" t="s">
        <v>2138</v>
      </c>
      <c r="S2092" t="s">
        <v>2139</v>
      </c>
      <c r="T2092" t="s">
        <v>2277</v>
      </c>
      <c r="U2092" t="s">
        <v>2278</v>
      </c>
      <c r="V2092" t="s">
        <v>1824</v>
      </c>
      <c r="AA2092" t="s">
        <v>58</v>
      </c>
      <c r="AG2092" t="s">
        <v>48</v>
      </c>
    </row>
    <row r="2093" spans="1:33" x14ac:dyDescent="0.3">
      <c r="A2093">
        <v>37687</v>
      </c>
      <c r="B2093" t="s">
        <v>11180</v>
      </c>
      <c r="C2093" t="str">
        <f>""</f>
        <v/>
      </c>
      <c r="D2093" t="str">
        <f>""</f>
        <v/>
      </c>
      <c r="E2093" s="1">
        <v>35674</v>
      </c>
      <c r="F2093" t="s">
        <v>11181</v>
      </c>
      <c r="G2093" t="e">
        <f>INDEX(#REF!,MATCH(P2093,#REF!,0),1)</f>
        <v>#REF!</v>
      </c>
      <c r="H2093" t="s">
        <v>720</v>
      </c>
      <c r="J2093" t="s">
        <v>721</v>
      </c>
      <c r="K2093" t="s">
        <v>425</v>
      </c>
      <c r="L2093" t="str">
        <f>"05089"</f>
        <v>05089</v>
      </c>
      <c r="M2093" t="s">
        <v>11182</v>
      </c>
      <c r="N2093">
        <v>155</v>
      </c>
      <c r="O2093" t="s">
        <v>55</v>
      </c>
      <c r="P2093">
        <v>38265</v>
      </c>
      <c r="Q2093" t="s">
        <v>10398</v>
      </c>
      <c r="R2093" t="s">
        <v>2138</v>
      </c>
      <c r="S2093" t="s">
        <v>2139</v>
      </c>
      <c r="T2093" t="s">
        <v>2277</v>
      </c>
      <c r="U2093" t="s">
        <v>2278</v>
      </c>
      <c r="V2093" t="s">
        <v>1824</v>
      </c>
      <c r="AA2093" t="s">
        <v>58</v>
      </c>
      <c r="AG2093" t="s">
        <v>48</v>
      </c>
    </row>
    <row r="2094" spans="1:33" x14ac:dyDescent="0.3">
      <c r="A2094">
        <v>37688</v>
      </c>
      <c r="B2094" t="s">
        <v>11183</v>
      </c>
      <c r="C2094" t="str">
        <f>""</f>
        <v/>
      </c>
      <c r="D2094" t="str">
        <f>""</f>
        <v/>
      </c>
      <c r="E2094" s="1">
        <v>35674</v>
      </c>
      <c r="F2094" t="s">
        <v>11184</v>
      </c>
      <c r="G2094" t="e">
        <f>INDEX(#REF!,MATCH(P2094,#REF!,0),1)</f>
        <v>#REF!</v>
      </c>
      <c r="H2094" t="s">
        <v>11185</v>
      </c>
      <c r="J2094" t="s">
        <v>721</v>
      </c>
      <c r="K2094" t="s">
        <v>425</v>
      </c>
      <c r="L2094" t="str">
        <f>"05089"</f>
        <v>05089</v>
      </c>
      <c r="M2094" t="s">
        <v>3226</v>
      </c>
      <c r="N2094">
        <v>155</v>
      </c>
      <c r="O2094" t="s">
        <v>55</v>
      </c>
      <c r="P2094">
        <v>38265</v>
      </c>
      <c r="Q2094" t="s">
        <v>10398</v>
      </c>
      <c r="R2094" t="s">
        <v>2138</v>
      </c>
      <c r="S2094" t="s">
        <v>2139</v>
      </c>
      <c r="T2094" t="s">
        <v>2277</v>
      </c>
      <c r="U2094" t="s">
        <v>2278</v>
      </c>
      <c r="V2094" t="s">
        <v>1824</v>
      </c>
      <c r="AA2094" t="s">
        <v>58</v>
      </c>
      <c r="AG2094" t="s">
        <v>48</v>
      </c>
    </row>
    <row r="2095" spans="1:33" x14ac:dyDescent="0.3">
      <c r="A2095">
        <v>37689</v>
      </c>
      <c r="B2095" t="s">
        <v>11186</v>
      </c>
      <c r="C2095" t="str">
        <f>""</f>
        <v/>
      </c>
      <c r="D2095" t="str">
        <f>""</f>
        <v/>
      </c>
      <c r="E2095" s="1">
        <v>35674</v>
      </c>
      <c r="F2095" t="s">
        <v>11187</v>
      </c>
      <c r="G2095" t="e">
        <f>INDEX(#REF!,MATCH(P2095,#REF!,0),1)</f>
        <v>#REF!</v>
      </c>
      <c r="H2095" t="s">
        <v>11188</v>
      </c>
      <c r="J2095" t="s">
        <v>11189</v>
      </c>
      <c r="K2095" t="s">
        <v>425</v>
      </c>
      <c r="L2095" t="str">
        <f>"05091-1122"</f>
        <v>05091-1122</v>
      </c>
      <c r="M2095" t="s">
        <v>3226</v>
      </c>
      <c r="N2095">
        <v>155</v>
      </c>
      <c r="O2095" t="s">
        <v>55</v>
      </c>
      <c r="P2095">
        <v>38265</v>
      </c>
      <c r="Q2095" t="s">
        <v>10398</v>
      </c>
      <c r="R2095" t="s">
        <v>2138</v>
      </c>
      <c r="S2095" t="s">
        <v>2139</v>
      </c>
      <c r="T2095" t="s">
        <v>2277</v>
      </c>
      <c r="U2095" t="s">
        <v>2278</v>
      </c>
      <c r="V2095" t="s">
        <v>1824</v>
      </c>
      <c r="AA2095" t="s">
        <v>58</v>
      </c>
      <c r="AG2095" t="s">
        <v>48</v>
      </c>
    </row>
    <row r="2096" spans="1:33" x14ac:dyDescent="0.3">
      <c r="A2096">
        <v>37691</v>
      </c>
      <c r="B2096" t="s">
        <v>11190</v>
      </c>
      <c r="C2096" t="str">
        <f>"1100008872094"</f>
        <v>1100008872094</v>
      </c>
      <c r="D2096" t="str">
        <f>"278LHFY00"</f>
        <v>278LHFY00</v>
      </c>
      <c r="E2096" s="1">
        <v>35704</v>
      </c>
      <c r="F2096" t="s">
        <v>11191</v>
      </c>
      <c r="G2096" t="e">
        <f>INDEX(#REF!,MATCH(P2096,#REF!,0),1)</f>
        <v>#REF!</v>
      </c>
      <c r="H2096" t="s">
        <v>11192</v>
      </c>
      <c r="J2096" t="s">
        <v>1675</v>
      </c>
      <c r="K2096" t="s">
        <v>283</v>
      </c>
      <c r="L2096" t="s">
        <v>11193</v>
      </c>
      <c r="M2096" t="s">
        <v>11194</v>
      </c>
      <c r="N2096">
        <v>871561</v>
      </c>
      <c r="O2096" t="s">
        <v>194</v>
      </c>
      <c r="P2096">
        <v>6179347</v>
      </c>
      <c r="Q2096" t="s">
        <v>1678</v>
      </c>
      <c r="R2096" t="s">
        <v>3864</v>
      </c>
      <c r="S2096" t="s">
        <v>3865</v>
      </c>
      <c r="T2096" t="s">
        <v>2214</v>
      </c>
      <c r="U2096" t="s">
        <v>2214</v>
      </c>
      <c r="V2096" t="s">
        <v>1824</v>
      </c>
      <c r="AA2096" t="s">
        <v>119</v>
      </c>
      <c r="AE2096" t="s">
        <v>120</v>
      </c>
      <c r="AG2096" t="s">
        <v>48</v>
      </c>
    </row>
    <row r="2097" spans="1:33" x14ac:dyDescent="0.3">
      <c r="A2097">
        <v>37703</v>
      </c>
      <c r="B2097" t="s">
        <v>11195</v>
      </c>
      <c r="C2097" t="str">
        <f>""</f>
        <v/>
      </c>
      <c r="D2097" t="str">
        <f>"212260DF2"</f>
        <v>212260DF2</v>
      </c>
      <c r="E2097" s="1">
        <v>35643</v>
      </c>
      <c r="F2097" t="s">
        <v>11196</v>
      </c>
      <c r="G2097" t="e">
        <f>INDEX(#REF!,MATCH(P2097,#REF!,0),1)</f>
        <v>#REF!</v>
      </c>
      <c r="H2097" t="s">
        <v>2564</v>
      </c>
      <c r="J2097" t="s">
        <v>2556</v>
      </c>
      <c r="K2097" t="s">
        <v>2244</v>
      </c>
      <c r="L2097" t="s">
        <v>2565</v>
      </c>
      <c r="M2097" t="s">
        <v>2566</v>
      </c>
      <c r="N2097">
        <v>84583</v>
      </c>
      <c r="O2097" t="s">
        <v>2559</v>
      </c>
      <c r="P2097">
        <v>699</v>
      </c>
      <c r="Q2097" t="s">
        <v>2563</v>
      </c>
      <c r="R2097" t="s">
        <v>2560</v>
      </c>
      <c r="S2097" t="s">
        <v>2561</v>
      </c>
      <c r="T2097" t="s">
        <v>44</v>
      </c>
      <c r="U2097" t="s">
        <v>1823</v>
      </c>
      <c r="AE2097" t="s">
        <v>72</v>
      </c>
      <c r="AG2097" t="s">
        <v>48</v>
      </c>
    </row>
    <row r="2098" spans="1:33" x14ac:dyDescent="0.3">
      <c r="A2098">
        <v>37707</v>
      </c>
      <c r="B2098" t="s">
        <v>11197</v>
      </c>
      <c r="C2098" t="str">
        <f>""</f>
        <v/>
      </c>
      <c r="D2098" t="str">
        <f>"840690R00"</f>
        <v>840690R00</v>
      </c>
      <c r="E2098" s="1">
        <v>35674</v>
      </c>
      <c r="F2098" t="s">
        <v>11198</v>
      </c>
      <c r="G2098" t="e">
        <f>INDEX(#REF!,MATCH(P2098,#REF!,0),1)</f>
        <v>#REF!</v>
      </c>
      <c r="H2098" t="s">
        <v>11199</v>
      </c>
      <c r="J2098" t="s">
        <v>11200</v>
      </c>
      <c r="K2098" t="s">
        <v>225</v>
      </c>
      <c r="L2098" t="s">
        <v>11201</v>
      </c>
      <c r="M2098" t="s">
        <v>11202</v>
      </c>
      <c r="N2098">
        <v>37707</v>
      </c>
      <c r="O2098" t="s">
        <v>11198</v>
      </c>
      <c r="P2098">
        <v>37707</v>
      </c>
      <c r="Q2098" t="s">
        <v>11198</v>
      </c>
      <c r="R2098" t="s">
        <v>325</v>
      </c>
      <c r="S2098" t="s">
        <v>326</v>
      </c>
      <c r="T2098" t="s">
        <v>44</v>
      </c>
      <c r="U2098" t="s">
        <v>45</v>
      </c>
      <c r="AA2098" t="s">
        <v>328</v>
      </c>
      <c r="AE2098" t="s">
        <v>144</v>
      </c>
    </row>
    <row r="2099" spans="1:33" x14ac:dyDescent="0.3">
      <c r="A2099">
        <v>37708</v>
      </c>
      <c r="B2099" t="s">
        <v>11203</v>
      </c>
      <c r="C2099" t="str">
        <f>""</f>
        <v/>
      </c>
      <c r="D2099" t="str">
        <f>""</f>
        <v/>
      </c>
      <c r="E2099" s="1">
        <v>31168</v>
      </c>
      <c r="F2099" t="s">
        <v>1506</v>
      </c>
      <c r="G2099" t="e">
        <f>INDEX(#REF!,MATCH(P2099,#REF!,0),1)</f>
        <v>#REF!</v>
      </c>
      <c r="H2099" t="s">
        <v>11204</v>
      </c>
      <c r="J2099" t="s">
        <v>6499</v>
      </c>
      <c r="K2099" t="s">
        <v>1504</v>
      </c>
      <c r="L2099" t="str">
        <f>"04330-5717"</f>
        <v>04330-5717</v>
      </c>
      <c r="M2099" t="s">
        <v>8077</v>
      </c>
      <c r="N2099">
        <v>37708</v>
      </c>
      <c r="O2099" t="s">
        <v>1506</v>
      </c>
      <c r="P2099">
        <v>37708</v>
      </c>
      <c r="Q2099" t="s">
        <v>1506</v>
      </c>
      <c r="R2099" t="s">
        <v>658</v>
      </c>
      <c r="S2099" t="s">
        <v>659</v>
      </c>
      <c r="T2099" t="s">
        <v>44</v>
      </c>
      <c r="U2099" t="s">
        <v>81</v>
      </c>
      <c r="AA2099" t="s">
        <v>119</v>
      </c>
      <c r="AC2099" t="s">
        <v>8068</v>
      </c>
      <c r="AG2099" t="s">
        <v>48</v>
      </c>
    </row>
    <row r="2100" spans="1:33" x14ac:dyDescent="0.3">
      <c r="A2100">
        <v>37710</v>
      </c>
      <c r="B2100" t="s">
        <v>11205</v>
      </c>
      <c r="C2100" t="str">
        <f>""</f>
        <v/>
      </c>
      <c r="D2100" t="str">
        <f>"57W64GY00"</f>
        <v>57W64GY00</v>
      </c>
      <c r="E2100" s="1">
        <v>35675</v>
      </c>
      <c r="F2100" t="s">
        <v>6811</v>
      </c>
      <c r="G2100" t="e">
        <f>INDEX(#REF!,MATCH(P2100,#REF!,0),1)</f>
        <v>#REF!</v>
      </c>
      <c r="H2100" t="s">
        <v>11206</v>
      </c>
      <c r="J2100" t="s">
        <v>7910</v>
      </c>
      <c r="K2100" t="s">
        <v>2004</v>
      </c>
      <c r="L2100" t="str">
        <f>"01970-2714"</f>
        <v>01970-2714</v>
      </c>
      <c r="M2100" t="s">
        <v>11207</v>
      </c>
      <c r="N2100">
        <v>2598</v>
      </c>
      <c r="O2100" t="s">
        <v>2136</v>
      </c>
      <c r="P2100">
        <v>2598</v>
      </c>
      <c r="Q2100" t="s">
        <v>2136</v>
      </c>
      <c r="R2100" t="s">
        <v>2492</v>
      </c>
      <c r="S2100" t="s">
        <v>2493</v>
      </c>
      <c r="T2100" t="s">
        <v>44</v>
      </c>
      <c r="U2100" t="s">
        <v>81</v>
      </c>
      <c r="AE2100" t="s">
        <v>72</v>
      </c>
      <c r="AG2100" t="s">
        <v>48</v>
      </c>
    </row>
    <row r="2101" spans="1:33" x14ac:dyDescent="0.3">
      <c r="A2101">
        <v>37711</v>
      </c>
      <c r="B2101" t="s">
        <v>11208</v>
      </c>
      <c r="C2101" t="str">
        <f>""</f>
        <v/>
      </c>
      <c r="D2101" t="str">
        <f>"141410B00"</f>
        <v>141410B00</v>
      </c>
      <c r="E2101" s="1">
        <v>35674</v>
      </c>
      <c r="F2101" t="s">
        <v>11209</v>
      </c>
      <c r="G2101" t="e">
        <f>INDEX(#REF!,MATCH(P2101,#REF!,0),1)</f>
        <v>#REF!</v>
      </c>
      <c r="H2101" t="s">
        <v>11206</v>
      </c>
      <c r="J2101" t="s">
        <v>7910</v>
      </c>
      <c r="K2101" t="s">
        <v>2004</v>
      </c>
      <c r="L2101" t="str">
        <f>"01970-2714"</f>
        <v>01970-2714</v>
      </c>
      <c r="M2101" t="s">
        <v>11207</v>
      </c>
      <c r="N2101">
        <v>2598</v>
      </c>
      <c r="O2101" t="s">
        <v>2136</v>
      </c>
      <c r="P2101">
        <v>37710</v>
      </c>
      <c r="Q2101" t="s">
        <v>6811</v>
      </c>
      <c r="R2101" t="s">
        <v>2492</v>
      </c>
      <c r="S2101" t="s">
        <v>2493</v>
      </c>
      <c r="T2101" t="s">
        <v>44</v>
      </c>
      <c r="U2101" t="s">
        <v>45</v>
      </c>
      <c r="AE2101" t="s">
        <v>72</v>
      </c>
      <c r="AG2101" t="s">
        <v>48</v>
      </c>
    </row>
    <row r="2102" spans="1:33" x14ac:dyDescent="0.3">
      <c r="A2102">
        <v>37712</v>
      </c>
      <c r="B2102" t="s">
        <v>11210</v>
      </c>
      <c r="C2102" t="str">
        <f>""</f>
        <v/>
      </c>
      <c r="D2102" t="str">
        <f>"141420C00"</f>
        <v>141420C00</v>
      </c>
      <c r="E2102" s="1">
        <v>35675</v>
      </c>
      <c r="F2102" t="s">
        <v>11211</v>
      </c>
      <c r="G2102" t="e">
        <f>INDEX(#REF!,MATCH(P2102,#REF!,0),1)</f>
        <v>#REF!</v>
      </c>
      <c r="H2102" t="s">
        <v>11212</v>
      </c>
      <c r="J2102" t="s">
        <v>7910</v>
      </c>
      <c r="K2102" t="s">
        <v>2004</v>
      </c>
      <c r="L2102" t="str">
        <f>"01970-5529"</f>
        <v>01970-5529</v>
      </c>
      <c r="M2102" t="s">
        <v>11213</v>
      </c>
      <c r="N2102">
        <v>2598</v>
      </c>
      <c r="O2102" t="s">
        <v>2136</v>
      </c>
      <c r="P2102">
        <v>37710</v>
      </c>
      <c r="Q2102" t="s">
        <v>6811</v>
      </c>
      <c r="R2102" t="s">
        <v>2492</v>
      </c>
      <c r="S2102" t="s">
        <v>2493</v>
      </c>
      <c r="T2102" t="s">
        <v>44</v>
      </c>
      <c r="U2102" t="s">
        <v>45</v>
      </c>
      <c r="AG2102" t="s">
        <v>48</v>
      </c>
    </row>
    <row r="2103" spans="1:33" x14ac:dyDescent="0.3">
      <c r="A2103">
        <v>37714</v>
      </c>
      <c r="B2103" t="s">
        <v>11214</v>
      </c>
      <c r="C2103" t="str">
        <f>"1100003546976"</f>
        <v>1100003546976</v>
      </c>
      <c r="D2103" t="str">
        <f>"230390H00"</f>
        <v>230390H00</v>
      </c>
      <c r="E2103" s="1">
        <v>42583</v>
      </c>
      <c r="F2103" t="s">
        <v>11215</v>
      </c>
      <c r="G2103" t="e">
        <f>INDEX(#REF!,MATCH(P2103,#REF!,0),1)</f>
        <v>#REF!</v>
      </c>
      <c r="H2103" t="s">
        <v>11216</v>
      </c>
      <c r="J2103" t="s">
        <v>11217</v>
      </c>
      <c r="K2103" t="s">
        <v>65</v>
      </c>
      <c r="L2103">
        <v>15317</v>
      </c>
      <c r="M2103" t="s">
        <v>11218</v>
      </c>
      <c r="N2103">
        <v>2413846</v>
      </c>
      <c r="O2103" t="s">
        <v>68</v>
      </c>
      <c r="P2103">
        <v>2413846</v>
      </c>
      <c r="Q2103" t="s">
        <v>68</v>
      </c>
      <c r="R2103" t="s">
        <v>69</v>
      </c>
      <c r="S2103" t="s">
        <v>70</v>
      </c>
      <c r="T2103" t="s">
        <v>44</v>
      </c>
      <c r="U2103" t="s">
        <v>45</v>
      </c>
      <c r="AA2103" t="s">
        <v>71</v>
      </c>
      <c r="AE2103" t="s">
        <v>72</v>
      </c>
      <c r="AG2103" t="s">
        <v>48</v>
      </c>
    </row>
    <row r="2104" spans="1:33" x14ac:dyDescent="0.3">
      <c r="A2104">
        <v>37715</v>
      </c>
      <c r="B2104" t="s">
        <v>11219</v>
      </c>
      <c r="C2104" t="str">
        <f>""</f>
        <v/>
      </c>
      <c r="D2104" t="str">
        <f>"212020700"</f>
        <v>212020700</v>
      </c>
      <c r="E2104" s="1">
        <v>35643</v>
      </c>
      <c r="F2104" t="s">
        <v>11220</v>
      </c>
      <c r="G2104" t="e">
        <f>INDEX(#REF!,MATCH(P2104,#REF!,0),1)</f>
        <v>#REF!</v>
      </c>
      <c r="H2104" t="s">
        <v>11221</v>
      </c>
      <c r="J2104" t="s">
        <v>2556</v>
      </c>
      <c r="K2104" t="s">
        <v>2244</v>
      </c>
      <c r="L2104" t="s">
        <v>11222</v>
      </c>
      <c r="M2104" t="s">
        <v>11223</v>
      </c>
      <c r="N2104">
        <v>84583</v>
      </c>
      <c r="O2104" t="s">
        <v>2559</v>
      </c>
      <c r="P2104">
        <v>84583</v>
      </c>
      <c r="Q2104" t="s">
        <v>2559</v>
      </c>
      <c r="R2104" t="s">
        <v>2560</v>
      </c>
      <c r="S2104" t="s">
        <v>2561</v>
      </c>
      <c r="T2104" t="s">
        <v>44</v>
      </c>
      <c r="U2104" t="s">
        <v>1823</v>
      </c>
      <c r="AE2104" t="s">
        <v>72</v>
      </c>
      <c r="AG2104" t="s">
        <v>48</v>
      </c>
    </row>
    <row r="2105" spans="1:33" x14ac:dyDescent="0.3">
      <c r="A2105">
        <v>37716</v>
      </c>
      <c r="B2105" t="s">
        <v>11224</v>
      </c>
      <c r="C2105" t="str">
        <f>""</f>
        <v/>
      </c>
      <c r="D2105" t="str">
        <f>"210530B00"</f>
        <v>210530B00</v>
      </c>
      <c r="E2105" s="1">
        <v>35674</v>
      </c>
      <c r="F2105" t="s">
        <v>11225</v>
      </c>
      <c r="G2105" t="e">
        <f>INDEX(#REF!,MATCH(P2105,#REF!,0),1)</f>
        <v>#REF!</v>
      </c>
      <c r="H2105" t="s">
        <v>11226</v>
      </c>
      <c r="J2105" t="s">
        <v>2966</v>
      </c>
      <c r="K2105" t="s">
        <v>2244</v>
      </c>
      <c r="L2105" t="s">
        <v>11227</v>
      </c>
      <c r="M2105" t="s">
        <v>11228</v>
      </c>
      <c r="N2105">
        <v>37716</v>
      </c>
      <c r="O2105" t="s">
        <v>11225</v>
      </c>
      <c r="P2105">
        <v>37716</v>
      </c>
      <c r="Q2105" t="s">
        <v>11225</v>
      </c>
      <c r="R2105" t="s">
        <v>1301</v>
      </c>
      <c r="S2105" t="s">
        <v>1302</v>
      </c>
      <c r="T2105" t="s">
        <v>44</v>
      </c>
      <c r="U2105" t="s">
        <v>45</v>
      </c>
    </row>
    <row r="2106" spans="1:33" x14ac:dyDescent="0.3">
      <c r="A2106">
        <v>37719</v>
      </c>
      <c r="B2106" t="s">
        <v>11229</v>
      </c>
      <c r="C2106" t="str">
        <f>""</f>
        <v/>
      </c>
      <c r="D2106" t="str">
        <f>"211220800"</f>
        <v>211220800</v>
      </c>
      <c r="E2106" s="1">
        <v>35643</v>
      </c>
      <c r="F2106" t="s">
        <v>11230</v>
      </c>
      <c r="G2106" t="e">
        <f>INDEX(#REF!,MATCH(P2106,#REF!,0),1)</f>
        <v>#REF!</v>
      </c>
      <c r="H2106" t="s">
        <v>11231</v>
      </c>
      <c r="J2106" t="s">
        <v>11232</v>
      </c>
      <c r="K2106" t="s">
        <v>2244</v>
      </c>
      <c r="L2106" t="s">
        <v>11233</v>
      </c>
      <c r="M2106" t="s">
        <v>11234</v>
      </c>
      <c r="N2106">
        <v>84583</v>
      </c>
      <c r="O2106" t="s">
        <v>2559</v>
      </c>
      <c r="P2106">
        <v>84583</v>
      </c>
      <c r="Q2106" t="s">
        <v>2559</v>
      </c>
      <c r="R2106" t="s">
        <v>2560</v>
      </c>
      <c r="S2106" t="s">
        <v>2561</v>
      </c>
      <c r="T2106" t="s">
        <v>44</v>
      </c>
      <c r="U2106" t="s">
        <v>45</v>
      </c>
      <c r="AE2106" t="s">
        <v>72</v>
      </c>
      <c r="AG2106" t="s">
        <v>48</v>
      </c>
    </row>
    <row r="2107" spans="1:33" x14ac:dyDescent="0.3">
      <c r="A2107">
        <v>37720</v>
      </c>
      <c r="B2107" t="s">
        <v>11235</v>
      </c>
      <c r="C2107" t="str">
        <f>"1100005955523"</f>
        <v>1100005955523</v>
      </c>
      <c r="D2107" t="str">
        <f>"141400A00"</f>
        <v>141400A00</v>
      </c>
      <c r="E2107" s="1">
        <v>35675</v>
      </c>
      <c r="F2107" t="s">
        <v>11236</v>
      </c>
      <c r="G2107" t="e">
        <f>INDEX(#REF!,MATCH(P2107,#REF!,0),1)</f>
        <v>#REF!</v>
      </c>
      <c r="H2107" t="s">
        <v>11237</v>
      </c>
      <c r="J2107" t="s">
        <v>7910</v>
      </c>
      <c r="K2107" t="s">
        <v>2004</v>
      </c>
      <c r="L2107" t="str">
        <f>"01970-2197"</f>
        <v>01970-2197</v>
      </c>
      <c r="M2107" t="s">
        <v>11238</v>
      </c>
      <c r="N2107">
        <v>2598</v>
      </c>
      <c r="O2107" t="s">
        <v>2136</v>
      </c>
      <c r="P2107">
        <v>37711</v>
      </c>
      <c r="Q2107" t="s">
        <v>11209</v>
      </c>
      <c r="R2107" t="s">
        <v>2492</v>
      </c>
      <c r="S2107" t="s">
        <v>2493</v>
      </c>
      <c r="T2107" t="s">
        <v>44</v>
      </c>
      <c r="U2107" t="s">
        <v>288</v>
      </c>
      <c r="AG2107" t="s">
        <v>48</v>
      </c>
    </row>
    <row r="2108" spans="1:33" x14ac:dyDescent="0.3">
      <c r="A2108">
        <v>37721</v>
      </c>
      <c r="B2108" t="s">
        <v>11239</v>
      </c>
      <c r="C2108" t="str">
        <f>""</f>
        <v/>
      </c>
      <c r="D2108" t="str">
        <f>"213500B00"</f>
        <v>213500B00</v>
      </c>
      <c r="E2108" s="1">
        <v>35643</v>
      </c>
      <c r="F2108" t="s">
        <v>11240</v>
      </c>
      <c r="G2108" t="e">
        <f>INDEX(#REF!,MATCH(P2108,#REF!,0),1)</f>
        <v>#REF!</v>
      </c>
      <c r="H2108" t="s">
        <v>11241</v>
      </c>
      <c r="J2108" t="s">
        <v>11242</v>
      </c>
      <c r="K2108" t="s">
        <v>2244</v>
      </c>
      <c r="L2108">
        <v>10605</v>
      </c>
      <c r="M2108" t="s">
        <v>11243</v>
      </c>
      <c r="N2108">
        <v>84583</v>
      </c>
      <c r="O2108" t="s">
        <v>2559</v>
      </c>
      <c r="P2108">
        <v>84583</v>
      </c>
      <c r="Q2108" t="s">
        <v>2559</v>
      </c>
      <c r="R2108" t="s">
        <v>2560</v>
      </c>
      <c r="S2108" t="s">
        <v>2561</v>
      </c>
      <c r="T2108" t="s">
        <v>44</v>
      </c>
      <c r="U2108" t="s">
        <v>45</v>
      </c>
      <c r="AE2108" t="s">
        <v>72</v>
      </c>
      <c r="AG2108" t="s">
        <v>48</v>
      </c>
    </row>
    <row r="2109" spans="1:33" x14ac:dyDescent="0.3">
      <c r="A2109">
        <v>37722</v>
      </c>
      <c r="B2109" t="s">
        <v>11244</v>
      </c>
      <c r="C2109" t="str">
        <f>""</f>
        <v/>
      </c>
      <c r="D2109" t="str">
        <f>"212170D00"</f>
        <v>212170D00</v>
      </c>
      <c r="E2109" s="1">
        <v>41344</v>
      </c>
      <c r="F2109" t="s">
        <v>11245</v>
      </c>
      <c r="G2109" t="e">
        <f>INDEX(#REF!,MATCH(P2109,#REF!,0),1)</f>
        <v>#REF!</v>
      </c>
      <c r="H2109" t="s">
        <v>11246</v>
      </c>
      <c r="J2109" t="s">
        <v>2556</v>
      </c>
      <c r="K2109" t="s">
        <v>2244</v>
      </c>
      <c r="L2109">
        <v>10038</v>
      </c>
      <c r="M2109" t="s">
        <v>11247</v>
      </c>
      <c r="N2109">
        <v>84583</v>
      </c>
      <c r="O2109" t="s">
        <v>2559</v>
      </c>
      <c r="P2109">
        <v>84583</v>
      </c>
      <c r="Q2109" t="s">
        <v>2559</v>
      </c>
      <c r="R2109" t="s">
        <v>2560</v>
      </c>
      <c r="S2109" t="s">
        <v>2561</v>
      </c>
      <c r="T2109" t="s">
        <v>44</v>
      </c>
      <c r="U2109" t="s">
        <v>45</v>
      </c>
      <c r="AE2109" t="s">
        <v>72</v>
      </c>
      <c r="AG2109" t="s">
        <v>48</v>
      </c>
    </row>
    <row r="2110" spans="1:33" x14ac:dyDescent="0.3">
      <c r="A2110">
        <v>37725</v>
      </c>
      <c r="B2110" t="s">
        <v>11248</v>
      </c>
      <c r="C2110" t="str">
        <f>""</f>
        <v/>
      </c>
      <c r="D2110" t="str">
        <f>"160300A00"</f>
        <v>160300A00</v>
      </c>
      <c r="E2110" s="1">
        <v>42583</v>
      </c>
      <c r="F2110" t="s">
        <v>11249</v>
      </c>
      <c r="G2110" t="e">
        <f>INDEX(#REF!,MATCH(P2110,#REF!,0),1)</f>
        <v>#REF!</v>
      </c>
      <c r="H2110" t="s">
        <v>11250</v>
      </c>
      <c r="J2110" t="s">
        <v>5492</v>
      </c>
      <c r="K2110" t="s">
        <v>1109</v>
      </c>
      <c r="L2110" t="str">
        <f>"06053"</f>
        <v>06053</v>
      </c>
      <c r="M2110" t="s">
        <v>11251</v>
      </c>
      <c r="N2110">
        <v>37725</v>
      </c>
      <c r="O2110" t="s">
        <v>11249</v>
      </c>
      <c r="P2110">
        <v>37725</v>
      </c>
      <c r="Q2110" t="s">
        <v>11249</v>
      </c>
      <c r="R2110" t="s">
        <v>1301</v>
      </c>
      <c r="S2110" t="s">
        <v>1302</v>
      </c>
      <c r="T2110" t="s">
        <v>44</v>
      </c>
      <c r="U2110" t="s">
        <v>45</v>
      </c>
      <c r="AA2110" t="s">
        <v>93</v>
      </c>
      <c r="AE2110" t="s">
        <v>220</v>
      </c>
    </row>
    <row r="2111" spans="1:33" x14ac:dyDescent="0.3">
      <c r="A2111">
        <v>37730</v>
      </c>
      <c r="B2111" t="s">
        <v>11252</v>
      </c>
      <c r="C2111" t="str">
        <f>""</f>
        <v/>
      </c>
      <c r="D2111" t="str">
        <f>"742030G00"</f>
        <v>742030G00</v>
      </c>
      <c r="E2111" s="1">
        <v>35674</v>
      </c>
      <c r="F2111" t="s">
        <v>11253</v>
      </c>
      <c r="G2111" t="e">
        <f>INDEX(#REF!,MATCH(P2111,#REF!,0),1)</f>
        <v>#REF!</v>
      </c>
      <c r="H2111" t="s">
        <v>11254</v>
      </c>
      <c r="J2111" t="s">
        <v>11255</v>
      </c>
      <c r="K2111" t="s">
        <v>676</v>
      </c>
      <c r="L2111" t="s">
        <v>11256</v>
      </c>
      <c r="M2111" t="s">
        <v>11257</v>
      </c>
      <c r="N2111">
        <v>37730</v>
      </c>
      <c r="O2111" t="s">
        <v>11253</v>
      </c>
      <c r="P2111">
        <v>37730</v>
      </c>
      <c r="Q2111" t="s">
        <v>11253</v>
      </c>
      <c r="R2111" t="s">
        <v>245</v>
      </c>
      <c r="S2111" t="s">
        <v>246</v>
      </c>
      <c r="T2111" t="s">
        <v>44</v>
      </c>
      <c r="U2111" t="s">
        <v>45</v>
      </c>
    </row>
    <row r="2112" spans="1:33" x14ac:dyDescent="0.3">
      <c r="A2112">
        <v>37731</v>
      </c>
      <c r="B2112" t="s">
        <v>11258</v>
      </c>
      <c r="C2112" t="str">
        <f>""</f>
        <v/>
      </c>
      <c r="D2112" t="str">
        <f>"G6N4EJA00"</f>
        <v>G6N4EJA00</v>
      </c>
      <c r="E2112" s="1">
        <v>35674</v>
      </c>
      <c r="F2112" t="s">
        <v>11259</v>
      </c>
      <c r="G2112" t="e">
        <f>INDEX(#REF!,MATCH(P2112,#REF!,0),1)</f>
        <v>#REF!</v>
      </c>
      <c r="H2112" t="s">
        <v>11260</v>
      </c>
      <c r="J2112" t="s">
        <v>2942</v>
      </c>
      <c r="K2112" t="s">
        <v>835</v>
      </c>
      <c r="L2112">
        <v>67601</v>
      </c>
      <c r="M2112" t="s">
        <v>11261</v>
      </c>
      <c r="N2112">
        <v>2599</v>
      </c>
      <c r="O2112" t="s">
        <v>1870</v>
      </c>
      <c r="P2112">
        <v>2599</v>
      </c>
      <c r="Q2112" t="s">
        <v>1870</v>
      </c>
      <c r="R2112" t="s">
        <v>1895</v>
      </c>
      <c r="S2112" t="s">
        <v>1896</v>
      </c>
      <c r="T2112" t="s">
        <v>44</v>
      </c>
      <c r="U2112" t="s">
        <v>11262</v>
      </c>
      <c r="AD2112" t="s">
        <v>94</v>
      </c>
    </row>
    <row r="2113" spans="1:33" x14ac:dyDescent="0.3">
      <c r="A2113">
        <v>37736</v>
      </c>
      <c r="B2113" t="s">
        <v>11263</v>
      </c>
      <c r="C2113" t="str">
        <f>""</f>
        <v/>
      </c>
      <c r="D2113" t="str">
        <f>"HCGPQH500"</f>
        <v>HCGPQH500</v>
      </c>
      <c r="E2113" s="1">
        <v>43020</v>
      </c>
      <c r="F2113" t="s">
        <v>11264</v>
      </c>
      <c r="G2113" t="e">
        <f>INDEX(#REF!,MATCH(P2113,#REF!,0),1)</f>
        <v>#REF!</v>
      </c>
      <c r="H2113" t="s">
        <v>1608</v>
      </c>
      <c r="J2113" t="s">
        <v>1609</v>
      </c>
      <c r="K2113" t="s">
        <v>1603</v>
      </c>
      <c r="L2113">
        <v>51503</v>
      </c>
      <c r="M2113" t="s">
        <v>11265</v>
      </c>
      <c r="N2113">
        <v>37736</v>
      </c>
      <c r="O2113" t="s">
        <v>11264</v>
      </c>
      <c r="P2113">
        <v>37736</v>
      </c>
      <c r="Q2113" t="s">
        <v>11264</v>
      </c>
      <c r="R2113" t="s">
        <v>245</v>
      </c>
      <c r="S2113" t="s">
        <v>246</v>
      </c>
      <c r="T2113" t="s">
        <v>44</v>
      </c>
      <c r="U2113" t="s">
        <v>11266</v>
      </c>
      <c r="AA2113" t="s">
        <v>327</v>
      </c>
    </row>
    <row r="2114" spans="1:33" x14ac:dyDescent="0.3">
      <c r="A2114">
        <v>37737</v>
      </c>
      <c r="B2114" t="s">
        <v>11267</v>
      </c>
      <c r="C2114" t="str">
        <f>""</f>
        <v/>
      </c>
      <c r="D2114" t="str">
        <f>"682GKT900"</f>
        <v>682GKT900</v>
      </c>
      <c r="E2114" s="1">
        <v>39846</v>
      </c>
      <c r="F2114" t="s">
        <v>11268</v>
      </c>
      <c r="G2114" t="e">
        <f>INDEX(#REF!,MATCH(P2114,#REF!,0),1)</f>
        <v>#REF!</v>
      </c>
      <c r="H2114" t="s">
        <v>11269</v>
      </c>
      <c r="J2114" t="s">
        <v>11270</v>
      </c>
      <c r="K2114" t="s">
        <v>1109</v>
      </c>
      <c r="L2114" t="str">
        <f>"06795-2249"</f>
        <v>06795-2249</v>
      </c>
      <c r="M2114" t="s">
        <v>11271</v>
      </c>
      <c r="N2114">
        <v>2623550</v>
      </c>
      <c r="O2114" t="s">
        <v>1767</v>
      </c>
      <c r="P2114">
        <v>536</v>
      </c>
      <c r="Q2114" t="s">
        <v>1966</v>
      </c>
      <c r="R2114" t="s">
        <v>5064</v>
      </c>
      <c r="S2114" t="s">
        <v>5065</v>
      </c>
      <c r="T2114" t="s">
        <v>3141</v>
      </c>
      <c r="U2114" t="s">
        <v>5806</v>
      </c>
      <c r="V2114" t="s">
        <v>1824</v>
      </c>
      <c r="AE2114" t="s">
        <v>564</v>
      </c>
    </row>
    <row r="2115" spans="1:33" x14ac:dyDescent="0.3">
      <c r="A2115">
        <v>37739</v>
      </c>
      <c r="B2115" t="s">
        <v>11272</v>
      </c>
      <c r="C2115" t="str">
        <f>""</f>
        <v/>
      </c>
      <c r="D2115" t="str">
        <f>"670430K00"</f>
        <v>670430K00</v>
      </c>
      <c r="E2115" s="1">
        <v>45642</v>
      </c>
      <c r="F2115" t="s">
        <v>11273</v>
      </c>
      <c r="G2115" t="e">
        <f>INDEX(#REF!,MATCH(P2115,#REF!,0),1)</f>
        <v>#REF!</v>
      </c>
      <c r="H2115" t="s">
        <v>11274</v>
      </c>
      <c r="J2115" t="s">
        <v>11275</v>
      </c>
      <c r="K2115" t="s">
        <v>835</v>
      </c>
      <c r="L2115" t="s">
        <v>11276</v>
      </c>
      <c r="M2115" t="s">
        <v>11277</v>
      </c>
      <c r="N2115">
        <v>37739</v>
      </c>
      <c r="O2115" t="s">
        <v>11273</v>
      </c>
      <c r="P2115">
        <v>37739</v>
      </c>
      <c r="Q2115" t="s">
        <v>11273</v>
      </c>
      <c r="R2115" t="s">
        <v>245</v>
      </c>
      <c r="S2115" t="s">
        <v>246</v>
      </c>
      <c r="T2115" t="s">
        <v>44</v>
      </c>
      <c r="U2115" t="s">
        <v>45</v>
      </c>
      <c r="AC2115" t="s">
        <v>2956</v>
      </c>
    </row>
    <row r="2116" spans="1:33" x14ac:dyDescent="0.3">
      <c r="A2116">
        <v>37740</v>
      </c>
      <c r="B2116" t="s">
        <v>11278</v>
      </c>
      <c r="C2116" t="str">
        <f>""</f>
        <v/>
      </c>
      <c r="D2116" t="str">
        <f>"671070L00"</f>
        <v>671070L00</v>
      </c>
      <c r="E2116" s="1">
        <v>35674</v>
      </c>
      <c r="F2116" t="s">
        <v>11279</v>
      </c>
      <c r="G2116" t="e">
        <f>INDEX(#REF!,MATCH(P2116,#REF!,0),1)</f>
        <v>#REF!</v>
      </c>
      <c r="H2116" t="s">
        <v>11280</v>
      </c>
      <c r="J2116" t="s">
        <v>11281</v>
      </c>
      <c r="K2116" t="s">
        <v>835</v>
      </c>
      <c r="L2116" t="s">
        <v>11282</v>
      </c>
      <c r="M2116" t="s">
        <v>11283</v>
      </c>
      <c r="N2116">
        <v>2599</v>
      </c>
      <c r="O2116" t="s">
        <v>1870</v>
      </c>
      <c r="P2116">
        <v>2599</v>
      </c>
      <c r="Q2116" t="s">
        <v>1870</v>
      </c>
      <c r="R2116" t="s">
        <v>1895</v>
      </c>
      <c r="S2116" t="s">
        <v>1896</v>
      </c>
      <c r="T2116" t="s">
        <v>44</v>
      </c>
      <c r="U2116" t="s">
        <v>45</v>
      </c>
      <c r="AA2116" t="s">
        <v>327</v>
      </c>
      <c r="AD2116" t="s">
        <v>94</v>
      </c>
      <c r="AE2116" t="s">
        <v>1522</v>
      </c>
    </row>
    <row r="2117" spans="1:33" x14ac:dyDescent="0.3">
      <c r="A2117">
        <v>37741</v>
      </c>
      <c r="B2117" t="s">
        <v>11284</v>
      </c>
      <c r="C2117" t="str">
        <f>""</f>
        <v/>
      </c>
      <c r="D2117" t="str">
        <f>"670580Q00"</f>
        <v>670580Q00</v>
      </c>
      <c r="E2117" s="1">
        <v>35674</v>
      </c>
      <c r="F2117" t="s">
        <v>11285</v>
      </c>
      <c r="G2117" t="e">
        <f>INDEX(#REF!,MATCH(P2117,#REF!,0),1)</f>
        <v>#REF!</v>
      </c>
      <c r="H2117" t="s">
        <v>11286</v>
      </c>
      <c r="J2117" t="s">
        <v>11287</v>
      </c>
      <c r="K2117" t="s">
        <v>835</v>
      </c>
      <c r="L2117">
        <v>67740</v>
      </c>
      <c r="M2117" t="s">
        <v>11288</v>
      </c>
      <c r="N2117">
        <v>2599</v>
      </c>
      <c r="O2117" t="s">
        <v>1870</v>
      </c>
      <c r="P2117">
        <v>2599</v>
      </c>
      <c r="Q2117" t="s">
        <v>1870</v>
      </c>
      <c r="R2117" t="s">
        <v>1895</v>
      </c>
      <c r="S2117" t="s">
        <v>1896</v>
      </c>
      <c r="T2117" t="s">
        <v>44</v>
      </c>
      <c r="U2117" t="s">
        <v>45</v>
      </c>
      <c r="AA2117" t="s">
        <v>327</v>
      </c>
      <c r="AD2117" t="s">
        <v>94</v>
      </c>
      <c r="AE2117" t="s">
        <v>1522</v>
      </c>
    </row>
    <row r="2118" spans="1:33" x14ac:dyDescent="0.3">
      <c r="A2118">
        <v>37742</v>
      </c>
      <c r="B2118" t="s">
        <v>11289</v>
      </c>
      <c r="C2118" t="str">
        <f>""</f>
        <v/>
      </c>
      <c r="D2118" t="str">
        <f>"670730N00"</f>
        <v>670730N00</v>
      </c>
      <c r="E2118" s="1">
        <v>35674</v>
      </c>
      <c r="F2118" t="s">
        <v>11290</v>
      </c>
      <c r="G2118" t="e">
        <f>INDEX(#REF!,MATCH(P2118,#REF!,0),1)</f>
        <v>#REF!</v>
      </c>
      <c r="H2118" t="s">
        <v>11291</v>
      </c>
      <c r="J2118" t="s">
        <v>2195</v>
      </c>
      <c r="K2118" t="s">
        <v>835</v>
      </c>
      <c r="L2118" t="s">
        <v>11292</v>
      </c>
      <c r="M2118" t="s">
        <v>11293</v>
      </c>
      <c r="N2118">
        <v>2599</v>
      </c>
      <c r="O2118" t="s">
        <v>1870</v>
      </c>
      <c r="P2118">
        <v>2599</v>
      </c>
      <c r="Q2118" t="s">
        <v>1870</v>
      </c>
      <c r="R2118" t="s">
        <v>1895</v>
      </c>
      <c r="S2118" t="s">
        <v>1896</v>
      </c>
      <c r="T2118" t="s">
        <v>44</v>
      </c>
      <c r="U2118" t="s">
        <v>45</v>
      </c>
      <c r="AA2118" t="s">
        <v>327</v>
      </c>
      <c r="AD2118" t="s">
        <v>94</v>
      </c>
      <c r="AE2118" t="s">
        <v>1522</v>
      </c>
    </row>
    <row r="2119" spans="1:33" x14ac:dyDescent="0.3">
      <c r="A2119">
        <v>37743</v>
      </c>
      <c r="B2119" t="s">
        <v>11294</v>
      </c>
      <c r="C2119" t="str">
        <f>""</f>
        <v/>
      </c>
      <c r="D2119" t="str">
        <f>"671030H00"</f>
        <v>671030H00</v>
      </c>
      <c r="E2119" s="1">
        <v>35674</v>
      </c>
      <c r="F2119" t="s">
        <v>11295</v>
      </c>
      <c r="G2119" t="e">
        <f>INDEX(#REF!,MATCH(P2119,#REF!,0),1)</f>
        <v>#REF!</v>
      </c>
      <c r="H2119" t="s">
        <v>11296</v>
      </c>
      <c r="J2119" t="s">
        <v>11297</v>
      </c>
      <c r="K2119" t="s">
        <v>835</v>
      </c>
      <c r="L2119" t="s">
        <v>11298</v>
      </c>
      <c r="M2119" t="s">
        <v>11299</v>
      </c>
      <c r="N2119">
        <v>2599</v>
      </c>
      <c r="O2119" t="s">
        <v>1870</v>
      </c>
      <c r="P2119">
        <v>2599</v>
      </c>
      <c r="Q2119" t="s">
        <v>1870</v>
      </c>
      <c r="R2119" t="s">
        <v>1895</v>
      </c>
      <c r="S2119" t="s">
        <v>1896</v>
      </c>
      <c r="T2119" t="s">
        <v>44</v>
      </c>
      <c r="U2119" t="s">
        <v>45</v>
      </c>
      <c r="AA2119" t="s">
        <v>327</v>
      </c>
      <c r="AD2119" t="s">
        <v>94</v>
      </c>
      <c r="AE2119" t="s">
        <v>1522</v>
      </c>
    </row>
    <row r="2120" spans="1:33" x14ac:dyDescent="0.3">
      <c r="A2120">
        <v>37744</v>
      </c>
      <c r="B2120" t="s">
        <v>11300</v>
      </c>
      <c r="C2120" t="str">
        <f>""</f>
        <v/>
      </c>
      <c r="D2120" t="str">
        <f>"671090N00"</f>
        <v>671090N00</v>
      </c>
      <c r="E2120" s="1">
        <v>44013</v>
      </c>
      <c r="F2120" t="s">
        <v>11301</v>
      </c>
      <c r="G2120" t="e">
        <f>INDEX(#REF!,MATCH(P2120,#REF!,0),1)</f>
        <v>#REF!</v>
      </c>
      <c r="H2120" t="s">
        <v>11302</v>
      </c>
      <c r="J2120" t="s">
        <v>11303</v>
      </c>
      <c r="K2120" t="s">
        <v>835</v>
      </c>
      <c r="L2120" t="s">
        <v>11304</v>
      </c>
      <c r="M2120" t="s">
        <v>11305</v>
      </c>
      <c r="N2120">
        <v>30537</v>
      </c>
      <c r="O2120" t="s">
        <v>838</v>
      </c>
      <c r="P2120">
        <v>30537</v>
      </c>
      <c r="Q2120" t="s">
        <v>838</v>
      </c>
      <c r="R2120" t="s">
        <v>1156</v>
      </c>
      <c r="S2120" t="s">
        <v>1157</v>
      </c>
      <c r="T2120" t="s">
        <v>44</v>
      </c>
      <c r="U2120" t="s">
        <v>45</v>
      </c>
      <c r="AA2120" t="s">
        <v>119</v>
      </c>
      <c r="AE2120" t="s">
        <v>120</v>
      </c>
    </row>
    <row r="2121" spans="1:33" x14ac:dyDescent="0.3">
      <c r="A2121">
        <v>37745</v>
      </c>
      <c r="B2121" t="s">
        <v>11306</v>
      </c>
      <c r="C2121" t="str">
        <f>""</f>
        <v/>
      </c>
      <c r="D2121" t="str">
        <f>"671260M00"</f>
        <v>671260M00</v>
      </c>
      <c r="E2121" s="1">
        <v>35674</v>
      </c>
      <c r="F2121" t="s">
        <v>11307</v>
      </c>
      <c r="G2121" t="e">
        <f>INDEX(#REF!,MATCH(P2121,#REF!,0),1)</f>
        <v>#REF!</v>
      </c>
      <c r="H2121" t="s">
        <v>11308</v>
      </c>
      <c r="J2121" t="s">
        <v>11309</v>
      </c>
      <c r="K2121" t="s">
        <v>835</v>
      </c>
      <c r="L2121" t="s">
        <v>11310</v>
      </c>
      <c r="M2121" t="s">
        <v>11311</v>
      </c>
      <c r="N2121">
        <v>2599</v>
      </c>
      <c r="O2121" t="s">
        <v>1870</v>
      </c>
      <c r="P2121">
        <v>2599</v>
      </c>
      <c r="Q2121" t="s">
        <v>1870</v>
      </c>
      <c r="R2121" t="s">
        <v>1895</v>
      </c>
      <c r="S2121" t="s">
        <v>1896</v>
      </c>
      <c r="T2121" t="s">
        <v>44</v>
      </c>
      <c r="U2121" t="s">
        <v>45</v>
      </c>
      <c r="AA2121" t="s">
        <v>327</v>
      </c>
      <c r="AD2121" t="s">
        <v>94</v>
      </c>
      <c r="AE2121" t="s">
        <v>1522</v>
      </c>
    </row>
    <row r="2122" spans="1:33" x14ac:dyDescent="0.3">
      <c r="A2122">
        <v>37746</v>
      </c>
      <c r="B2122" t="s">
        <v>11312</v>
      </c>
      <c r="C2122" t="str">
        <f>""</f>
        <v/>
      </c>
      <c r="D2122" t="str">
        <f>"671280O00"</f>
        <v>671280O00</v>
      </c>
      <c r="E2122" s="1">
        <v>35674</v>
      </c>
      <c r="F2122" t="s">
        <v>11313</v>
      </c>
      <c r="G2122" t="e">
        <f>INDEX(#REF!,MATCH(P2122,#REF!,0),1)</f>
        <v>#REF!</v>
      </c>
      <c r="H2122" t="s">
        <v>11314</v>
      </c>
      <c r="J2122" t="s">
        <v>11315</v>
      </c>
      <c r="K2122" t="s">
        <v>835</v>
      </c>
      <c r="L2122" t="s">
        <v>11316</v>
      </c>
      <c r="M2122" t="s">
        <v>11317</v>
      </c>
      <c r="N2122">
        <v>2599</v>
      </c>
      <c r="O2122" t="s">
        <v>1870</v>
      </c>
      <c r="P2122">
        <v>2599</v>
      </c>
      <c r="Q2122" t="s">
        <v>1870</v>
      </c>
      <c r="R2122" t="s">
        <v>1895</v>
      </c>
      <c r="S2122" t="s">
        <v>1896</v>
      </c>
      <c r="T2122" t="s">
        <v>44</v>
      </c>
      <c r="U2122" t="s">
        <v>45</v>
      </c>
      <c r="AA2122" t="s">
        <v>327</v>
      </c>
      <c r="AD2122" t="s">
        <v>94</v>
      </c>
      <c r="AE2122" t="s">
        <v>1522</v>
      </c>
    </row>
    <row r="2123" spans="1:33" x14ac:dyDescent="0.3">
      <c r="A2123">
        <v>37747</v>
      </c>
      <c r="B2123" t="s">
        <v>11318</v>
      </c>
      <c r="C2123" t="str">
        <f>""</f>
        <v/>
      </c>
      <c r="D2123" t="str">
        <f>"670530L00"</f>
        <v>670530L00</v>
      </c>
      <c r="E2123" s="1">
        <v>35674</v>
      </c>
      <c r="F2123" t="s">
        <v>11319</v>
      </c>
      <c r="G2123" t="e">
        <f>INDEX(#REF!,MATCH(P2123,#REF!,0),1)</f>
        <v>#REF!</v>
      </c>
      <c r="H2123" t="s">
        <v>11320</v>
      </c>
      <c r="J2123" t="s">
        <v>11321</v>
      </c>
      <c r="K2123" t="s">
        <v>835</v>
      </c>
      <c r="L2123" t="s">
        <v>11322</v>
      </c>
      <c r="M2123" t="s">
        <v>11323</v>
      </c>
      <c r="N2123">
        <v>2599</v>
      </c>
      <c r="O2123" t="s">
        <v>1870</v>
      </c>
      <c r="P2123">
        <v>2599</v>
      </c>
      <c r="Q2123" t="s">
        <v>1870</v>
      </c>
      <c r="R2123" t="s">
        <v>1895</v>
      </c>
      <c r="S2123" t="s">
        <v>1896</v>
      </c>
      <c r="T2123" t="s">
        <v>44</v>
      </c>
      <c r="U2123" t="s">
        <v>45</v>
      </c>
      <c r="AA2123" t="s">
        <v>327</v>
      </c>
      <c r="AD2123" t="s">
        <v>94</v>
      </c>
      <c r="AE2123" t="s">
        <v>1522</v>
      </c>
    </row>
    <row r="2124" spans="1:33" x14ac:dyDescent="0.3">
      <c r="A2124">
        <v>37748</v>
      </c>
      <c r="B2124" t="s">
        <v>11324</v>
      </c>
      <c r="C2124" t="str">
        <f>"1100005610712"</f>
        <v>1100005610712</v>
      </c>
      <c r="D2124" t="str">
        <f>"530030B00"</f>
        <v>530030B00</v>
      </c>
      <c r="E2124" s="1">
        <v>40967</v>
      </c>
      <c r="F2124" t="s">
        <v>11325</v>
      </c>
      <c r="G2124" t="e">
        <f>INDEX(#REF!,MATCH(P2124,#REF!,0),1)</f>
        <v>#REF!</v>
      </c>
      <c r="H2124" t="s">
        <v>11326</v>
      </c>
      <c r="J2124" t="s">
        <v>11327</v>
      </c>
      <c r="K2124" t="s">
        <v>125</v>
      </c>
      <c r="L2124">
        <v>35011</v>
      </c>
      <c r="M2124" t="s">
        <v>11328</v>
      </c>
      <c r="N2124">
        <v>952385</v>
      </c>
      <c r="O2124" t="s">
        <v>1784</v>
      </c>
      <c r="P2124">
        <v>952385</v>
      </c>
      <c r="Q2124" t="s">
        <v>1784</v>
      </c>
      <c r="R2124" t="s">
        <v>79</v>
      </c>
      <c r="S2124" t="s">
        <v>80</v>
      </c>
      <c r="T2124" t="s">
        <v>44</v>
      </c>
      <c r="U2124" t="s">
        <v>45</v>
      </c>
      <c r="AA2124" t="s">
        <v>105</v>
      </c>
      <c r="AG2124" t="s">
        <v>48</v>
      </c>
    </row>
  </sheetData>
  <conditionalFormatting sqref="A1:A2124"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</conditionalFormatting>
  <conditionalFormatting sqref="B1:B212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Ibidun, Suliat</dc:creator>
  <cp:lastModifiedBy>Ibidun, Suliat</cp:lastModifiedBy>
  <dcterms:created xsi:type="dcterms:W3CDTF">2026-06-26T06:07:47Z</dcterms:created>
  <dcterms:modified xsi:type="dcterms:W3CDTF">2026-06-26T06:08:23Z</dcterms:modified>
</cp:coreProperties>
</file>